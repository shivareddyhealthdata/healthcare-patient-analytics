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ummi\Downloads\"/>
    </mc:Choice>
  </mc:AlternateContent>
  <xr:revisionPtr revIDLastSave="0" documentId="8_{896CC361-9DBB-4CBC-8235-80EEB86BE163}" xr6:coauthVersionLast="47" xr6:coauthVersionMax="47" xr10:uidLastSave="{00000000-0000-0000-0000-000000000000}"/>
  <bookViews>
    <workbookView xWindow="-108" yWindow="-108" windowWidth="23256" windowHeight="12456" firstSheet="2" activeTab="5" xr2:uid="{0683D249-7DEB-4454-AA90-6F1A0ACCB36A}"/>
  </bookViews>
  <sheets>
    <sheet name="Raw_Data" sheetId="1" r:id="rId1"/>
    <sheet name="Cleaned_Data" sheetId="2" r:id="rId2"/>
    <sheet name="Data_Quality" sheetId="3" r:id="rId3"/>
    <sheet name="Analysis" sheetId="4" r:id="rId4"/>
    <sheet name="Pivot Tables" sheetId="5" r:id="rId5"/>
    <sheet name="Healthcare_Dashboard" sheetId="8" r:id="rId6"/>
    <sheet name="Insights" sheetId="9" r:id="rId7"/>
    <sheet name="Project Documentation" sheetId="10" r:id="rId8"/>
  </sheets>
  <definedNames>
    <definedName name="_xlcn.WorksheetConnection_Healthcare_Analytics_Dashboard.xlsx.xlsxTable21" hidden="1">Table2[]</definedName>
    <definedName name="_xlcn.WorksheetConnection_Hospital_Raw_Data.xlsx.xlsxTable41" hidden="1">Table4</definedName>
    <definedName name="Slicer_AGE">#N/A</definedName>
    <definedName name="Slicer_DEPARTMENT2">#N/A</definedName>
    <definedName name="Slicer_DIAGNOSIS">#N/A</definedName>
    <definedName name="Slicer_TREATMENT_COST">#N/A</definedName>
  </definedNames>
  <calcPr calcId="191029"/>
  <pivotCaches>
    <pivotCache cacheId="8"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Hospital_Raw_Data.xlsx.xlsx!Table4"/>
          <x15:modelTable id="Table2" name="Table2" connection="WorksheetConnection_Healthcare_Analytics_Dashboard.xlsx.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2" l="1"/>
  <c r="B8" i="4"/>
  <c r="B7" i="4"/>
  <c r="B5" i="4"/>
  <c r="B6" i="4"/>
  <c r="B4" i="4"/>
  <c r="B3" i="4"/>
  <c r="B2" i="4"/>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B94C0B-B8CF-42D5-A109-C85D87D79C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3CCEEC4-A36E-4BDC-B793-9D93965949E9}" name="WorksheetConnection_Healthcare_Analytics_Dashboard.xlsx.xlsx!Table2" type="102" refreshedVersion="8" minRefreshableVersion="5">
    <extLst>
      <ext xmlns:x15="http://schemas.microsoft.com/office/spreadsheetml/2010/11/main" uri="{DE250136-89BD-433C-8126-D09CA5730AF9}">
        <x15:connection id="Table2">
          <x15:rangePr sourceName="_xlcn.WorksheetConnection_Healthcare_Analytics_Dashboard.xlsx.xlsxTable21"/>
        </x15:connection>
      </ext>
    </extLst>
  </connection>
  <connection id="3" xr16:uid="{D36B1F63-DB3D-4596-AE9C-A28C55F9499D}" name="WorksheetConnection_Hospital_Raw_Data.xlsx.xlsx!Table4" type="102" refreshedVersion="8" minRefreshableVersion="5">
    <extLst>
      <ext xmlns:x15="http://schemas.microsoft.com/office/spreadsheetml/2010/11/main" uri="{DE250136-89BD-433C-8126-D09CA5730AF9}">
        <x15:connection id="Table4">
          <x15:rangePr sourceName="_xlcn.WorksheetConnection_Hospital_Raw_Data.xlsx.xlsxTable41"/>
        </x15:connection>
      </ext>
    </extLst>
  </connection>
</connections>
</file>

<file path=xl/sharedStrings.xml><?xml version="1.0" encoding="utf-8"?>
<sst xmlns="http://schemas.openxmlformats.org/spreadsheetml/2006/main" count="17367" uniqueCount="1333">
  <si>
    <t>PATIENT ID</t>
  </si>
  <si>
    <t>AGE</t>
  </si>
  <si>
    <t>GENDER</t>
  </si>
  <si>
    <t xml:space="preserve">DEPARTMENT </t>
  </si>
  <si>
    <t>DIAGNOSIS</t>
  </si>
  <si>
    <t>ADMISSION DATE</t>
  </si>
  <si>
    <t>DISCHARGE DATE</t>
  </si>
  <si>
    <t>LENGTH OF STAY</t>
  </si>
  <si>
    <t>TREATMENT COST</t>
  </si>
  <si>
    <t>INSURANCE TYPE</t>
  </si>
  <si>
    <t>DOCTOR</t>
  </si>
  <si>
    <t>READMISSION</t>
  </si>
  <si>
    <t>OUTCOME</t>
  </si>
  <si>
    <t>SATISFACTION</t>
  </si>
  <si>
    <t>P10001</t>
  </si>
  <si>
    <t>P10002</t>
  </si>
  <si>
    <t>P10003</t>
  </si>
  <si>
    <t>P10004</t>
  </si>
  <si>
    <t>P10005</t>
  </si>
  <si>
    <t>P10006</t>
  </si>
  <si>
    <t>P10007</t>
  </si>
  <si>
    <t>P10008</t>
  </si>
  <si>
    <t>P10009</t>
  </si>
  <si>
    <t>P10010</t>
  </si>
  <si>
    <t>P10011</t>
  </si>
  <si>
    <t>P10012</t>
  </si>
  <si>
    <t>P10013</t>
  </si>
  <si>
    <t>P10014</t>
  </si>
  <si>
    <t>P10015</t>
  </si>
  <si>
    <t>P10016</t>
  </si>
  <si>
    <t>P10017</t>
  </si>
  <si>
    <t>P10018</t>
  </si>
  <si>
    <t>P10019</t>
  </si>
  <si>
    <t>P10020</t>
  </si>
  <si>
    <t>P10021</t>
  </si>
  <si>
    <t>P10022</t>
  </si>
  <si>
    <t>P10023</t>
  </si>
  <si>
    <t>P10024</t>
  </si>
  <si>
    <t>P10025</t>
  </si>
  <si>
    <t>P10026</t>
  </si>
  <si>
    <t>P10027</t>
  </si>
  <si>
    <t>P10028</t>
  </si>
  <si>
    <t>P10029</t>
  </si>
  <si>
    <t>P10030</t>
  </si>
  <si>
    <t>P10031</t>
  </si>
  <si>
    <t>P10032</t>
  </si>
  <si>
    <t>P10033</t>
  </si>
  <si>
    <t>P10034</t>
  </si>
  <si>
    <t>P10035</t>
  </si>
  <si>
    <t>P10036</t>
  </si>
  <si>
    <t>P10037</t>
  </si>
  <si>
    <t>P10038</t>
  </si>
  <si>
    <t>P10039</t>
  </si>
  <si>
    <t>P10040</t>
  </si>
  <si>
    <t>P10041</t>
  </si>
  <si>
    <t>P10042</t>
  </si>
  <si>
    <t>P10043</t>
  </si>
  <si>
    <t>P10044</t>
  </si>
  <si>
    <t>P10045</t>
  </si>
  <si>
    <t>P10046</t>
  </si>
  <si>
    <t>P10047</t>
  </si>
  <si>
    <t>P10048</t>
  </si>
  <si>
    <t>P10049</t>
  </si>
  <si>
    <t>P10050</t>
  </si>
  <si>
    <t>P10051</t>
  </si>
  <si>
    <t>P10052</t>
  </si>
  <si>
    <t>P10053</t>
  </si>
  <si>
    <t>P10054</t>
  </si>
  <si>
    <t>P10055</t>
  </si>
  <si>
    <t>P10056</t>
  </si>
  <si>
    <t>P10057</t>
  </si>
  <si>
    <t>P10058</t>
  </si>
  <si>
    <t>P10059</t>
  </si>
  <si>
    <t>P10060</t>
  </si>
  <si>
    <t>P10061</t>
  </si>
  <si>
    <t>P10062</t>
  </si>
  <si>
    <t>P10063</t>
  </si>
  <si>
    <t>P10064</t>
  </si>
  <si>
    <t>P10065</t>
  </si>
  <si>
    <t>P10066</t>
  </si>
  <si>
    <t>P10067</t>
  </si>
  <si>
    <t>P10068</t>
  </si>
  <si>
    <t>P10069</t>
  </si>
  <si>
    <t>P10070</t>
  </si>
  <si>
    <t>P10071</t>
  </si>
  <si>
    <t>P10072</t>
  </si>
  <si>
    <t>P10073</t>
  </si>
  <si>
    <t>P10074</t>
  </si>
  <si>
    <t>P10075</t>
  </si>
  <si>
    <t>P10076</t>
  </si>
  <si>
    <t>P10077</t>
  </si>
  <si>
    <t>P10078</t>
  </si>
  <si>
    <t>P10079</t>
  </si>
  <si>
    <t>P10080</t>
  </si>
  <si>
    <t>P10081</t>
  </si>
  <si>
    <t>P10082</t>
  </si>
  <si>
    <t>P10083</t>
  </si>
  <si>
    <t>P10084</t>
  </si>
  <si>
    <t>P10085</t>
  </si>
  <si>
    <t>P10086</t>
  </si>
  <si>
    <t>P10087</t>
  </si>
  <si>
    <t>P10088</t>
  </si>
  <si>
    <t>P10089</t>
  </si>
  <si>
    <t>P10090</t>
  </si>
  <si>
    <t>P10091</t>
  </si>
  <si>
    <t>P10092</t>
  </si>
  <si>
    <t>P10093</t>
  </si>
  <si>
    <t>P10094</t>
  </si>
  <si>
    <t>P10095</t>
  </si>
  <si>
    <t>P10096</t>
  </si>
  <si>
    <t>P10097</t>
  </si>
  <si>
    <t>P10098</t>
  </si>
  <si>
    <t>P10099</t>
  </si>
  <si>
    <t>P10100</t>
  </si>
  <si>
    <t>P10101</t>
  </si>
  <si>
    <t>P10102</t>
  </si>
  <si>
    <t>P10103</t>
  </si>
  <si>
    <t>P10104</t>
  </si>
  <si>
    <t>P10105</t>
  </si>
  <si>
    <t>P10106</t>
  </si>
  <si>
    <t>P10107</t>
  </si>
  <si>
    <t>P10108</t>
  </si>
  <si>
    <t>P10109</t>
  </si>
  <si>
    <t>P10110</t>
  </si>
  <si>
    <t>P10111</t>
  </si>
  <si>
    <t>P10112</t>
  </si>
  <si>
    <t>P10113</t>
  </si>
  <si>
    <t>P10114</t>
  </si>
  <si>
    <t>P10115</t>
  </si>
  <si>
    <t>P10116</t>
  </si>
  <si>
    <t>P10117</t>
  </si>
  <si>
    <t>P10118</t>
  </si>
  <si>
    <t>P10119</t>
  </si>
  <si>
    <t>P10120</t>
  </si>
  <si>
    <t>P10121</t>
  </si>
  <si>
    <t>P10122</t>
  </si>
  <si>
    <t>P10123</t>
  </si>
  <si>
    <t>P10124</t>
  </si>
  <si>
    <t>P10125</t>
  </si>
  <si>
    <t>P10126</t>
  </si>
  <si>
    <t>P10127</t>
  </si>
  <si>
    <t>P10128</t>
  </si>
  <si>
    <t>P10129</t>
  </si>
  <si>
    <t>P10130</t>
  </si>
  <si>
    <t>P10131</t>
  </si>
  <si>
    <t>P10132</t>
  </si>
  <si>
    <t>P10133</t>
  </si>
  <si>
    <t>P10134</t>
  </si>
  <si>
    <t>P10135</t>
  </si>
  <si>
    <t>P10136</t>
  </si>
  <si>
    <t>P10137</t>
  </si>
  <si>
    <t>P10138</t>
  </si>
  <si>
    <t>P10139</t>
  </si>
  <si>
    <t>P10140</t>
  </si>
  <si>
    <t>P10141</t>
  </si>
  <si>
    <t>P10142</t>
  </si>
  <si>
    <t>P10143</t>
  </si>
  <si>
    <t>P10144</t>
  </si>
  <si>
    <t>P10145</t>
  </si>
  <si>
    <t>P10146</t>
  </si>
  <si>
    <t>P10147</t>
  </si>
  <si>
    <t>P10148</t>
  </si>
  <si>
    <t>P10149</t>
  </si>
  <si>
    <t>P10150</t>
  </si>
  <si>
    <t>P10151</t>
  </si>
  <si>
    <t>P10152</t>
  </si>
  <si>
    <t>P10153</t>
  </si>
  <si>
    <t>P10154</t>
  </si>
  <si>
    <t>P10155</t>
  </si>
  <si>
    <t>P10156</t>
  </si>
  <si>
    <t>P10157</t>
  </si>
  <si>
    <t>P10158</t>
  </si>
  <si>
    <t>P10159</t>
  </si>
  <si>
    <t>P10160</t>
  </si>
  <si>
    <t>P10161</t>
  </si>
  <si>
    <t>P10162</t>
  </si>
  <si>
    <t>P10163</t>
  </si>
  <si>
    <t>P10164</t>
  </si>
  <si>
    <t>P10165</t>
  </si>
  <si>
    <t>P10166</t>
  </si>
  <si>
    <t>P10167</t>
  </si>
  <si>
    <t>P10168</t>
  </si>
  <si>
    <t>P10169</t>
  </si>
  <si>
    <t>P10170</t>
  </si>
  <si>
    <t>P10171</t>
  </si>
  <si>
    <t>P10172</t>
  </si>
  <si>
    <t>P10173</t>
  </si>
  <si>
    <t>P10174</t>
  </si>
  <si>
    <t>P10175</t>
  </si>
  <si>
    <t>P10176</t>
  </si>
  <si>
    <t>P10177</t>
  </si>
  <si>
    <t>P10178</t>
  </si>
  <si>
    <t>P10179</t>
  </si>
  <si>
    <t>P10180</t>
  </si>
  <si>
    <t>P10181</t>
  </si>
  <si>
    <t>P10182</t>
  </si>
  <si>
    <t>P10183</t>
  </si>
  <si>
    <t>P10184</t>
  </si>
  <si>
    <t>P10185</t>
  </si>
  <si>
    <t>P10186</t>
  </si>
  <si>
    <t>P10187</t>
  </si>
  <si>
    <t>P10188</t>
  </si>
  <si>
    <t>P10189</t>
  </si>
  <si>
    <t>P10190</t>
  </si>
  <si>
    <t>P10191</t>
  </si>
  <si>
    <t>P10192</t>
  </si>
  <si>
    <t>P10193</t>
  </si>
  <si>
    <t>P10194</t>
  </si>
  <si>
    <t>P10195</t>
  </si>
  <si>
    <t>P10196</t>
  </si>
  <si>
    <t>P10197</t>
  </si>
  <si>
    <t>P10198</t>
  </si>
  <si>
    <t>P10199</t>
  </si>
  <si>
    <t>P10200</t>
  </si>
  <si>
    <t>P10201</t>
  </si>
  <si>
    <t>P10202</t>
  </si>
  <si>
    <t>P10203</t>
  </si>
  <si>
    <t>P10204</t>
  </si>
  <si>
    <t>P10205</t>
  </si>
  <si>
    <t>P10206</t>
  </si>
  <si>
    <t>P10207</t>
  </si>
  <si>
    <t>P10208</t>
  </si>
  <si>
    <t>P10209</t>
  </si>
  <si>
    <t>P10210</t>
  </si>
  <si>
    <t>P10211</t>
  </si>
  <si>
    <t>P10212</t>
  </si>
  <si>
    <t>P10213</t>
  </si>
  <si>
    <t>P10214</t>
  </si>
  <si>
    <t>P10215</t>
  </si>
  <si>
    <t>P10216</t>
  </si>
  <si>
    <t>P10217</t>
  </si>
  <si>
    <t>P10218</t>
  </si>
  <si>
    <t>P10219</t>
  </si>
  <si>
    <t>P10220</t>
  </si>
  <si>
    <t>P10221</t>
  </si>
  <si>
    <t>P10222</t>
  </si>
  <si>
    <t>P10223</t>
  </si>
  <si>
    <t>P10224</t>
  </si>
  <si>
    <t>P10225</t>
  </si>
  <si>
    <t>P10226</t>
  </si>
  <si>
    <t>P10227</t>
  </si>
  <si>
    <t>P10228</t>
  </si>
  <si>
    <t>P10229</t>
  </si>
  <si>
    <t>P10230</t>
  </si>
  <si>
    <t>P10231</t>
  </si>
  <si>
    <t>P10232</t>
  </si>
  <si>
    <t>P10233</t>
  </si>
  <si>
    <t>P10234</t>
  </si>
  <si>
    <t>P10235</t>
  </si>
  <si>
    <t>P10236</t>
  </si>
  <si>
    <t>P10237</t>
  </si>
  <si>
    <t>P10238</t>
  </si>
  <si>
    <t>P10239</t>
  </si>
  <si>
    <t>P10240</t>
  </si>
  <si>
    <t>P10241</t>
  </si>
  <si>
    <t>P10242</t>
  </si>
  <si>
    <t>P10243</t>
  </si>
  <si>
    <t>P10244</t>
  </si>
  <si>
    <t>P10245</t>
  </si>
  <si>
    <t>P10246</t>
  </si>
  <si>
    <t>P10247</t>
  </si>
  <si>
    <t>P10248</t>
  </si>
  <si>
    <t>P10249</t>
  </si>
  <si>
    <t>P10250</t>
  </si>
  <si>
    <t>P10251</t>
  </si>
  <si>
    <t>P10252</t>
  </si>
  <si>
    <t>P10253</t>
  </si>
  <si>
    <t>P10254</t>
  </si>
  <si>
    <t>P10255</t>
  </si>
  <si>
    <t>P10256</t>
  </si>
  <si>
    <t>P10257</t>
  </si>
  <si>
    <t>P10258</t>
  </si>
  <si>
    <t>P10259</t>
  </si>
  <si>
    <t>P10260</t>
  </si>
  <si>
    <t>P10261</t>
  </si>
  <si>
    <t>P10262</t>
  </si>
  <si>
    <t>P10263</t>
  </si>
  <si>
    <t>P10264</t>
  </si>
  <si>
    <t>P10265</t>
  </si>
  <si>
    <t>P10266</t>
  </si>
  <si>
    <t>P10267</t>
  </si>
  <si>
    <t>P10268</t>
  </si>
  <si>
    <t>P10269</t>
  </si>
  <si>
    <t>P10270</t>
  </si>
  <si>
    <t>P10271</t>
  </si>
  <si>
    <t>P10272</t>
  </si>
  <si>
    <t>P10273</t>
  </si>
  <si>
    <t>P10274</t>
  </si>
  <si>
    <t>P10275</t>
  </si>
  <si>
    <t>P10276</t>
  </si>
  <si>
    <t>P10277</t>
  </si>
  <si>
    <t>P10278</t>
  </si>
  <si>
    <t>P10279</t>
  </si>
  <si>
    <t>P10280</t>
  </si>
  <si>
    <t>P10281</t>
  </si>
  <si>
    <t>P10282</t>
  </si>
  <si>
    <t>P10283</t>
  </si>
  <si>
    <t>P10284</t>
  </si>
  <si>
    <t>P10285</t>
  </si>
  <si>
    <t>P10286</t>
  </si>
  <si>
    <t>P10287</t>
  </si>
  <si>
    <t>P10288</t>
  </si>
  <si>
    <t>P10289</t>
  </si>
  <si>
    <t>P10290</t>
  </si>
  <si>
    <t>P10291</t>
  </si>
  <si>
    <t>P10292</t>
  </si>
  <si>
    <t>P10293</t>
  </si>
  <si>
    <t>P10294</t>
  </si>
  <si>
    <t>P10295</t>
  </si>
  <si>
    <t>P10296</t>
  </si>
  <si>
    <t>P10297</t>
  </si>
  <si>
    <t>P10298</t>
  </si>
  <si>
    <t>P10299</t>
  </si>
  <si>
    <t>P10300</t>
  </si>
  <si>
    <t>P10301</t>
  </si>
  <si>
    <t>P10302</t>
  </si>
  <si>
    <t>P10303</t>
  </si>
  <si>
    <t>P10304</t>
  </si>
  <si>
    <t>P10305</t>
  </si>
  <si>
    <t>P10306</t>
  </si>
  <si>
    <t>P10307</t>
  </si>
  <si>
    <t>P10308</t>
  </si>
  <si>
    <t>P10309</t>
  </si>
  <si>
    <t>P10310</t>
  </si>
  <si>
    <t>P10311</t>
  </si>
  <si>
    <t>P10312</t>
  </si>
  <si>
    <t>P10313</t>
  </si>
  <si>
    <t>P10314</t>
  </si>
  <si>
    <t>P10315</t>
  </si>
  <si>
    <t>P10316</t>
  </si>
  <si>
    <t>P10317</t>
  </si>
  <si>
    <t>P10318</t>
  </si>
  <si>
    <t>P10319</t>
  </si>
  <si>
    <t>P10320</t>
  </si>
  <si>
    <t>P10321</t>
  </si>
  <si>
    <t>P10322</t>
  </si>
  <si>
    <t>P10323</t>
  </si>
  <si>
    <t>P10324</t>
  </si>
  <si>
    <t>P10325</t>
  </si>
  <si>
    <t>P10326</t>
  </si>
  <si>
    <t>P10327</t>
  </si>
  <si>
    <t>P10328</t>
  </si>
  <si>
    <t>P10329</t>
  </si>
  <si>
    <t>P10330</t>
  </si>
  <si>
    <t>P10331</t>
  </si>
  <si>
    <t>P10332</t>
  </si>
  <si>
    <t>P10333</t>
  </si>
  <si>
    <t>P10334</t>
  </si>
  <si>
    <t>P10335</t>
  </si>
  <si>
    <t>P10336</t>
  </si>
  <si>
    <t>P10337</t>
  </si>
  <si>
    <t>P10338</t>
  </si>
  <si>
    <t>P10339</t>
  </si>
  <si>
    <t>P10340</t>
  </si>
  <si>
    <t>P10341</t>
  </si>
  <si>
    <t>P10342</t>
  </si>
  <si>
    <t>P10343</t>
  </si>
  <si>
    <t>P10344</t>
  </si>
  <si>
    <t>P10345</t>
  </si>
  <si>
    <t>P10346</t>
  </si>
  <si>
    <t>P10347</t>
  </si>
  <si>
    <t>P10348</t>
  </si>
  <si>
    <t>P10349</t>
  </si>
  <si>
    <t>P10350</t>
  </si>
  <si>
    <t>P10351</t>
  </si>
  <si>
    <t>P10352</t>
  </si>
  <si>
    <t>P10353</t>
  </si>
  <si>
    <t>P10354</t>
  </si>
  <si>
    <t>P10355</t>
  </si>
  <si>
    <t>P10356</t>
  </si>
  <si>
    <t>P10357</t>
  </si>
  <si>
    <t>P10358</t>
  </si>
  <si>
    <t>P10359</t>
  </si>
  <si>
    <t>P10360</t>
  </si>
  <si>
    <t>P10361</t>
  </si>
  <si>
    <t>P10362</t>
  </si>
  <si>
    <t>P10363</t>
  </si>
  <si>
    <t>P10364</t>
  </si>
  <si>
    <t>P10365</t>
  </si>
  <si>
    <t>P10366</t>
  </si>
  <si>
    <t>P10367</t>
  </si>
  <si>
    <t>P10368</t>
  </si>
  <si>
    <t>P10369</t>
  </si>
  <si>
    <t>P10370</t>
  </si>
  <si>
    <t>P10371</t>
  </si>
  <si>
    <t>P10372</t>
  </si>
  <si>
    <t>P10373</t>
  </si>
  <si>
    <t>P10374</t>
  </si>
  <si>
    <t>P10375</t>
  </si>
  <si>
    <t>P10376</t>
  </si>
  <si>
    <t>P10377</t>
  </si>
  <si>
    <t>P10378</t>
  </si>
  <si>
    <t>P10379</t>
  </si>
  <si>
    <t>P10380</t>
  </si>
  <si>
    <t>P10381</t>
  </si>
  <si>
    <t>P10382</t>
  </si>
  <si>
    <t>P10383</t>
  </si>
  <si>
    <t>P10384</t>
  </si>
  <si>
    <t>P10385</t>
  </si>
  <si>
    <t>P10386</t>
  </si>
  <si>
    <t>P10387</t>
  </si>
  <si>
    <t>P10388</t>
  </si>
  <si>
    <t>P10389</t>
  </si>
  <si>
    <t>P10390</t>
  </si>
  <si>
    <t>P10391</t>
  </si>
  <si>
    <t>P10392</t>
  </si>
  <si>
    <t>P10393</t>
  </si>
  <si>
    <t>P10394</t>
  </si>
  <si>
    <t>P10395</t>
  </si>
  <si>
    <t>P10396</t>
  </si>
  <si>
    <t>P10397</t>
  </si>
  <si>
    <t>P10398</t>
  </si>
  <si>
    <t>P10399</t>
  </si>
  <si>
    <t>P10400</t>
  </si>
  <si>
    <t>P10401</t>
  </si>
  <si>
    <t>P10402</t>
  </si>
  <si>
    <t>P10403</t>
  </si>
  <si>
    <t>P10404</t>
  </si>
  <si>
    <t>P10405</t>
  </si>
  <si>
    <t>P10406</t>
  </si>
  <si>
    <t>P10407</t>
  </si>
  <si>
    <t>P10408</t>
  </si>
  <si>
    <t>P10409</t>
  </si>
  <si>
    <t>P10410</t>
  </si>
  <si>
    <t>P10411</t>
  </si>
  <si>
    <t>P10412</t>
  </si>
  <si>
    <t>P10413</t>
  </si>
  <si>
    <t>P10414</t>
  </si>
  <si>
    <t>P10415</t>
  </si>
  <si>
    <t>P10416</t>
  </si>
  <si>
    <t>P10417</t>
  </si>
  <si>
    <t>P10418</t>
  </si>
  <si>
    <t>P10419</t>
  </si>
  <si>
    <t>P10420</t>
  </si>
  <si>
    <t>P10421</t>
  </si>
  <si>
    <t>P10422</t>
  </si>
  <si>
    <t>P10423</t>
  </si>
  <si>
    <t>P10424</t>
  </si>
  <si>
    <t>P10425</t>
  </si>
  <si>
    <t>P10426</t>
  </si>
  <si>
    <t>P10427</t>
  </si>
  <si>
    <t>P10428</t>
  </si>
  <si>
    <t>P10429</t>
  </si>
  <si>
    <t>P10430</t>
  </si>
  <si>
    <t>P10431</t>
  </si>
  <si>
    <t>P10432</t>
  </si>
  <si>
    <t>P10433</t>
  </si>
  <si>
    <t>P10434</t>
  </si>
  <si>
    <t>P10435</t>
  </si>
  <si>
    <t>P10436</t>
  </si>
  <si>
    <t>P10437</t>
  </si>
  <si>
    <t>P10438</t>
  </si>
  <si>
    <t>P10439</t>
  </si>
  <si>
    <t>P10440</t>
  </si>
  <si>
    <t>P10441</t>
  </si>
  <si>
    <t>P10442</t>
  </si>
  <si>
    <t>P10443</t>
  </si>
  <si>
    <t>P10444</t>
  </si>
  <si>
    <t>P10445</t>
  </si>
  <si>
    <t>P10446</t>
  </si>
  <si>
    <t>P10447</t>
  </si>
  <si>
    <t>P10448</t>
  </si>
  <si>
    <t>P10449</t>
  </si>
  <si>
    <t>P10450</t>
  </si>
  <si>
    <t>P10451</t>
  </si>
  <si>
    <t>P10452</t>
  </si>
  <si>
    <t>P10453</t>
  </si>
  <si>
    <t>P10454</t>
  </si>
  <si>
    <t>P10455</t>
  </si>
  <si>
    <t>P10456</t>
  </si>
  <si>
    <t>P10457</t>
  </si>
  <si>
    <t>P10458</t>
  </si>
  <si>
    <t>P10459</t>
  </si>
  <si>
    <t>P10460</t>
  </si>
  <si>
    <t>P10461</t>
  </si>
  <si>
    <t>P10462</t>
  </si>
  <si>
    <t>P10463</t>
  </si>
  <si>
    <t>P10464</t>
  </si>
  <si>
    <t>P10465</t>
  </si>
  <si>
    <t>P10466</t>
  </si>
  <si>
    <t>P10467</t>
  </si>
  <si>
    <t>P10468</t>
  </si>
  <si>
    <t>P10469</t>
  </si>
  <si>
    <t>P10470</t>
  </si>
  <si>
    <t>P10471</t>
  </si>
  <si>
    <t>P10472</t>
  </si>
  <si>
    <t>P10473</t>
  </si>
  <si>
    <t>P10474</t>
  </si>
  <si>
    <t>P10475</t>
  </si>
  <si>
    <t>P10476</t>
  </si>
  <si>
    <t>P10477</t>
  </si>
  <si>
    <t>P10478</t>
  </si>
  <si>
    <t>P10479</t>
  </si>
  <si>
    <t>P10480</t>
  </si>
  <si>
    <t>P10481</t>
  </si>
  <si>
    <t>P10482</t>
  </si>
  <si>
    <t>P10483</t>
  </si>
  <si>
    <t>P10484</t>
  </si>
  <si>
    <t>P10485</t>
  </si>
  <si>
    <t>P10486</t>
  </si>
  <si>
    <t>P10487</t>
  </si>
  <si>
    <t>P10488</t>
  </si>
  <si>
    <t>P10489</t>
  </si>
  <si>
    <t>P10490</t>
  </si>
  <si>
    <t>P10491</t>
  </si>
  <si>
    <t>P10492</t>
  </si>
  <si>
    <t>P10493</t>
  </si>
  <si>
    <t>P10494</t>
  </si>
  <si>
    <t>P10495</t>
  </si>
  <si>
    <t>P10496</t>
  </si>
  <si>
    <t>P10497</t>
  </si>
  <si>
    <t>P10498</t>
  </si>
  <si>
    <t>P10499</t>
  </si>
  <si>
    <t>P10500</t>
  </si>
  <si>
    <t>P10501</t>
  </si>
  <si>
    <t>P10502</t>
  </si>
  <si>
    <t>P10503</t>
  </si>
  <si>
    <t>P10504</t>
  </si>
  <si>
    <t>P10505</t>
  </si>
  <si>
    <t>P10506</t>
  </si>
  <si>
    <t>P10507</t>
  </si>
  <si>
    <t>P10508</t>
  </si>
  <si>
    <t>P10509</t>
  </si>
  <si>
    <t>P10510</t>
  </si>
  <si>
    <t>P10511</t>
  </si>
  <si>
    <t>P10512</t>
  </si>
  <si>
    <t>P10513</t>
  </si>
  <si>
    <t>P10514</t>
  </si>
  <si>
    <t>P10515</t>
  </si>
  <si>
    <t>P10516</t>
  </si>
  <si>
    <t>P10517</t>
  </si>
  <si>
    <t>P10518</t>
  </si>
  <si>
    <t>P10519</t>
  </si>
  <si>
    <t>P10520</t>
  </si>
  <si>
    <t>P10521</t>
  </si>
  <si>
    <t>P10522</t>
  </si>
  <si>
    <t>P10523</t>
  </si>
  <si>
    <t>P10524</t>
  </si>
  <si>
    <t>P10525</t>
  </si>
  <si>
    <t>P10526</t>
  </si>
  <si>
    <t>P10527</t>
  </si>
  <si>
    <t>P10528</t>
  </si>
  <si>
    <t>P10529</t>
  </si>
  <si>
    <t>P10530</t>
  </si>
  <si>
    <t>P10531</t>
  </si>
  <si>
    <t>P10532</t>
  </si>
  <si>
    <t>P10533</t>
  </si>
  <si>
    <t>P10534</t>
  </si>
  <si>
    <t>P10535</t>
  </si>
  <si>
    <t>P10536</t>
  </si>
  <si>
    <t>P10537</t>
  </si>
  <si>
    <t>P10538</t>
  </si>
  <si>
    <t>P10539</t>
  </si>
  <si>
    <t>P10540</t>
  </si>
  <si>
    <t>P10541</t>
  </si>
  <si>
    <t>P10542</t>
  </si>
  <si>
    <t>P10543</t>
  </si>
  <si>
    <t>P10544</t>
  </si>
  <si>
    <t>P10545</t>
  </si>
  <si>
    <t>P10546</t>
  </si>
  <si>
    <t>P10547</t>
  </si>
  <si>
    <t>P10548</t>
  </si>
  <si>
    <t>P10549</t>
  </si>
  <si>
    <t>P10550</t>
  </si>
  <si>
    <t>P10551</t>
  </si>
  <si>
    <t>P10552</t>
  </si>
  <si>
    <t>P10553</t>
  </si>
  <si>
    <t>P10554</t>
  </si>
  <si>
    <t>P10555</t>
  </si>
  <si>
    <t>P10556</t>
  </si>
  <si>
    <t>P10557</t>
  </si>
  <si>
    <t>P10558</t>
  </si>
  <si>
    <t>P10559</t>
  </si>
  <si>
    <t>P10560</t>
  </si>
  <si>
    <t>P10561</t>
  </si>
  <si>
    <t>P10562</t>
  </si>
  <si>
    <t>P10563</t>
  </si>
  <si>
    <t>P10564</t>
  </si>
  <si>
    <t>P10565</t>
  </si>
  <si>
    <t>P10566</t>
  </si>
  <si>
    <t>P10567</t>
  </si>
  <si>
    <t>P10568</t>
  </si>
  <si>
    <t>P10569</t>
  </si>
  <si>
    <t>P10570</t>
  </si>
  <si>
    <t>P10571</t>
  </si>
  <si>
    <t>P10572</t>
  </si>
  <si>
    <t>P10573</t>
  </si>
  <si>
    <t>P10574</t>
  </si>
  <si>
    <t>P10575</t>
  </si>
  <si>
    <t>P10576</t>
  </si>
  <si>
    <t>P10577</t>
  </si>
  <si>
    <t>P10578</t>
  </si>
  <si>
    <t>P10579</t>
  </si>
  <si>
    <t>P10580</t>
  </si>
  <si>
    <t>P10581</t>
  </si>
  <si>
    <t>P10582</t>
  </si>
  <si>
    <t>P10583</t>
  </si>
  <si>
    <t>P10584</t>
  </si>
  <si>
    <t>P10585</t>
  </si>
  <si>
    <t>P10586</t>
  </si>
  <si>
    <t>P10587</t>
  </si>
  <si>
    <t>P10588</t>
  </si>
  <si>
    <t>P10589</t>
  </si>
  <si>
    <t>P10590</t>
  </si>
  <si>
    <t>P10591</t>
  </si>
  <si>
    <t>P10592</t>
  </si>
  <si>
    <t>P10593</t>
  </si>
  <si>
    <t>P10594</t>
  </si>
  <si>
    <t>P10595</t>
  </si>
  <si>
    <t>P10596</t>
  </si>
  <si>
    <t>P10597</t>
  </si>
  <si>
    <t>P10598</t>
  </si>
  <si>
    <t>P10599</t>
  </si>
  <si>
    <t>P10600</t>
  </si>
  <si>
    <t>P10601</t>
  </si>
  <si>
    <t>P10602</t>
  </si>
  <si>
    <t>P10603</t>
  </si>
  <si>
    <t>P10604</t>
  </si>
  <si>
    <t>P10605</t>
  </si>
  <si>
    <t>P10606</t>
  </si>
  <si>
    <t>P10607</t>
  </si>
  <si>
    <t>P10608</t>
  </si>
  <si>
    <t>P10609</t>
  </si>
  <si>
    <t>P10610</t>
  </si>
  <si>
    <t>P10611</t>
  </si>
  <si>
    <t>P10612</t>
  </si>
  <si>
    <t>P10613</t>
  </si>
  <si>
    <t>P10614</t>
  </si>
  <si>
    <t>P10615</t>
  </si>
  <si>
    <t>P10616</t>
  </si>
  <si>
    <t>P10617</t>
  </si>
  <si>
    <t>P10618</t>
  </si>
  <si>
    <t>P10619</t>
  </si>
  <si>
    <t>P10620</t>
  </si>
  <si>
    <t>P10621</t>
  </si>
  <si>
    <t>P10622</t>
  </si>
  <si>
    <t>P10623</t>
  </si>
  <si>
    <t>P10624</t>
  </si>
  <si>
    <t>P10625</t>
  </si>
  <si>
    <t>P10626</t>
  </si>
  <si>
    <t>P10627</t>
  </si>
  <si>
    <t>P10628</t>
  </si>
  <si>
    <t>P10629</t>
  </si>
  <si>
    <t>P10630</t>
  </si>
  <si>
    <t>P10631</t>
  </si>
  <si>
    <t>P10632</t>
  </si>
  <si>
    <t>P10633</t>
  </si>
  <si>
    <t>P10634</t>
  </si>
  <si>
    <t>P10635</t>
  </si>
  <si>
    <t>P10636</t>
  </si>
  <si>
    <t>P10637</t>
  </si>
  <si>
    <t>P10638</t>
  </si>
  <si>
    <t>P10639</t>
  </si>
  <si>
    <t>P10640</t>
  </si>
  <si>
    <t>P10641</t>
  </si>
  <si>
    <t>P10642</t>
  </si>
  <si>
    <t>P10643</t>
  </si>
  <si>
    <t>P10644</t>
  </si>
  <si>
    <t>P10645</t>
  </si>
  <si>
    <t>P10646</t>
  </si>
  <si>
    <t>P10647</t>
  </si>
  <si>
    <t>P10648</t>
  </si>
  <si>
    <t>P10649</t>
  </si>
  <si>
    <t>P10650</t>
  </si>
  <si>
    <t>P10651</t>
  </si>
  <si>
    <t>P10652</t>
  </si>
  <si>
    <t>P10653</t>
  </si>
  <si>
    <t>P10654</t>
  </si>
  <si>
    <t>P10655</t>
  </si>
  <si>
    <t>P10656</t>
  </si>
  <si>
    <t>P10657</t>
  </si>
  <si>
    <t>P10658</t>
  </si>
  <si>
    <t>P10659</t>
  </si>
  <si>
    <t>P10660</t>
  </si>
  <si>
    <t>P10661</t>
  </si>
  <si>
    <t>P10662</t>
  </si>
  <si>
    <t>P10663</t>
  </si>
  <si>
    <t>P10664</t>
  </si>
  <si>
    <t>P10665</t>
  </si>
  <si>
    <t>P10666</t>
  </si>
  <si>
    <t>P10667</t>
  </si>
  <si>
    <t>P10668</t>
  </si>
  <si>
    <t>P10669</t>
  </si>
  <si>
    <t>P10670</t>
  </si>
  <si>
    <t>P10671</t>
  </si>
  <si>
    <t>P10672</t>
  </si>
  <si>
    <t>P10673</t>
  </si>
  <si>
    <t>P10674</t>
  </si>
  <si>
    <t>P10675</t>
  </si>
  <si>
    <t>P10676</t>
  </si>
  <si>
    <t>P10677</t>
  </si>
  <si>
    <t>P10678</t>
  </si>
  <si>
    <t>P10679</t>
  </si>
  <si>
    <t>P10680</t>
  </si>
  <si>
    <t>P10681</t>
  </si>
  <si>
    <t>P10682</t>
  </si>
  <si>
    <t>P10683</t>
  </si>
  <si>
    <t>P10684</t>
  </si>
  <si>
    <t>P10685</t>
  </si>
  <si>
    <t>P10686</t>
  </si>
  <si>
    <t>P10687</t>
  </si>
  <si>
    <t>P10688</t>
  </si>
  <si>
    <t>P10689</t>
  </si>
  <si>
    <t>P10690</t>
  </si>
  <si>
    <t>P10691</t>
  </si>
  <si>
    <t>P10692</t>
  </si>
  <si>
    <t>P10693</t>
  </si>
  <si>
    <t>P10694</t>
  </si>
  <si>
    <t>P10695</t>
  </si>
  <si>
    <t>P10696</t>
  </si>
  <si>
    <t>P10697</t>
  </si>
  <si>
    <t>P10698</t>
  </si>
  <si>
    <t>P10699</t>
  </si>
  <si>
    <t>P10700</t>
  </si>
  <si>
    <t>P10701</t>
  </si>
  <si>
    <t>P10702</t>
  </si>
  <si>
    <t>P10703</t>
  </si>
  <si>
    <t>P10704</t>
  </si>
  <si>
    <t>P10705</t>
  </si>
  <si>
    <t>P10706</t>
  </si>
  <si>
    <t>P10707</t>
  </si>
  <si>
    <t>P10708</t>
  </si>
  <si>
    <t>P10709</t>
  </si>
  <si>
    <t>P10710</t>
  </si>
  <si>
    <t>P10711</t>
  </si>
  <si>
    <t>P10712</t>
  </si>
  <si>
    <t>P10713</t>
  </si>
  <si>
    <t>P10714</t>
  </si>
  <si>
    <t>P10715</t>
  </si>
  <si>
    <t>P10716</t>
  </si>
  <si>
    <t>P10717</t>
  </si>
  <si>
    <t>P10718</t>
  </si>
  <si>
    <t>P10719</t>
  </si>
  <si>
    <t>P10720</t>
  </si>
  <si>
    <t>P10721</t>
  </si>
  <si>
    <t>P10722</t>
  </si>
  <si>
    <t>P10723</t>
  </si>
  <si>
    <t>P10724</t>
  </si>
  <si>
    <t>P10725</t>
  </si>
  <si>
    <t>P10726</t>
  </si>
  <si>
    <t>P10727</t>
  </si>
  <si>
    <t>P10728</t>
  </si>
  <si>
    <t>P10729</t>
  </si>
  <si>
    <t>P10730</t>
  </si>
  <si>
    <t>P10731</t>
  </si>
  <si>
    <t>P10732</t>
  </si>
  <si>
    <t>P10733</t>
  </si>
  <si>
    <t>P10734</t>
  </si>
  <si>
    <t>P10735</t>
  </si>
  <si>
    <t>P10736</t>
  </si>
  <si>
    <t>P10737</t>
  </si>
  <si>
    <t>P10738</t>
  </si>
  <si>
    <t>P10739</t>
  </si>
  <si>
    <t>P10740</t>
  </si>
  <si>
    <t>P10741</t>
  </si>
  <si>
    <t>P10742</t>
  </si>
  <si>
    <t>P10743</t>
  </si>
  <si>
    <t>P10744</t>
  </si>
  <si>
    <t>P10745</t>
  </si>
  <si>
    <t>P10746</t>
  </si>
  <si>
    <t>P10747</t>
  </si>
  <si>
    <t>P10748</t>
  </si>
  <si>
    <t>P10749</t>
  </si>
  <si>
    <t>P10750</t>
  </si>
  <si>
    <t>P10751</t>
  </si>
  <si>
    <t>P10752</t>
  </si>
  <si>
    <t>P10753</t>
  </si>
  <si>
    <t>P10754</t>
  </si>
  <si>
    <t>P10755</t>
  </si>
  <si>
    <t>P10756</t>
  </si>
  <si>
    <t>P10757</t>
  </si>
  <si>
    <t>P10758</t>
  </si>
  <si>
    <t>P10759</t>
  </si>
  <si>
    <t>P10760</t>
  </si>
  <si>
    <t>P10761</t>
  </si>
  <si>
    <t>P10762</t>
  </si>
  <si>
    <t>P10763</t>
  </si>
  <si>
    <t>P10764</t>
  </si>
  <si>
    <t>P10765</t>
  </si>
  <si>
    <t>P10766</t>
  </si>
  <si>
    <t>P10767</t>
  </si>
  <si>
    <t>P10768</t>
  </si>
  <si>
    <t>P10769</t>
  </si>
  <si>
    <t>P10770</t>
  </si>
  <si>
    <t>P10771</t>
  </si>
  <si>
    <t>P10772</t>
  </si>
  <si>
    <t>P10773</t>
  </si>
  <si>
    <t>P10774</t>
  </si>
  <si>
    <t>P10775</t>
  </si>
  <si>
    <t>P10776</t>
  </si>
  <si>
    <t>P10777</t>
  </si>
  <si>
    <t>P10778</t>
  </si>
  <si>
    <t>P10779</t>
  </si>
  <si>
    <t>P10780</t>
  </si>
  <si>
    <t>P10781</t>
  </si>
  <si>
    <t>P10782</t>
  </si>
  <si>
    <t>P10783</t>
  </si>
  <si>
    <t>P10784</t>
  </si>
  <si>
    <t>P10785</t>
  </si>
  <si>
    <t>P10786</t>
  </si>
  <si>
    <t>P10787</t>
  </si>
  <si>
    <t>P10788</t>
  </si>
  <si>
    <t>P10789</t>
  </si>
  <si>
    <t>P10790</t>
  </si>
  <si>
    <t>P10791</t>
  </si>
  <si>
    <t>P10792</t>
  </si>
  <si>
    <t>P10793</t>
  </si>
  <si>
    <t>P10794</t>
  </si>
  <si>
    <t>P10795</t>
  </si>
  <si>
    <t>P10796</t>
  </si>
  <si>
    <t>P10797</t>
  </si>
  <si>
    <t>P10798</t>
  </si>
  <si>
    <t>P10799</t>
  </si>
  <si>
    <t>P10800</t>
  </si>
  <si>
    <t>P10801</t>
  </si>
  <si>
    <t>P10802</t>
  </si>
  <si>
    <t>P10803</t>
  </si>
  <si>
    <t>P10804</t>
  </si>
  <si>
    <t>P10805</t>
  </si>
  <si>
    <t>P10806</t>
  </si>
  <si>
    <t>P10807</t>
  </si>
  <si>
    <t>P10808</t>
  </si>
  <si>
    <t>P10809</t>
  </si>
  <si>
    <t>P10810</t>
  </si>
  <si>
    <t>P10811</t>
  </si>
  <si>
    <t>P10812</t>
  </si>
  <si>
    <t>P10813</t>
  </si>
  <si>
    <t>P10814</t>
  </si>
  <si>
    <t>P10815</t>
  </si>
  <si>
    <t>P10816</t>
  </si>
  <si>
    <t>P10817</t>
  </si>
  <si>
    <t>P10818</t>
  </si>
  <si>
    <t>P10819</t>
  </si>
  <si>
    <t>P10820</t>
  </si>
  <si>
    <t>P10821</t>
  </si>
  <si>
    <t>P10822</t>
  </si>
  <si>
    <t>P10823</t>
  </si>
  <si>
    <t>P10824</t>
  </si>
  <si>
    <t>P10825</t>
  </si>
  <si>
    <t>P10826</t>
  </si>
  <si>
    <t>P10827</t>
  </si>
  <si>
    <t>P10828</t>
  </si>
  <si>
    <t>P10829</t>
  </si>
  <si>
    <t>P10830</t>
  </si>
  <si>
    <t>P10831</t>
  </si>
  <si>
    <t>P10832</t>
  </si>
  <si>
    <t>P10833</t>
  </si>
  <si>
    <t>P10834</t>
  </si>
  <si>
    <t>P10835</t>
  </si>
  <si>
    <t>P10836</t>
  </si>
  <si>
    <t>P10837</t>
  </si>
  <si>
    <t>P10838</t>
  </si>
  <si>
    <t>P10839</t>
  </si>
  <si>
    <t>P10840</t>
  </si>
  <si>
    <t>P10841</t>
  </si>
  <si>
    <t>P10842</t>
  </si>
  <si>
    <t>P10843</t>
  </si>
  <si>
    <t>P10844</t>
  </si>
  <si>
    <t>P10845</t>
  </si>
  <si>
    <t>P10846</t>
  </si>
  <si>
    <t>P10847</t>
  </si>
  <si>
    <t>P10848</t>
  </si>
  <si>
    <t>P10849</t>
  </si>
  <si>
    <t>P10850</t>
  </si>
  <si>
    <t>P10851</t>
  </si>
  <si>
    <t>P10852</t>
  </si>
  <si>
    <t>P10853</t>
  </si>
  <si>
    <t>P10854</t>
  </si>
  <si>
    <t>P10855</t>
  </si>
  <si>
    <t>P10856</t>
  </si>
  <si>
    <t>P10857</t>
  </si>
  <si>
    <t>P10858</t>
  </si>
  <si>
    <t>P10859</t>
  </si>
  <si>
    <t>P10860</t>
  </si>
  <si>
    <t>P10861</t>
  </si>
  <si>
    <t>P10862</t>
  </si>
  <si>
    <t>P10863</t>
  </si>
  <si>
    <t>P10864</t>
  </si>
  <si>
    <t>P10865</t>
  </si>
  <si>
    <t>P10866</t>
  </si>
  <si>
    <t>P10867</t>
  </si>
  <si>
    <t>P10868</t>
  </si>
  <si>
    <t>P10869</t>
  </si>
  <si>
    <t>P10870</t>
  </si>
  <si>
    <t>P10871</t>
  </si>
  <si>
    <t>P10872</t>
  </si>
  <si>
    <t>P10873</t>
  </si>
  <si>
    <t>P10874</t>
  </si>
  <si>
    <t>P10875</t>
  </si>
  <si>
    <t>P10876</t>
  </si>
  <si>
    <t>P10877</t>
  </si>
  <si>
    <t>P10878</t>
  </si>
  <si>
    <t>P10879</t>
  </si>
  <si>
    <t>P10880</t>
  </si>
  <si>
    <t>P10881</t>
  </si>
  <si>
    <t>P10882</t>
  </si>
  <si>
    <t>P10883</t>
  </si>
  <si>
    <t>P10884</t>
  </si>
  <si>
    <t>P10885</t>
  </si>
  <si>
    <t>P10886</t>
  </si>
  <si>
    <t>P10887</t>
  </si>
  <si>
    <t>P10888</t>
  </si>
  <si>
    <t>P10889</t>
  </si>
  <si>
    <t>P10890</t>
  </si>
  <si>
    <t>P10891</t>
  </si>
  <si>
    <t>P10892</t>
  </si>
  <si>
    <t>P10893</t>
  </si>
  <si>
    <t>P10894</t>
  </si>
  <si>
    <t>P10895</t>
  </si>
  <si>
    <t>P10896</t>
  </si>
  <si>
    <t>P10897</t>
  </si>
  <si>
    <t>P10898</t>
  </si>
  <si>
    <t>P10899</t>
  </si>
  <si>
    <t>P10900</t>
  </si>
  <si>
    <t>P10901</t>
  </si>
  <si>
    <t>P10902</t>
  </si>
  <si>
    <t>P10903</t>
  </si>
  <si>
    <t>P10904</t>
  </si>
  <si>
    <t>P10905</t>
  </si>
  <si>
    <t>P10906</t>
  </si>
  <si>
    <t>P10907</t>
  </si>
  <si>
    <t>P10908</t>
  </si>
  <si>
    <t>P10909</t>
  </si>
  <si>
    <t>P10910</t>
  </si>
  <si>
    <t>P10911</t>
  </si>
  <si>
    <t>P10912</t>
  </si>
  <si>
    <t>P10913</t>
  </si>
  <si>
    <t>P10914</t>
  </si>
  <si>
    <t>P10915</t>
  </si>
  <si>
    <t>P10916</t>
  </si>
  <si>
    <t>P10917</t>
  </si>
  <si>
    <t>P10918</t>
  </si>
  <si>
    <t>P10919</t>
  </si>
  <si>
    <t>P10920</t>
  </si>
  <si>
    <t>P10921</t>
  </si>
  <si>
    <t>P10922</t>
  </si>
  <si>
    <t>P10923</t>
  </si>
  <si>
    <t>P10924</t>
  </si>
  <si>
    <t>P10925</t>
  </si>
  <si>
    <t>P10926</t>
  </si>
  <si>
    <t>P10927</t>
  </si>
  <si>
    <t>P10928</t>
  </si>
  <si>
    <t>P10929</t>
  </si>
  <si>
    <t>P10930</t>
  </si>
  <si>
    <t>P10931</t>
  </si>
  <si>
    <t>P10932</t>
  </si>
  <si>
    <t>P10933</t>
  </si>
  <si>
    <t>P10934</t>
  </si>
  <si>
    <t>P10935</t>
  </si>
  <si>
    <t>P10936</t>
  </si>
  <si>
    <t>P10937</t>
  </si>
  <si>
    <t>P10938</t>
  </si>
  <si>
    <t>P10939</t>
  </si>
  <si>
    <t>P10940</t>
  </si>
  <si>
    <t>P10941</t>
  </si>
  <si>
    <t>P10942</t>
  </si>
  <si>
    <t>P10943</t>
  </si>
  <si>
    <t>P10944</t>
  </si>
  <si>
    <t>P10945</t>
  </si>
  <si>
    <t>P10946</t>
  </si>
  <si>
    <t>P10947</t>
  </si>
  <si>
    <t>P10948</t>
  </si>
  <si>
    <t>P10949</t>
  </si>
  <si>
    <t>P10950</t>
  </si>
  <si>
    <t>P10951</t>
  </si>
  <si>
    <t>P10952</t>
  </si>
  <si>
    <t>P10953</t>
  </si>
  <si>
    <t>P10954</t>
  </si>
  <si>
    <t>P10955</t>
  </si>
  <si>
    <t>P10956</t>
  </si>
  <si>
    <t>P10957</t>
  </si>
  <si>
    <t>P10958</t>
  </si>
  <si>
    <t>P10959</t>
  </si>
  <si>
    <t>P10960</t>
  </si>
  <si>
    <t>P10961</t>
  </si>
  <si>
    <t>P10962</t>
  </si>
  <si>
    <t>P10963</t>
  </si>
  <si>
    <t>P10964</t>
  </si>
  <si>
    <t>P10965</t>
  </si>
  <si>
    <t>P10966</t>
  </si>
  <si>
    <t>P10967</t>
  </si>
  <si>
    <t>P10968</t>
  </si>
  <si>
    <t>P10969</t>
  </si>
  <si>
    <t>P10970</t>
  </si>
  <si>
    <t>P10971</t>
  </si>
  <si>
    <t>P10972</t>
  </si>
  <si>
    <t>P10973</t>
  </si>
  <si>
    <t>P10974</t>
  </si>
  <si>
    <t>P10975</t>
  </si>
  <si>
    <t>P10976</t>
  </si>
  <si>
    <t>P10977</t>
  </si>
  <si>
    <t>P10978</t>
  </si>
  <si>
    <t>P10979</t>
  </si>
  <si>
    <t>P10980</t>
  </si>
  <si>
    <t>P10981</t>
  </si>
  <si>
    <t>P10982</t>
  </si>
  <si>
    <t>P10983</t>
  </si>
  <si>
    <t>P10984</t>
  </si>
  <si>
    <t>P10985</t>
  </si>
  <si>
    <t>P10986</t>
  </si>
  <si>
    <t>P10987</t>
  </si>
  <si>
    <t>P10988</t>
  </si>
  <si>
    <t>P10989</t>
  </si>
  <si>
    <t>P10990</t>
  </si>
  <si>
    <t>P10991</t>
  </si>
  <si>
    <t>P10992</t>
  </si>
  <si>
    <t>P10993</t>
  </si>
  <si>
    <t>P10994</t>
  </si>
  <si>
    <t>P10995</t>
  </si>
  <si>
    <t>P10996</t>
  </si>
  <si>
    <t>P10997</t>
  </si>
  <si>
    <t>P10998</t>
  </si>
  <si>
    <t>P10999</t>
  </si>
  <si>
    <t>P11000</t>
  </si>
  <si>
    <t>Male</t>
  </si>
  <si>
    <t>Cardiology</t>
  </si>
  <si>
    <t>Hypertension</t>
  </si>
  <si>
    <t>Private</t>
  </si>
  <si>
    <t>No</t>
  </si>
  <si>
    <t>Recovered</t>
  </si>
  <si>
    <t>Female</t>
  </si>
  <si>
    <t>Neurology</t>
  </si>
  <si>
    <t>Stroke</t>
  </si>
  <si>
    <t>Government</t>
  </si>
  <si>
    <t>Improved</t>
  </si>
  <si>
    <t>Pulmonology</t>
  </si>
  <si>
    <t>Asthma</t>
  </si>
  <si>
    <t>Self-payed</t>
  </si>
  <si>
    <t>Dr.Seetha</t>
  </si>
  <si>
    <t>Orthopedics</t>
  </si>
  <si>
    <t>Fracture</t>
  </si>
  <si>
    <t>General Medicine</t>
  </si>
  <si>
    <t>Diabetes</t>
  </si>
  <si>
    <t>Dr.Shiva</t>
  </si>
  <si>
    <t>Viral Fever</t>
  </si>
  <si>
    <t>Oncology</t>
  </si>
  <si>
    <t>Cancer</t>
  </si>
  <si>
    <t>Yes</t>
  </si>
  <si>
    <t>Stable</t>
  </si>
  <si>
    <t>Dermatology</t>
  </si>
  <si>
    <t>Skin infection</t>
  </si>
  <si>
    <t>Gastroenterology</t>
  </si>
  <si>
    <t>Gastritis</t>
  </si>
  <si>
    <t>Skin Allegry</t>
  </si>
  <si>
    <t>Dr.Sai</t>
  </si>
  <si>
    <t>T.B</t>
  </si>
  <si>
    <t>Dr.Somesh</t>
  </si>
  <si>
    <t>Breast Cancer</t>
  </si>
  <si>
    <t>Gyanecology</t>
  </si>
  <si>
    <t>PCOS</t>
  </si>
  <si>
    <t>Femur Fracture</t>
  </si>
  <si>
    <t>Hernia</t>
  </si>
  <si>
    <t>Dr.Rani</t>
  </si>
  <si>
    <t>Typhoid Fever</t>
  </si>
  <si>
    <t>Dengue Fever</t>
  </si>
  <si>
    <t>Pneumonia</t>
  </si>
  <si>
    <t>Malaria</t>
  </si>
  <si>
    <t>Leg Fracture</t>
  </si>
  <si>
    <t>UTI</t>
  </si>
  <si>
    <t>Dr.Lalitha</t>
  </si>
  <si>
    <t>Migarine</t>
  </si>
  <si>
    <t>TKR</t>
  </si>
  <si>
    <t>Cystic Fibrosis</t>
  </si>
  <si>
    <t>vaginal infection</t>
  </si>
  <si>
    <t>Right Elbow Fracture</t>
  </si>
  <si>
    <t>CVA</t>
  </si>
  <si>
    <t>Appenditis</t>
  </si>
  <si>
    <t>Smallpox</t>
  </si>
  <si>
    <t>Heamothorax</t>
  </si>
  <si>
    <t>Hydrocephalus</t>
  </si>
  <si>
    <t>Cardiac Arrest</t>
  </si>
  <si>
    <t>Right Wrist Fracture</t>
  </si>
  <si>
    <t>Pigmentation</t>
  </si>
  <si>
    <t>Cystic Fibroids</t>
  </si>
  <si>
    <t>Tongue Cancer</t>
  </si>
  <si>
    <t>Humerus Fracture</t>
  </si>
  <si>
    <t>Palate Cancer</t>
  </si>
  <si>
    <t>Headache</t>
  </si>
  <si>
    <t>Bone Cancer</t>
  </si>
  <si>
    <t>Ribs Fracture</t>
  </si>
  <si>
    <t>MCA Infract</t>
  </si>
  <si>
    <t>Vaginal Discharge</t>
  </si>
  <si>
    <t>Skin rash</t>
  </si>
  <si>
    <t>Ankle fracture</t>
  </si>
  <si>
    <t>Polytrauma</t>
  </si>
  <si>
    <t>Oral Cancer</t>
  </si>
  <si>
    <t xml:space="preserve">stomach pain </t>
  </si>
  <si>
    <t>Ovarian Cyst</t>
  </si>
  <si>
    <t>Cardiomagaly</t>
  </si>
  <si>
    <t xml:space="preserve">Claft Lips </t>
  </si>
  <si>
    <t>Ulnar fracture</t>
  </si>
  <si>
    <t>COPD</t>
  </si>
  <si>
    <t>Gallbladder removal</t>
  </si>
  <si>
    <t>Clavical Fracture</t>
  </si>
  <si>
    <t>Rashes</t>
  </si>
  <si>
    <t>Vaginal rash</t>
  </si>
  <si>
    <t>Brain Tumor</t>
  </si>
  <si>
    <t>Cerebral plasy</t>
  </si>
  <si>
    <t>pelvis fracture</t>
  </si>
  <si>
    <t>Bronchitis</t>
  </si>
  <si>
    <t>Hormonal Imbalance</t>
  </si>
  <si>
    <t>Pelvic fracture</t>
  </si>
  <si>
    <t>Psoariasis</t>
  </si>
  <si>
    <t>Dr.Benson</t>
  </si>
  <si>
    <t>Ulcer</t>
  </si>
  <si>
    <t>Tibia Fracture</t>
  </si>
  <si>
    <t>Dr.Sree</t>
  </si>
  <si>
    <t xml:space="preserve"> Vaginal Infection</t>
  </si>
  <si>
    <t>Stomach Ulcer</t>
  </si>
  <si>
    <t>Pulmonary Embolism</t>
  </si>
  <si>
    <t>Cervical Cancer</t>
  </si>
  <si>
    <t>THR</t>
  </si>
  <si>
    <t>Ovarian cancer</t>
  </si>
  <si>
    <t>Right MCA Infract</t>
  </si>
  <si>
    <t>Elbow Fracture</t>
  </si>
  <si>
    <t>Blood Cancer</t>
  </si>
  <si>
    <t>Chest Pain</t>
  </si>
  <si>
    <t>Tetralogy Of Fallot</t>
  </si>
  <si>
    <t>CG Bleed</t>
  </si>
  <si>
    <t>Patella Fracture</t>
  </si>
  <si>
    <t>Vaginal cancer</t>
  </si>
  <si>
    <t>RF</t>
  </si>
  <si>
    <t>TRA</t>
  </si>
  <si>
    <t>Sepsis</t>
  </si>
  <si>
    <t>Nephrology</t>
  </si>
  <si>
    <t>Kidney Stones</t>
  </si>
  <si>
    <t>Left MCA Infarct</t>
  </si>
  <si>
    <t>ARF</t>
  </si>
  <si>
    <t>Dr.Ramu</t>
  </si>
  <si>
    <t>Empysema</t>
  </si>
  <si>
    <t>Rt leg  Fracture</t>
  </si>
  <si>
    <t>cardiamagoly</t>
  </si>
  <si>
    <t>Rt Ventricular Failure</t>
  </si>
  <si>
    <t>Knee Fracture</t>
  </si>
  <si>
    <t>Cervical Surgery</t>
  </si>
  <si>
    <t>AKF</t>
  </si>
  <si>
    <t>TB</t>
  </si>
  <si>
    <t>skin allegry</t>
  </si>
  <si>
    <t>Lt elbow fracture</t>
  </si>
  <si>
    <t>Rt MCA infarct</t>
  </si>
  <si>
    <t>Lt MCA infarct</t>
  </si>
  <si>
    <t>Rt pelvis Fracture</t>
  </si>
  <si>
    <t>RTA</t>
  </si>
  <si>
    <t>Scapula Tumor</t>
  </si>
  <si>
    <t>Malaria Fever</t>
  </si>
  <si>
    <t>Chicken Pox</t>
  </si>
  <si>
    <t>Dr.Ramulu</t>
  </si>
  <si>
    <t>Dr.Krishnan</t>
  </si>
  <si>
    <t>CABG</t>
  </si>
  <si>
    <t xml:space="preserve">CVA </t>
  </si>
  <si>
    <t>severe sepsis</t>
  </si>
  <si>
    <t>Rt Radius Fracture</t>
  </si>
  <si>
    <t>spesis</t>
  </si>
  <si>
    <t>i</t>
  </si>
  <si>
    <t>cervical rash</t>
  </si>
  <si>
    <t>rr</t>
  </si>
  <si>
    <t>s</t>
  </si>
  <si>
    <t>sts</t>
  </si>
  <si>
    <t>stable</t>
  </si>
  <si>
    <t>neurology</t>
  </si>
  <si>
    <t>Gyneacology</t>
  </si>
  <si>
    <t>Dr.Ganesh</t>
  </si>
  <si>
    <t>GBS</t>
  </si>
  <si>
    <t>small pox</t>
  </si>
  <si>
    <t>Rash</t>
  </si>
  <si>
    <t>skin infection</t>
  </si>
  <si>
    <t>Ventricular Failure</t>
  </si>
  <si>
    <t>Hypotension</t>
  </si>
  <si>
    <t>Kidney Transplantation</t>
  </si>
  <si>
    <t>Dr.krishnan</t>
  </si>
  <si>
    <t>Dr.Somesg</t>
  </si>
  <si>
    <t>Dr</t>
  </si>
  <si>
    <t>NO</t>
  </si>
  <si>
    <t>QUALITY CHECK</t>
  </si>
  <si>
    <t>COUNT</t>
  </si>
  <si>
    <t>STATUS</t>
  </si>
  <si>
    <t>Total Records</t>
  </si>
  <si>
    <t>Duplicate Patient IDs</t>
  </si>
  <si>
    <t>Missing Patient IDs</t>
  </si>
  <si>
    <t>Missing Ages</t>
  </si>
  <si>
    <t>Invalid Ages</t>
  </si>
  <si>
    <t>Missing Gender</t>
  </si>
  <si>
    <t>Missing Department</t>
  </si>
  <si>
    <t>Missing Diagnosis</t>
  </si>
  <si>
    <t>Missing Admission Dates</t>
  </si>
  <si>
    <t>Future Admission Dates</t>
  </si>
  <si>
    <t>Missing Discharge Dates</t>
  </si>
  <si>
    <t>Invalid Discharge Dates</t>
  </si>
  <si>
    <t>Negative Treatment Costs</t>
  </si>
  <si>
    <t>PASS</t>
  </si>
  <si>
    <t>Healthcare KPI</t>
  </si>
  <si>
    <t>Value</t>
  </si>
  <si>
    <t>Total Patients</t>
  </si>
  <si>
    <t>Average Age</t>
  </si>
  <si>
    <t>Average Length Of Stay</t>
  </si>
  <si>
    <t>Total Treatment Cost</t>
  </si>
  <si>
    <t>Average Treatment Cost</t>
  </si>
  <si>
    <t>Maximum Treatment  Cost</t>
  </si>
  <si>
    <t>Minimum Treatment Cost</t>
  </si>
  <si>
    <t>Row Labels</t>
  </si>
  <si>
    <t>Grand Total</t>
  </si>
  <si>
    <t>Count of PATIENT ID</t>
  </si>
  <si>
    <t>2023</t>
  </si>
  <si>
    <t>2024</t>
  </si>
  <si>
    <t>2025</t>
  </si>
  <si>
    <t>2026</t>
  </si>
  <si>
    <t>Average of LENGTH OF STAY</t>
  </si>
  <si>
    <t>Patient Table 1- Patients By Department</t>
  </si>
  <si>
    <t>Pivot Table 2 - Patients by Diagnosis</t>
  </si>
  <si>
    <t xml:space="preserve">Pivot Table 3 - </t>
  </si>
  <si>
    <t>Yearly Admissions</t>
  </si>
  <si>
    <t>Pivot Table 4 - Average LOS By Department</t>
  </si>
  <si>
    <t>Sum of TREATMENT COST</t>
  </si>
  <si>
    <t>Pivot Table 5-</t>
  </si>
  <si>
    <t>Treatment Cost By Department</t>
  </si>
  <si>
    <t>Pivot Table 6</t>
  </si>
  <si>
    <t>Insurance Type</t>
  </si>
  <si>
    <t>Pivot Table 7- Patients By Doctors</t>
  </si>
  <si>
    <t>Healthcare Analytics - Key Insights</t>
  </si>
  <si>
    <t>Analysis Area</t>
  </si>
  <si>
    <t>Finding</t>
  </si>
  <si>
    <t>Business Insight</t>
  </si>
  <si>
    <t>Patient Volume</t>
  </si>
  <si>
    <t>Dermatology -211 Patients</t>
  </si>
  <si>
    <t>Dermatology has the highest patient volume,indicating a greater demand for resources in this department</t>
  </si>
  <si>
    <t>Cost Analysis</t>
  </si>
  <si>
    <t>Neurology- Highest Cost</t>
  </si>
  <si>
    <t>Neurology has the highest treatment cost , suggesting an opportunity to review resource utilization and cost drivers</t>
  </si>
  <si>
    <t>Length Of Stay</t>
  </si>
  <si>
    <t>Cardiology - 15.5 days</t>
  </si>
  <si>
    <t>Cardiology has the longest average stay, indiacting potentially greater utilization of inpatient resources.</t>
  </si>
  <si>
    <t>Patient Demographics</t>
  </si>
  <si>
    <t>Average of AGE</t>
  </si>
  <si>
    <t>Pivot Table 8- Average Of Age</t>
  </si>
  <si>
    <t>Highest Average Age -44 Years</t>
  </si>
  <si>
    <t>The Patient Population is relatively older,which may influence care planning and resource requirements.</t>
  </si>
  <si>
    <t>Cost &amp; LOS Relationship</t>
  </si>
  <si>
    <t>Higher LOS associated with higher cost</t>
  </si>
  <si>
    <t>Longer hospital stays appear to increase treatment costs , highligthing an opportunity to improve discharge planning and operational efficiency.</t>
  </si>
  <si>
    <t>Recommended Action</t>
  </si>
  <si>
    <t>Review Staffing</t>
  </si>
  <si>
    <t>Review Cost Drivers</t>
  </si>
  <si>
    <t>Review Discharge processes</t>
  </si>
  <si>
    <t>Review Patient Age</t>
  </si>
  <si>
    <t>Review Cost &amp; LOS</t>
  </si>
  <si>
    <t>EXECUTIVE  SUMMARY</t>
  </si>
  <si>
    <t>Key Findings</t>
  </si>
  <si>
    <t>Result</t>
  </si>
  <si>
    <t>Average LOS</t>
  </si>
  <si>
    <t>Total Healthcare Cost</t>
  </si>
  <si>
    <t>Highest Patient -Volume Department</t>
  </si>
  <si>
    <t>Most Common Admission Type</t>
  </si>
  <si>
    <t>10 days</t>
  </si>
  <si>
    <t>KEY BUSINESS INSIGHTS</t>
  </si>
  <si>
    <t>LOS</t>
  </si>
  <si>
    <t>Healthcare Cost</t>
  </si>
  <si>
    <t>Department Performace</t>
  </si>
  <si>
    <t>Admissions</t>
  </si>
  <si>
    <t>High-Volume departments may require additional staffing and resource allocation.</t>
  </si>
  <si>
    <t>The most common admission type indicates the primary pattern of hospital utilixation.</t>
  </si>
  <si>
    <t>RECOMMENDATIONS</t>
  </si>
  <si>
    <t>1.Optimize staffing in high-volume departments</t>
  </si>
  <si>
    <t>2.Monitor departments with unusually high patient costs.</t>
  </si>
  <si>
    <t>3.Analyze longer hospital stays to identify opportunities for improving efficiency.</t>
  </si>
  <si>
    <t>Healthcare Patient Data Analysis - Project Documentation</t>
  </si>
  <si>
    <t>Project Overview</t>
  </si>
  <si>
    <t xml:space="preserve">Project Title </t>
  </si>
  <si>
    <t>Healthcare Patient Data Analysis</t>
  </si>
  <si>
    <t xml:space="preserve">Objective </t>
  </si>
  <si>
    <t>Analyze Healthcare patient data to identify trends in demographics , departments, healthcare costs, and length of stay.</t>
  </si>
  <si>
    <t>Dataset</t>
  </si>
  <si>
    <t>Healthcare Patient Dataset containing 1,000 patient records.</t>
  </si>
  <si>
    <t xml:space="preserve">Tool Used </t>
  </si>
  <si>
    <t>Microsoft Excel</t>
  </si>
  <si>
    <t>Project Type</t>
  </si>
  <si>
    <t>Healthcare Data Analytics</t>
  </si>
  <si>
    <t>DATA PREPARATION</t>
  </si>
  <si>
    <t xml:space="preserve">Data Cleaning </t>
  </si>
  <si>
    <t>Removed duplicate records and checked for missing values</t>
  </si>
  <si>
    <t>Data Validation</t>
  </si>
  <si>
    <t>Checked data consistency , formatting , and valid values.</t>
  </si>
  <si>
    <t>Data Quality</t>
  </si>
  <si>
    <t>Confirmed 0 duplicate records and 0 missing values.</t>
  </si>
  <si>
    <t>Preparation Status</t>
  </si>
  <si>
    <t>Completed</t>
  </si>
  <si>
    <t>ANALYSIS &amp; KPIs</t>
  </si>
  <si>
    <t>Analysis Method</t>
  </si>
  <si>
    <t>Pivot Tables, Formulas, KPI calculations,Pivot Charts and Slicers.</t>
  </si>
  <si>
    <t>KPI1</t>
  </si>
  <si>
    <t>KPI2</t>
  </si>
  <si>
    <t>KPI3</t>
  </si>
  <si>
    <t>Total Healthcare cost</t>
  </si>
  <si>
    <t>KPI4</t>
  </si>
  <si>
    <t>KEY INSIGHTS</t>
  </si>
  <si>
    <t>Insight 1</t>
  </si>
  <si>
    <t>Insight 2</t>
  </si>
  <si>
    <t>Insight 3</t>
  </si>
  <si>
    <t>Insight 4</t>
  </si>
  <si>
    <t>Insight 5</t>
  </si>
  <si>
    <t xml:space="preserve">Recommendation </t>
  </si>
  <si>
    <t>Benefits</t>
  </si>
  <si>
    <t>TOOLS &amp; TECHNIQUES</t>
  </si>
  <si>
    <t>B</t>
  </si>
  <si>
    <t>A</t>
  </si>
  <si>
    <t>Tool /Technique</t>
  </si>
  <si>
    <t>Application</t>
  </si>
  <si>
    <t>Data Cleaning , analysis,calculations and visualization.</t>
  </si>
  <si>
    <t>Excel Formulas</t>
  </si>
  <si>
    <t>KPI calculations and data analysis</t>
  </si>
  <si>
    <t>Pivot Tables</t>
  </si>
  <si>
    <t>Summarizing and analyzing healthcare data</t>
  </si>
  <si>
    <t>PivotCharts</t>
  </si>
  <si>
    <t>Visualizing analytical results</t>
  </si>
  <si>
    <t>Slicers</t>
  </si>
  <si>
    <t>Interactive analytical results</t>
  </si>
  <si>
    <t>Dashboard</t>
  </si>
  <si>
    <t>Presenting KPIs and insights</t>
  </si>
  <si>
    <t>PROJECT DELIVERABLES</t>
  </si>
  <si>
    <t>Cleaned healthcare dataset</t>
  </si>
  <si>
    <t>Data quality analysis</t>
  </si>
  <si>
    <t>8 Pivot tables</t>
  </si>
  <si>
    <t>KPI dashboard</t>
  </si>
  <si>
    <t>Interactive slicers</t>
  </si>
  <si>
    <t>Key Insights</t>
  </si>
  <si>
    <t>Executive summary</t>
  </si>
  <si>
    <t>Recommendations</t>
  </si>
  <si>
    <t>Project Documentation</t>
  </si>
  <si>
    <t>CONCLUSION</t>
  </si>
  <si>
    <t>This project demonstrates the applcation of Microsoft Excel for healthcare data cleaning,analysis,visualization,and interpretation.The analysis provides insights into patient characteristics , healthcare utilization , costs, and operational performance , supporting data-driven decision-making in healthcare manageent.</t>
  </si>
  <si>
    <t>Project Status</t>
  </si>
  <si>
    <t xml:space="preserve">Prepared By </t>
  </si>
  <si>
    <t>Dr.K.Shiva Reddy</t>
  </si>
  <si>
    <t>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</si>
</sst>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11"/>
      <color theme="1"/>
      <name val="Aptos Narrow"/>
      <family val="2"/>
    </font>
    <font>
      <b/>
      <sz val="11"/>
      <color theme="1"/>
      <name val="Calibri"/>
      <family val="2"/>
      <scheme val="minor"/>
    </font>
    <font>
      <b/>
      <sz val="18"/>
      <color theme="1"/>
      <name val="Calibri"/>
      <family val="2"/>
      <scheme val="minor"/>
    </font>
    <font>
      <b/>
      <sz val="16"/>
      <color theme="1"/>
      <name val="Calibri"/>
      <family val="2"/>
      <scheme val="minor"/>
    </font>
    <font>
      <sz val="1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14" fontId="0" fillId="0" borderId="0" xfId="0" applyNumberFormat="1"/>
    <xf numFmtId="0" fontId="2" fillId="0" borderId="0" xfId="0" applyFont="1"/>
    <xf numFmtId="14" fontId="2" fillId="0" borderId="0" xfId="0" applyNumberFormat="1" applyFont="1"/>
    <xf numFmtId="16" fontId="0" fillId="0" borderId="0" xfId="0" applyNumberFormat="1"/>
    <xf numFmtId="0" fontId="3" fillId="0" borderId="0" xfId="0" applyFont="1"/>
    <xf numFmtId="0" fontId="0" fillId="0" borderId="0" xfId="0" pivotButton="1"/>
    <xf numFmtId="0" fontId="0" fillId="0" borderId="0" xfId="0" applyAlignment="1">
      <alignment horizontal="left"/>
    </xf>
    <xf numFmtId="0" fontId="0" fillId="0" borderId="0" xfId="0" applyAlignment="1">
      <alignment wrapText="1"/>
    </xf>
    <xf numFmtId="0" fontId="4" fillId="0" borderId="0" xfId="0" applyFont="1" applyAlignment="1">
      <alignment horizontal="center"/>
    </xf>
    <xf numFmtId="0" fontId="3" fillId="0" borderId="1" xfId="0" applyFont="1" applyBorder="1" applyAlignment="1">
      <alignment wrapText="1"/>
    </xf>
    <xf numFmtId="0" fontId="0" fillId="0" borderId="1" xfId="0" applyBorder="1"/>
    <xf numFmtId="0" fontId="0" fillId="0" borderId="1" xfId="0" applyBorder="1" applyAlignment="1">
      <alignment wrapText="1"/>
    </xf>
    <xf numFmtId="0" fontId="4" fillId="0" borderId="0" xfId="0" applyFont="1"/>
    <xf numFmtId="0" fontId="4" fillId="0" borderId="1" xfId="0" applyFont="1" applyBorder="1" applyAlignment="1">
      <alignment horizontal="left"/>
    </xf>
    <xf numFmtId="0" fontId="4" fillId="0" borderId="0" xfId="0" applyFont="1"/>
    <xf numFmtId="0" fontId="0" fillId="0" borderId="0" xfId="0"/>
    <xf numFmtId="0" fontId="0" fillId="0" borderId="0" xfId="0" applyNumberFormat="1"/>
    <xf numFmtId="0" fontId="4" fillId="0" borderId="0" xfId="0" applyFont="1" applyAlignment="1">
      <alignment wrapText="1"/>
    </xf>
    <xf numFmtId="0" fontId="3" fillId="0" borderId="0" xfId="0" applyFont="1" applyAlignment="1"/>
    <xf numFmtId="0" fontId="5" fillId="0" borderId="0" xfId="0" applyFont="1" applyAlignment="1"/>
    <xf numFmtId="0" fontId="4" fillId="0" borderId="0" xfId="0" applyFont="1" applyAlignment="1">
      <alignment horizontal="center"/>
    </xf>
    <xf numFmtId="0" fontId="6" fillId="0" borderId="0" xfId="0" applyFont="1" applyAlignment="1">
      <alignment horizontal="center"/>
    </xf>
    <xf numFmtId="0" fontId="0" fillId="0" borderId="0" xfId="0" applyFill="1" applyBorder="1" applyAlignment="1">
      <alignment wrapText="1"/>
    </xf>
    <xf numFmtId="0" fontId="0" fillId="0" borderId="0" xfId="0" applyAlignment="1">
      <alignment vertical="top" wrapText="1"/>
    </xf>
    <xf numFmtId="0" fontId="0" fillId="0" borderId="0" xfId="0" applyAlignment="1">
      <alignment vertical="top"/>
    </xf>
    <xf numFmtId="0" fontId="4" fillId="0" borderId="0" xfId="0" applyFont="1" applyAlignment="1">
      <alignment horizontal="center" vertical="center"/>
    </xf>
    <xf numFmtId="0" fontId="6" fillId="0" borderId="0" xfId="0" applyFont="1" applyAlignment="1">
      <alignment horizontal="center" vertical="center"/>
    </xf>
    <xf numFmtId="0" fontId="0" fillId="0" borderId="0" xfId="0" applyAlignment="1">
      <alignment horizontal="center" vertical="top"/>
    </xf>
    <xf numFmtId="0" fontId="0" fillId="0" borderId="0" xfId="0" applyAlignment="1">
      <alignment horizontal="center"/>
    </xf>
  </cellXfs>
  <cellStyles count="1">
    <cellStyle name="Normal" xfId="0" builtinId="0"/>
  </cellStyles>
  <dxfs count="7">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numFmt numFmtId="19" formatCode="dd/mm/yyyy"/>
    </dxf>
    <dxf>
      <numFmt numFmtId="19" formatCode="dd/mm/yyyy"/>
    </dxf>
    <dxf>
      <font>
        <b val="0"/>
        <i val="0"/>
        <strike val="0"/>
        <condense val="0"/>
        <extend val="0"/>
        <outline val="0"/>
        <shadow val="0"/>
        <u val="none"/>
        <vertAlign val="baseline"/>
        <sz val="11"/>
        <color theme="1"/>
        <name val="Aptos Narrow"/>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powerPivotData" Target="model/item.data"/><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1.xml"/><Relationship Id="rId19" Type="http://schemas.microsoft.com/office/2017/10/relationships/person" Target="persons/person.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Tables!PivotTable1</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Patients By Department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Tables'!$A$4:$A$15</c:f>
              <c:strCache>
                <c:ptCount val="11"/>
                <c:pt idx="0">
                  <c:v>Cardiology</c:v>
                </c:pt>
                <c:pt idx="1">
                  <c:v>Dermatology</c:v>
                </c:pt>
                <c:pt idx="2">
                  <c:v>Gastroenterology</c:v>
                </c:pt>
                <c:pt idx="3">
                  <c:v>General Medicine</c:v>
                </c:pt>
                <c:pt idx="4">
                  <c:v>Gyanecology</c:v>
                </c:pt>
                <c:pt idx="5">
                  <c:v>Gyneacology</c:v>
                </c:pt>
                <c:pt idx="6">
                  <c:v>Nephrology</c:v>
                </c:pt>
                <c:pt idx="7">
                  <c:v>Neurology</c:v>
                </c:pt>
                <c:pt idx="8">
                  <c:v>Oncology</c:v>
                </c:pt>
                <c:pt idx="9">
                  <c:v>Orthopedics</c:v>
                </c:pt>
                <c:pt idx="10">
                  <c:v>Pulmonology</c:v>
                </c:pt>
              </c:strCache>
            </c:strRef>
          </c:cat>
          <c:val>
            <c:numRef>
              <c:f>'Pivot Tables'!$B$4:$B$15</c:f>
              <c:numCache>
                <c:formatCode>General</c:formatCode>
                <c:ptCount val="11"/>
                <c:pt idx="0">
                  <c:v>129</c:v>
                </c:pt>
                <c:pt idx="1">
                  <c:v>211</c:v>
                </c:pt>
                <c:pt idx="2">
                  <c:v>33</c:v>
                </c:pt>
                <c:pt idx="3">
                  <c:v>112</c:v>
                </c:pt>
                <c:pt idx="4">
                  <c:v>33</c:v>
                </c:pt>
                <c:pt idx="5">
                  <c:v>6</c:v>
                </c:pt>
                <c:pt idx="6">
                  <c:v>112</c:v>
                </c:pt>
                <c:pt idx="7">
                  <c:v>89</c:v>
                </c:pt>
                <c:pt idx="8">
                  <c:v>39</c:v>
                </c:pt>
                <c:pt idx="9">
                  <c:v>106</c:v>
                </c:pt>
                <c:pt idx="10">
                  <c:v>130</c:v>
                </c:pt>
              </c:numCache>
            </c:numRef>
          </c:val>
          <c:extLst>
            <c:ext xmlns:c16="http://schemas.microsoft.com/office/drawing/2014/chart" uri="{C3380CC4-5D6E-409C-BE32-E72D297353CC}">
              <c16:uniqueId val="{00000000-D2CC-4866-BA38-BF3D1F1F1C7E}"/>
            </c:ext>
          </c:extLst>
        </c:ser>
        <c:dLbls>
          <c:showLegendKey val="0"/>
          <c:showVal val="0"/>
          <c:showCatName val="0"/>
          <c:showSerName val="0"/>
          <c:showPercent val="0"/>
          <c:showBubbleSize val="0"/>
        </c:dLbls>
        <c:gapWidth val="267"/>
        <c:overlap val="-43"/>
        <c:axId val="1960935535"/>
        <c:axId val="2058208271"/>
      </c:barChart>
      <c:catAx>
        <c:axId val="196093553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58208271"/>
        <c:crosses val="autoZero"/>
        <c:auto val="1"/>
        <c:lblAlgn val="ctr"/>
        <c:lblOffset val="100"/>
        <c:noMultiLvlLbl val="0"/>
      </c:catAx>
      <c:valAx>
        <c:axId val="205820827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6093553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Tables!PivotTable5</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Patients By Diagnosis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Total</c:v>
                </c:pt>
              </c:strCache>
            </c:strRef>
          </c:tx>
          <c:spPr>
            <a:pattFill prst="ltUpDiag">
              <a:fgClr>
                <a:schemeClr val="accent1"/>
              </a:fgClr>
              <a:bgClr>
                <a:schemeClr val="lt1"/>
              </a:bgClr>
            </a:pattFill>
            <a:ln>
              <a:noFill/>
            </a:ln>
            <a:effectLst/>
          </c:spPr>
          <c:invertIfNegative val="0"/>
          <c:cat>
            <c:strRef>
              <c:f>'Pivot Tables'!$A$19:$A$133</c:f>
              <c:strCache>
                <c:ptCount val="114"/>
                <c:pt idx="0">
                  <c:v> Vaginal Infection</c:v>
                </c:pt>
                <c:pt idx="1">
                  <c:v>AKF</c:v>
                </c:pt>
                <c:pt idx="2">
                  <c:v>Ankle fracture</c:v>
                </c:pt>
                <c:pt idx="3">
                  <c:v>Appenditis</c:v>
                </c:pt>
                <c:pt idx="4">
                  <c:v>ARF</c:v>
                </c:pt>
                <c:pt idx="5">
                  <c:v>Asthma</c:v>
                </c:pt>
                <c:pt idx="6">
                  <c:v>Blood Cancer</c:v>
                </c:pt>
                <c:pt idx="7">
                  <c:v>Bone Cancer</c:v>
                </c:pt>
                <c:pt idx="8">
                  <c:v>Brain Tumor</c:v>
                </c:pt>
                <c:pt idx="9">
                  <c:v>Breast Cancer</c:v>
                </c:pt>
                <c:pt idx="10">
                  <c:v>Bronchitis</c:v>
                </c:pt>
                <c:pt idx="11">
                  <c:v>CABG</c:v>
                </c:pt>
                <c:pt idx="12">
                  <c:v>Cancer</c:v>
                </c:pt>
                <c:pt idx="13">
                  <c:v>Cardiac Arrest</c:v>
                </c:pt>
                <c:pt idx="14">
                  <c:v>cardiamagoly</c:v>
                </c:pt>
                <c:pt idx="15">
                  <c:v>Cardiomagaly</c:v>
                </c:pt>
                <c:pt idx="16">
                  <c:v>Cerebral plasy</c:v>
                </c:pt>
                <c:pt idx="17">
                  <c:v>Cervical Cancer</c:v>
                </c:pt>
                <c:pt idx="18">
                  <c:v>cervical rash</c:v>
                </c:pt>
                <c:pt idx="19">
                  <c:v>Cervical Surgery</c:v>
                </c:pt>
                <c:pt idx="20">
                  <c:v>CG Bleed</c:v>
                </c:pt>
                <c:pt idx="21">
                  <c:v>Chest Pain</c:v>
                </c:pt>
                <c:pt idx="22">
                  <c:v>Chicken Pox</c:v>
                </c:pt>
                <c:pt idx="23">
                  <c:v>Claft Lips </c:v>
                </c:pt>
                <c:pt idx="24">
                  <c:v>Clavical Fracture</c:v>
                </c:pt>
                <c:pt idx="25">
                  <c:v>COPD</c:v>
                </c:pt>
                <c:pt idx="26">
                  <c:v>CVA</c:v>
                </c:pt>
                <c:pt idx="27">
                  <c:v>CVA </c:v>
                </c:pt>
                <c:pt idx="28">
                  <c:v>Cystic Fibroids</c:v>
                </c:pt>
                <c:pt idx="29">
                  <c:v>Cystic Fibrosis</c:v>
                </c:pt>
                <c:pt idx="30">
                  <c:v>Dengue Fever</c:v>
                </c:pt>
                <c:pt idx="31">
                  <c:v>Diabetes</c:v>
                </c:pt>
                <c:pt idx="32">
                  <c:v>Elbow Fracture</c:v>
                </c:pt>
                <c:pt idx="33">
                  <c:v>Empysema</c:v>
                </c:pt>
                <c:pt idx="34">
                  <c:v>Femur Fracture</c:v>
                </c:pt>
                <c:pt idx="35">
                  <c:v>Fracture</c:v>
                </c:pt>
                <c:pt idx="36">
                  <c:v>Gallbladder removal</c:v>
                </c:pt>
                <c:pt idx="37">
                  <c:v>Gastritis</c:v>
                </c:pt>
                <c:pt idx="38">
                  <c:v>GBS</c:v>
                </c:pt>
                <c:pt idx="39">
                  <c:v>Headache</c:v>
                </c:pt>
                <c:pt idx="40">
                  <c:v>Heamothorax</c:v>
                </c:pt>
                <c:pt idx="41">
                  <c:v>Hernia</c:v>
                </c:pt>
                <c:pt idx="42">
                  <c:v>Hormonal Imbalance</c:v>
                </c:pt>
                <c:pt idx="43">
                  <c:v>Humerus Fracture</c:v>
                </c:pt>
                <c:pt idx="44">
                  <c:v>Hydrocephalus</c:v>
                </c:pt>
                <c:pt idx="45">
                  <c:v>Hypertension</c:v>
                </c:pt>
                <c:pt idx="46">
                  <c:v>Hypotension</c:v>
                </c:pt>
                <c:pt idx="47">
                  <c:v>Kidney Stones</c:v>
                </c:pt>
                <c:pt idx="48">
                  <c:v>Kidney Transplantation</c:v>
                </c:pt>
                <c:pt idx="49">
                  <c:v>Knee Fracture</c:v>
                </c:pt>
                <c:pt idx="50">
                  <c:v>Left MCA Infarct</c:v>
                </c:pt>
                <c:pt idx="51">
                  <c:v>Leg Fracture</c:v>
                </c:pt>
                <c:pt idx="52">
                  <c:v>Lt elbow fracture</c:v>
                </c:pt>
                <c:pt idx="53">
                  <c:v>Lt MCA infarct</c:v>
                </c:pt>
                <c:pt idx="54">
                  <c:v>Malaria</c:v>
                </c:pt>
                <c:pt idx="55">
                  <c:v>Malaria Fever</c:v>
                </c:pt>
                <c:pt idx="56">
                  <c:v>MCA Infract</c:v>
                </c:pt>
                <c:pt idx="57">
                  <c:v>Migarine</c:v>
                </c:pt>
                <c:pt idx="58">
                  <c:v>Oral Cancer</c:v>
                </c:pt>
                <c:pt idx="59">
                  <c:v>Ovarian cancer</c:v>
                </c:pt>
                <c:pt idx="60">
                  <c:v>Ovarian Cyst</c:v>
                </c:pt>
                <c:pt idx="61">
                  <c:v>Palate Cancer</c:v>
                </c:pt>
                <c:pt idx="62">
                  <c:v>Patella Fracture</c:v>
                </c:pt>
                <c:pt idx="63">
                  <c:v>PCOS</c:v>
                </c:pt>
                <c:pt idx="64">
                  <c:v>Pelvic fracture</c:v>
                </c:pt>
                <c:pt idx="65">
                  <c:v>pelvis fracture</c:v>
                </c:pt>
                <c:pt idx="66">
                  <c:v>Pigmentation</c:v>
                </c:pt>
                <c:pt idx="67">
                  <c:v>Pneumonia</c:v>
                </c:pt>
                <c:pt idx="68">
                  <c:v>Polytrauma</c:v>
                </c:pt>
                <c:pt idx="69">
                  <c:v>Psoariasis</c:v>
                </c:pt>
                <c:pt idx="70">
                  <c:v>Pulmonary Embolism</c:v>
                </c:pt>
                <c:pt idx="71">
                  <c:v>Rash</c:v>
                </c:pt>
                <c:pt idx="72">
                  <c:v>Rashes</c:v>
                </c:pt>
                <c:pt idx="73">
                  <c:v>RF</c:v>
                </c:pt>
                <c:pt idx="74">
                  <c:v>Ribs Fracture</c:v>
                </c:pt>
                <c:pt idx="75">
                  <c:v>Right Elbow Fracture</c:v>
                </c:pt>
                <c:pt idx="76">
                  <c:v>Right MCA Infract</c:v>
                </c:pt>
                <c:pt idx="77">
                  <c:v>Right Wrist Fracture</c:v>
                </c:pt>
                <c:pt idx="78">
                  <c:v>Rt leg  Fracture</c:v>
                </c:pt>
                <c:pt idx="79">
                  <c:v>Rt MCA infarct</c:v>
                </c:pt>
                <c:pt idx="80">
                  <c:v>Rt pelvis Fracture</c:v>
                </c:pt>
                <c:pt idx="81">
                  <c:v>Rt Radius Fracture</c:v>
                </c:pt>
                <c:pt idx="82">
                  <c:v>Rt Ventricular Failure</c:v>
                </c:pt>
                <c:pt idx="83">
                  <c:v>RTA</c:v>
                </c:pt>
                <c:pt idx="84">
                  <c:v>Scapula Tumor</c:v>
                </c:pt>
                <c:pt idx="85">
                  <c:v>Sepsis</c:v>
                </c:pt>
                <c:pt idx="86">
                  <c:v>severe sepsis</c:v>
                </c:pt>
                <c:pt idx="87">
                  <c:v>skin allegry</c:v>
                </c:pt>
                <c:pt idx="88">
                  <c:v>skin infection</c:v>
                </c:pt>
                <c:pt idx="89">
                  <c:v>Skin rash</c:v>
                </c:pt>
                <c:pt idx="90">
                  <c:v>small pox</c:v>
                </c:pt>
                <c:pt idx="91">
                  <c:v>Smallpox</c:v>
                </c:pt>
                <c:pt idx="92">
                  <c:v>spesis</c:v>
                </c:pt>
                <c:pt idx="93">
                  <c:v>stomach pain </c:v>
                </c:pt>
                <c:pt idx="94">
                  <c:v>Stomach Ulcer</c:v>
                </c:pt>
                <c:pt idx="95">
                  <c:v>Stroke</c:v>
                </c:pt>
                <c:pt idx="96">
                  <c:v>T.B</c:v>
                </c:pt>
                <c:pt idx="97">
                  <c:v>TB</c:v>
                </c:pt>
                <c:pt idx="98">
                  <c:v>Tetralogy Of Fallot</c:v>
                </c:pt>
                <c:pt idx="99">
                  <c:v>THR</c:v>
                </c:pt>
                <c:pt idx="100">
                  <c:v>Tibia Fracture</c:v>
                </c:pt>
                <c:pt idx="101">
                  <c:v>TKR</c:v>
                </c:pt>
                <c:pt idx="102">
                  <c:v>Tongue Cancer</c:v>
                </c:pt>
                <c:pt idx="103">
                  <c:v>TRA</c:v>
                </c:pt>
                <c:pt idx="104">
                  <c:v>Typhoid Fever</c:v>
                </c:pt>
                <c:pt idx="105">
                  <c:v>Ulcer</c:v>
                </c:pt>
                <c:pt idx="106">
                  <c:v>Ulnar fracture</c:v>
                </c:pt>
                <c:pt idx="107">
                  <c:v>UTI</c:v>
                </c:pt>
                <c:pt idx="108">
                  <c:v>Vaginal cancer</c:v>
                </c:pt>
                <c:pt idx="109">
                  <c:v>Vaginal Discharge</c:v>
                </c:pt>
                <c:pt idx="110">
                  <c:v>vaginal infection</c:v>
                </c:pt>
                <c:pt idx="111">
                  <c:v>Vaginal rash</c:v>
                </c:pt>
                <c:pt idx="112">
                  <c:v>Ventricular Failure</c:v>
                </c:pt>
                <c:pt idx="113">
                  <c:v>Viral Fever</c:v>
                </c:pt>
              </c:strCache>
            </c:strRef>
          </c:cat>
          <c:val>
            <c:numRef>
              <c:f>'Pivot Tables'!$B$19:$B$133</c:f>
              <c:numCache>
                <c:formatCode>General</c:formatCode>
                <c:ptCount val="114"/>
                <c:pt idx="0">
                  <c:v>1</c:v>
                </c:pt>
                <c:pt idx="1">
                  <c:v>26</c:v>
                </c:pt>
                <c:pt idx="2">
                  <c:v>1</c:v>
                </c:pt>
                <c:pt idx="3">
                  <c:v>1</c:v>
                </c:pt>
                <c:pt idx="4">
                  <c:v>7</c:v>
                </c:pt>
                <c:pt idx="5">
                  <c:v>8</c:v>
                </c:pt>
                <c:pt idx="6">
                  <c:v>8</c:v>
                </c:pt>
                <c:pt idx="7">
                  <c:v>3</c:v>
                </c:pt>
                <c:pt idx="8">
                  <c:v>4</c:v>
                </c:pt>
                <c:pt idx="9">
                  <c:v>8</c:v>
                </c:pt>
                <c:pt idx="10">
                  <c:v>2</c:v>
                </c:pt>
                <c:pt idx="11">
                  <c:v>3</c:v>
                </c:pt>
                <c:pt idx="12">
                  <c:v>1</c:v>
                </c:pt>
                <c:pt idx="13">
                  <c:v>4</c:v>
                </c:pt>
                <c:pt idx="14">
                  <c:v>1</c:v>
                </c:pt>
                <c:pt idx="15">
                  <c:v>14</c:v>
                </c:pt>
                <c:pt idx="16">
                  <c:v>1</c:v>
                </c:pt>
                <c:pt idx="17">
                  <c:v>2</c:v>
                </c:pt>
                <c:pt idx="18">
                  <c:v>1</c:v>
                </c:pt>
                <c:pt idx="19">
                  <c:v>1</c:v>
                </c:pt>
                <c:pt idx="20">
                  <c:v>12</c:v>
                </c:pt>
                <c:pt idx="21">
                  <c:v>4</c:v>
                </c:pt>
                <c:pt idx="22">
                  <c:v>10</c:v>
                </c:pt>
                <c:pt idx="23">
                  <c:v>1</c:v>
                </c:pt>
                <c:pt idx="24">
                  <c:v>1</c:v>
                </c:pt>
                <c:pt idx="25">
                  <c:v>8</c:v>
                </c:pt>
                <c:pt idx="26">
                  <c:v>2</c:v>
                </c:pt>
                <c:pt idx="27">
                  <c:v>6</c:v>
                </c:pt>
                <c:pt idx="28">
                  <c:v>1</c:v>
                </c:pt>
                <c:pt idx="29">
                  <c:v>11</c:v>
                </c:pt>
                <c:pt idx="30">
                  <c:v>28</c:v>
                </c:pt>
                <c:pt idx="31">
                  <c:v>16</c:v>
                </c:pt>
                <c:pt idx="32">
                  <c:v>2</c:v>
                </c:pt>
                <c:pt idx="33">
                  <c:v>2</c:v>
                </c:pt>
                <c:pt idx="34">
                  <c:v>4</c:v>
                </c:pt>
                <c:pt idx="35">
                  <c:v>32</c:v>
                </c:pt>
                <c:pt idx="36">
                  <c:v>1</c:v>
                </c:pt>
                <c:pt idx="37">
                  <c:v>23</c:v>
                </c:pt>
                <c:pt idx="38">
                  <c:v>2</c:v>
                </c:pt>
                <c:pt idx="39">
                  <c:v>2</c:v>
                </c:pt>
                <c:pt idx="40">
                  <c:v>1</c:v>
                </c:pt>
                <c:pt idx="41">
                  <c:v>2</c:v>
                </c:pt>
                <c:pt idx="42">
                  <c:v>1</c:v>
                </c:pt>
                <c:pt idx="43">
                  <c:v>2</c:v>
                </c:pt>
                <c:pt idx="44">
                  <c:v>9</c:v>
                </c:pt>
                <c:pt idx="45">
                  <c:v>67</c:v>
                </c:pt>
                <c:pt idx="46">
                  <c:v>20</c:v>
                </c:pt>
                <c:pt idx="47">
                  <c:v>29</c:v>
                </c:pt>
                <c:pt idx="48">
                  <c:v>57</c:v>
                </c:pt>
                <c:pt idx="49">
                  <c:v>1</c:v>
                </c:pt>
                <c:pt idx="50">
                  <c:v>1</c:v>
                </c:pt>
                <c:pt idx="51">
                  <c:v>44</c:v>
                </c:pt>
                <c:pt idx="52">
                  <c:v>1</c:v>
                </c:pt>
                <c:pt idx="53">
                  <c:v>4</c:v>
                </c:pt>
                <c:pt idx="54">
                  <c:v>2</c:v>
                </c:pt>
                <c:pt idx="55">
                  <c:v>4</c:v>
                </c:pt>
                <c:pt idx="56">
                  <c:v>11</c:v>
                </c:pt>
                <c:pt idx="57">
                  <c:v>5</c:v>
                </c:pt>
                <c:pt idx="58">
                  <c:v>3</c:v>
                </c:pt>
                <c:pt idx="59">
                  <c:v>1</c:v>
                </c:pt>
                <c:pt idx="60">
                  <c:v>1</c:v>
                </c:pt>
                <c:pt idx="61">
                  <c:v>1</c:v>
                </c:pt>
                <c:pt idx="62">
                  <c:v>1</c:v>
                </c:pt>
                <c:pt idx="63">
                  <c:v>2</c:v>
                </c:pt>
                <c:pt idx="64">
                  <c:v>1</c:v>
                </c:pt>
                <c:pt idx="65">
                  <c:v>1</c:v>
                </c:pt>
                <c:pt idx="66">
                  <c:v>2</c:v>
                </c:pt>
                <c:pt idx="67">
                  <c:v>74</c:v>
                </c:pt>
                <c:pt idx="68">
                  <c:v>2</c:v>
                </c:pt>
                <c:pt idx="69">
                  <c:v>27</c:v>
                </c:pt>
                <c:pt idx="70">
                  <c:v>1</c:v>
                </c:pt>
                <c:pt idx="71">
                  <c:v>47</c:v>
                </c:pt>
                <c:pt idx="72">
                  <c:v>1</c:v>
                </c:pt>
                <c:pt idx="73">
                  <c:v>1</c:v>
                </c:pt>
                <c:pt idx="74">
                  <c:v>1</c:v>
                </c:pt>
                <c:pt idx="75">
                  <c:v>1</c:v>
                </c:pt>
                <c:pt idx="76">
                  <c:v>1</c:v>
                </c:pt>
                <c:pt idx="77">
                  <c:v>1</c:v>
                </c:pt>
                <c:pt idx="78">
                  <c:v>2</c:v>
                </c:pt>
                <c:pt idx="79">
                  <c:v>8</c:v>
                </c:pt>
                <c:pt idx="80">
                  <c:v>1</c:v>
                </c:pt>
                <c:pt idx="81">
                  <c:v>2</c:v>
                </c:pt>
                <c:pt idx="82">
                  <c:v>1</c:v>
                </c:pt>
                <c:pt idx="83">
                  <c:v>1</c:v>
                </c:pt>
                <c:pt idx="84">
                  <c:v>1</c:v>
                </c:pt>
                <c:pt idx="85">
                  <c:v>7</c:v>
                </c:pt>
                <c:pt idx="86">
                  <c:v>2</c:v>
                </c:pt>
                <c:pt idx="87">
                  <c:v>60</c:v>
                </c:pt>
                <c:pt idx="88">
                  <c:v>67</c:v>
                </c:pt>
                <c:pt idx="89">
                  <c:v>7</c:v>
                </c:pt>
                <c:pt idx="90">
                  <c:v>1</c:v>
                </c:pt>
                <c:pt idx="91">
                  <c:v>1</c:v>
                </c:pt>
                <c:pt idx="92">
                  <c:v>1</c:v>
                </c:pt>
                <c:pt idx="93">
                  <c:v>1</c:v>
                </c:pt>
                <c:pt idx="94">
                  <c:v>3</c:v>
                </c:pt>
                <c:pt idx="95">
                  <c:v>18</c:v>
                </c:pt>
                <c:pt idx="96">
                  <c:v>2</c:v>
                </c:pt>
                <c:pt idx="97">
                  <c:v>3</c:v>
                </c:pt>
                <c:pt idx="98">
                  <c:v>3</c:v>
                </c:pt>
                <c:pt idx="99">
                  <c:v>2</c:v>
                </c:pt>
                <c:pt idx="100">
                  <c:v>1</c:v>
                </c:pt>
                <c:pt idx="101">
                  <c:v>1</c:v>
                </c:pt>
                <c:pt idx="102">
                  <c:v>7</c:v>
                </c:pt>
                <c:pt idx="103">
                  <c:v>1</c:v>
                </c:pt>
                <c:pt idx="104">
                  <c:v>23</c:v>
                </c:pt>
                <c:pt idx="105">
                  <c:v>2</c:v>
                </c:pt>
                <c:pt idx="106">
                  <c:v>1</c:v>
                </c:pt>
                <c:pt idx="107">
                  <c:v>6</c:v>
                </c:pt>
                <c:pt idx="108">
                  <c:v>1</c:v>
                </c:pt>
                <c:pt idx="109">
                  <c:v>3</c:v>
                </c:pt>
                <c:pt idx="110">
                  <c:v>21</c:v>
                </c:pt>
                <c:pt idx="111">
                  <c:v>2</c:v>
                </c:pt>
                <c:pt idx="112">
                  <c:v>14</c:v>
                </c:pt>
                <c:pt idx="113">
                  <c:v>27</c:v>
                </c:pt>
              </c:numCache>
            </c:numRef>
          </c:val>
          <c:extLst>
            <c:ext xmlns:c16="http://schemas.microsoft.com/office/drawing/2014/chart" uri="{C3380CC4-5D6E-409C-BE32-E72D297353CC}">
              <c16:uniqueId val="{00000000-578B-4356-8D03-4DB2C9686BB1}"/>
            </c:ext>
          </c:extLst>
        </c:ser>
        <c:dLbls>
          <c:showLegendKey val="0"/>
          <c:showVal val="0"/>
          <c:showCatName val="0"/>
          <c:showSerName val="0"/>
          <c:showPercent val="0"/>
          <c:showBubbleSize val="0"/>
        </c:dLbls>
        <c:gapWidth val="269"/>
        <c:overlap val="-20"/>
        <c:axId val="1960929503"/>
        <c:axId val="1515644847"/>
      </c:barChart>
      <c:catAx>
        <c:axId val="196092950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15644847"/>
        <c:crosses val="autoZero"/>
        <c:auto val="1"/>
        <c:lblAlgn val="ctr"/>
        <c:lblOffset val="100"/>
        <c:noMultiLvlLbl val="0"/>
      </c:catAx>
      <c:valAx>
        <c:axId val="1515644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092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LOS By Department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Tables'!$E$11:$E$22</c:f>
              <c:strCache>
                <c:ptCount val="11"/>
                <c:pt idx="0">
                  <c:v>Cardiology</c:v>
                </c:pt>
                <c:pt idx="1">
                  <c:v>Dermatology</c:v>
                </c:pt>
                <c:pt idx="2">
                  <c:v>Gastroenterology</c:v>
                </c:pt>
                <c:pt idx="3">
                  <c:v>General Medicine</c:v>
                </c:pt>
                <c:pt idx="4">
                  <c:v>Gyanecology</c:v>
                </c:pt>
                <c:pt idx="5">
                  <c:v>Gyneacology</c:v>
                </c:pt>
                <c:pt idx="6">
                  <c:v>Nephrology</c:v>
                </c:pt>
                <c:pt idx="7">
                  <c:v>Neurology</c:v>
                </c:pt>
                <c:pt idx="8">
                  <c:v>Oncology</c:v>
                </c:pt>
                <c:pt idx="9">
                  <c:v>Orthopedics</c:v>
                </c:pt>
                <c:pt idx="10">
                  <c:v>Pulmonology</c:v>
                </c:pt>
              </c:strCache>
            </c:strRef>
          </c:cat>
          <c:val>
            <c:numRef>
              <c:f>'Pivot Tables'!$F$11:$F$22</c:f>
              <c:numCache>
                <c:formatCode>General</c:formatCode>
                <c:ptCount val="11"/>
                <c:pt idx="0">
                  <c:v>15.589147286821705</c:v>
                </c:pt>
                <c:pt idx="1">
                  <c:v>11.265402843601896</c:v>
                </c:pt>
                <c:pt idx="2">
                  <c:v>6.7575757575757578</c:v>
                </c:pt>
                <c:pt idx="3">
                  <c:v>10.044642857142858</c:v>
                </c:pt>
                <c:pt idx="4">
                  <c:v>6.2424242424242422</c:v>
                </c:pt>
                <c:pt idx="5">
                  <c:v>11</c:v>
                </c:pt>
                <c:pt idx="6">
                  <c:v>11.776785714285714</c:v>
                </c:pt>
                <c:pt idx="7">
                  <c:v>9.1460674157303377</c:v>
                </c:pt>
                <c:pt idx="8">
                  <c:v>8.1538461538461533</c:v>
                </c:pt>
                <c:pt idx="9">
                  <c:v>10.415094339622641</c:v>
                </c:pt>
                <c:pt idx="10">
                  <c:v>9.1230769230769226</c:v>
                </c:pt>
              </c:numCache>
            </c:numRef>
          </c:val>
          <c:extLst>
            <c:ext xmlns:c16="http://schemas.microsoft.com/office/drawing/2014/chart" uri="{C3380CC4-5D6E-409C-BE32-E72D297353CC}">
              <c16:uniqueId val="{00000000-476F-4309-BBB8-98B69C99B84C}"/>
            </c:ext>
          </c:extLst>
        </c:ser>
        <c:dLbls>
          <c:showLegendKey val="0"/>
          <c:showVal val="0"/>
          <c:showCatName val="0"/>
          <c:showSerName val="0"/>
          <c:showPercent val="0"/>
          <c:showBubbleSize val="0"/>
        </c:dLbls>
        <c:gapWidth val="115"/>
        <c:overlap val="-20"/>
        <c:axId val="509439327"/>
        <c:axId val="510114063"/>
      </c:barChart>
      <c:catAx>
        <c:axId val="5094393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114063"/>
        <c:crosses val="autoZero"/>
        <c:auto val="1"/>
        <c:lblAlgn val="ctr"/>
        <c:lblOffset val="100"/>
        <c:noMultiLvlLbl val="0"/>
      </c:catAx>
      <c:valAx>
        <c:axId val="5101140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4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Yearly Admissions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17-4D52-929B-E6837A7EDBE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17-4D52-929B-E6837A7EDBE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17-4D52-929B-E6837A7EDBE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317-4D52-929B-E6837A7EDBE2}"/>
              </c:ext>
            </c:extLst>
          </c:dPt>
          <c:cat>
            <c:strRef>
              <c:f>'Pivot Tables'!$E$4:$E$8</c:f>
              <c:strCache>
                <c:ptCount val="4"/>
                <c:pt idx="0">
                  <c:v>2023</c:v>
                </c:pt>
                <c:pt idx="1">
                  <c:v>2024</c:v>
                </c:pt>
                <c:pt idx="2">
                  <c:v>2025</c:v>
                </c:pt>
                <c:pt idx="3">
                  <c:v>2026</c:v>
                </c:pt>
              </c:strCache>
            </c:strRef>
          </c:cat>
          <c:val>
            <c:numRef>
              <c:f>'Pivot Tables'!$F$4:$F$8</c:f>
              <c:numCache>
                <c:formatCode>General</c:formatCode>
                <c:ptCount val="4"/>
                <c:pt idx="0">
                  <c:v>69</c:v>
                </c:pt>
                <c:pt idx="1">
                  <c:v>366</c:v>
                </c:pt>
                <c:pt idx="2">
                  <c:v>321</c:v>
                </c:pt>
                <c:pt idx="3">
                  <c:v>244</c:v>
                </c:pt>
              </c:numCache>
            </c:numRef>
          </c:val>
          <c:extLst>
            <c:ext xmlns:c16="http://schemas.microsoft.com/office/drawing/2014/chart" uri="{C3380CC4-5D6E-409C-BE32-E72D297353CC}">
              <c16:uniqueId val="{00000008-1317-4D52-929B-E6837A7EDB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[Healthcare_Analytics_Dashboard.xlsx]Pivot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Treatment</a:t>
            </a:r>
            <a:r>
              <a:rPr lang="en-IN" baseline="0"/>
              <a:t> Cost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Tables'!$K$3</c:f>
              <c:strCache>
                <c:ptCount val="1"/>
                <c:pt idx="0">
                  <c:v>Total</c:v>
                </c:pt>
              </c:strCache>
            </c:strRef>
          </c:tx>
          <c:spPr>
            <a:solidFill>
              <a:schemeClr val="accent4"/>
            </a:solidFill>
            <a:ln>
              <a:noFill/>
            </a:ln>
            <a:effectLst/>
          </c:spPr>
          <c:cat>
            <c:strRef>
              <c:f>'Pivot Tables'!$J$4:$J$15</c:f>
              <c:strCache>
                <c:ptCount val="11"/>
                <c:pt idx="0">
                  <c:v>Cardiology</c:v>
                </c:pt>
                <c:pt idx="1">
                  <c:v>Dermatology</c:v>
                </c:pt>
                <c:pt idx="2">
                  <c:v>Gastroenterology</c:v>
                </c:pt>
                <c:pt idx="3">
                  <c:v>General Medicine</c:v>
                </c:pt>
                <c:pt idx="4">
                  <c:v>Gyanecology</c:v>
                </c:pt>
                <c:pt idx="5">
                  <c:v>Gyneacology</c:v>
                </c:pt>
                <c:pt idx="6">
                  <c:v>Nephrology</c:v>
                </c:pt>
                <c:pt idx="7">
                  <c:v>Neurology</c:v>
                </c:pt>
                <c:pt idx="8">
                  <c:v>Oncology</c:v>
                </c:pt>
                <c:pt idx="9">
                  <c:v>Orthopedics</c:v>
                </c:pt>
                <c:pt idx="10">
                  <c:v>Pulmonology</c:v>
                </c:pt>
              </c:strCache>
            </c:strRef>
          </c:cat>
          <c:val>
            <c:numRef>
              <c:f>'Pivot Tables'!$K$4:$K$15</c:f>
              <c:numCache>
                <c:formatCode>General</c:formatCode>
                <c:ptCount val="11"/>
                <c:pt idx="0">
                  <c:v>14831868</c:v>
                </c:pt>
                <c:pt idx="1">
                  <c:v>11885979</c:v>
                </c:pt>
                <c:pt idx="2">
                  <c:v>2862135</c:v>
                </c:pt>
                <c:pt idx="3">
                  <c:v>11291323</c:v>
                </c:pt>
                <c:pt idx="4">
                  <c:v>2641923</c:v>
                </c:pt>
                <c:pt idx="5">
                  <c:v>714000</c:v>
                </c:pt>
                <c:pt idx="6">
                  <c:v>13557045</c:v>
                </c:pt>
                <c:pt idx="7">
                  <c:v>17960279</c:v>
                </c:pt>
                <c:pt idx="8">
                  <c:v>4815800</c:v>
                </c:pt>
                <c:pt idx="9">
                  <c:v>11724590</c:v>
                </c:pt>
                <c:pt idx="10">
                  <c:v>15032851</c:v>
                </c:pt>
              </c:numCache>
            </c:numRef>
          </c:val>
          <c:extLst>
            <c:ext xmlns:c16="http://schemas.microsoft.com/office/drawing/2014/chart" uri="{C3380CC4-5D6E-409C-BE32-E72D297353CC}">
              <c16:uniqueId val="{00000000-DA62-4111-AD32-0DF09F4161A9}"/>
            </c:ext>
          </c:extLst>
        </c:ser>
        <c:dLbls>
          <c:showLegendKey val="0"/>
          <c:showVal val="0"/>
          <c:showCatName val="0"/>
          <c:showSerName val="0"/>
          <c:showPercent val="0"/>
          <c:showBubbleSize val="0"/>
        </c:dLbls>
        <c:axId val="563497423"/>
        <c:axId val="1304984815"/>
      </c:areaChart>
      <c:catAx>
        <c:axId val="563497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984815"/>
        <c:crosses val="autoZero"/>
        <c:auto val="1"/>
        <c:lblAlgn val="ctr"/>
        <c:lblOffset val="100"/>
        <c:noMultiLvlLbl val="0"/>
      </c:catAx>
      <c:valAx>
        <c:axId val="130498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4974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Tables!PivotTable9</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Insurance Type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Tables'!$J$20:$J$23</c:f>
              <c:strCache>
                <c:ptCount val="3"/>
                <c:pt idx="0">
                  <c:v>Government</c:v>
                </c:pt>
                <c:pt idx="1">
                  <c:v>Private</c:v>
                </c:pt>
                <c:pt idx="2">
                  <c:v>Self-payed</c:v>
                </c:pt>
              </c:strCache>
            </c:strRef>
          </c:cat>
          <c:val>
            <c:numRef>
              <c:f>'Pivot Tables'!$K$20:$K$23</c:f>
              <c:numCache>
                <c:formatCode>General</c:formatCode>
                <c:ptCount val="3"/>
                <c:pt idx="0">
                  <c:v>258</c:v>
                </c:pt>
                <c:pt idx="1">
                  <c:v>175</c:v>
                </c:pt>
                <c:pt idx="2">
                  <c:v>567</c:v>
                </c:pt>
              </c:numCache>
            </c:numRef>
          </c:val>
          <c:extLst>
            <c:ext xmlns:c16="http://schemas.microsoft.com/office/drawing/2014/chart" uri="{C3380CC4-5D6E-409C-BE32-E72D297353CC}">
              <c16:uniqueId val="{00000000-758C-4998-8214-C989A08FBB41}"/>
            </c:ext>
          </c:extLst>
        </c:ser>
        <c:dLbls>
          <c:showLegendKey val="0"/>
          <c:showVal val="0"/>
          <c:showCatName val="0"/>
          <c:showSerName val="0"/>
          <c:showPercent val="0"/>
          <c:showBubbleSize val="0"/>
        </c:dLbls>
        <c:gapWidth val="182"/>
        <c:overlap val="-50"/>
        <c:axId val="742830367"/>
        <c:axId val="509931663"/>
      </c:barChart>
      <c:catAx>
        <c:axId val="74283036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9931663"/>
        <c:crosses val="autoZero"/>
        <c:auto val="1"/>
        <c:lblAlgn val="ctr"/>
        <c:lblOffset val="100"/>
        <c:noMultiLvlLbl val="0"/>
      </c:catAx>
      <c:valAx>
        <c:axId val="50993166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283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Age</a:t>
            </a:r>
          </a:p>
        </c:rich>
      </c:tx>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Tables'!$K$27</c:f>
              <c:strCache>
                <c:ptCount val="1"/>
                <c:pt idx="0">
                  <c:v>Total</c:v>
                </c:pt>
              </c:strCache>
            </c:strRef>
          </c:tx>
          <c:spPr>
            <a:solidFill>
              <a:schemeClr val="accent1"/>
            </a:solidFill>
            <a:ln>
              <a:noFill/>
            </a:ln>
            <a:effectLst/>
          </c:spPr>
          <c:invertIfNegative val="0"/>
          <c:cat>
            <c:strRef>
              <c:f>'Pivot Tables'!$J$28:$J$1028</c:f>
              <c:strCache>
                <c:ptCount val="1000"/>
                <c:pt idx="0">
                  <c:v>P10001</c:v>
                </c:pt>
                <c:pt idx="1">
                  <c:v>P10002</c:v>
                </c:pt>
                <c:pt idx="2">
                  <c:v>P10003</c:v>
                </c:pt>
                <c:pt idx="3">
                  <c:v>P10004</c:v>
                </c:pt>
                <c:pt idx="4">
                  <c:v>P10005</c:v>
                </c:pt>
                <c:pt idx="5">
                  <c:v>P10006</c:v>
                </c:pt>
                <c:pt idx="6">
                  <c:v>P10007</c:v>
                </c:pt>
                <c:pt idx="7">
                  <c:v>P10008</c:v>
                </c:pt>
                <c:pt idx="8">
                  <c:v>P10009</c:v>
                </c:pt>
                <c:pt idx="9">
                  <c:v>P10010</c:v>
                </c:pt>
                <c:pt idx="10">
                  <c:v>P10011</c:v>
                </c:pt>
                <c:pt idx="11">
                  <c:v>P10012</c:v>
                </c:pt>
                <c:pt idx="12">
                  <c:v>P10013</c:v>
                </c:pt>
                <c:pt idx="13">
                  <c:v>P10014</c:v>
                </c:pt>
                <c:pt idx="14">
                  <c:v>P10015</c:v>
                </c:pt>
                <c:pt idx="15">
                  <c:v>P10016</c:v>
                </c:pt>
                <c:pt idx="16">
                  <c:v>P10017</c:v>
                </c:pt>
                <c:pt idx="17">
                  <c:v>P10018</c:v>
                </c:pt>
                <c:pt idx="18">
                  <c:v>P10019</c:v>
                </c:pt>
                <c:pt idx="19">
                  <c:v>P10020</c:v>
                </c:pt>
                <c:pt idx="20">
                  <c:v>P10021</c:v>
                </c:pt>
                <c:pt idx="21">
                  <c:v>P10022</c:v>
                </c:pt>
                <c:pt idx="22">
                  <c:v>P10023</c:v>
                </c:pt>
                <c:pt idx="23">
                  <c:v>P10024</c:v>
                </c:pt>
                <c:pt idx="24">
                  <c:v>P10025</c:v>
                </c:pt>
                <c:pt idx="25">
                  <c:v>P10026</c:v>
                </c:pt>
                <c:pt idx="26">
                  <c:v>P10027</c:v>
                </c:pt>
                <c:pt idx="27">
                  <c:v>P10028</c:v>
                </c:pt>
                <c:pt idx="28">
                  <c:v>P10029</c:v>
                </c:pt>
                <c:pt idx="29">
                  <c:v>P10030</c:v>
                </c:pt>
                <c:pt idx="30">
                  <c:v>P10031</c:v>
                </c:pt>
                <c:pt idx="31">
                  <c:v>P10032</c:v>
                </c:pt>
                <c:pt idx="32">
                  <c:v>P10033</c:v>
                </c:pt>
                <c:pt idx="33">
                  <c:v>P10034</c:v>
                </c:pt>
                <c:pt idx="34">
                  <c:v>P10035</c:v>
                </c:pt>
                <c:pt idx="35">
                  <c:v>P10036</c:v>
                </c:pt>
                <c:pt idx="36">
                  <c:v>P10037</c:v>
                </c:pt>
                <c:pt idx="37">
                  <c:v>P10038</c:v>
                </c:pt>
                <c:pt idx="38">
                  <c:v>P10039</c:v>
                </c:pt>
                <c:pt idx="39">
                  <c:v>P10040</c:v>
                </c:pt>
                <c:pt idx="40">
                  <c:v>P10041</c:v>
                </c:pt>
                <c:pt idx="41">
                  <c:v>P10042</c:v>
                </c:pt>
                <c:pt idx="42">
                  <c:v>P10043</c:v>
                </c:pt>
                <c:pt idx="43">
                  <c:v>P10044</c:v>
                </c:pt>
                <c:pt idx="44">
                  <c:v>P10045</c:v>
                </c:pt>
                <c:pt idx="45">
                  <c:v>P10046</c:v>
                </c:pt>
                <c:pt idx="46">
                  <c:v>P10047</c:v>
                </c:pt>
                <c:pt idx="47">
                  <c:v>P10048</c:v>
                </c:pt>
                <c:pt idx="48">
                  <c:v>P10049</c:v>
                </c:pt>
                <c:pt idx="49">
                  <c:v>P10050</c:v>
                </c:pt>
                <c:pt idx="50">
                  <c:v>P10051</c:v>
                </c:pt>
                <c:pt idx="51">
                  <c:v>P10052</c:v>
                </c:pt>
                <c:pt idx="52">
                  <c:v>P10053</c:v>
                </c:pt>
                <c:pt idx="53">
                  <c:v>P10054</c:v>
                </c:pt>
                <c:pt idx="54">
                  <c:v>P10055</c:v>
                </c:pt>
                <c:pt idx="55">
                  <c:v>P10056</c:v>
                </c:pt>
                <c:pt idx="56">
                  <c:v>P10057</c:v>
                </c:pt>
                <c:pt idx="57">
                  <c:v>P10058</c:v>
                </c:pt>
                <c:pt idx="58">
                  <c:v>P10059</c:v>
                </c:pt>
                <c:pt idx="59">
                  <c:v>P10060</c:v>
                </c:pt>
                <c:pt idx="60">
                  <c:v>P10061</c:v>
                </c:pt>
                <c:pt idx="61">
                  <c:v>P10062</c:v>
                </c:pt>
                <c:pt idx="62">
                  <c:v>P10063</c:v>
                </c:pt>
                <c:pt idx="63">
                  <c:v>P10064</c:v>
                </c:pt>
                <c:pt idx="64">
                  <c:v>P10065</c:v>
                </c:pt>
                <c:pt idx="65">
                  <c:v>P10066</c:v>
                </c:pt>
                <c:pt idx="66">
                  <c:v>P10067</c:v>
                </c:pt>
                <c:pt idx="67">
                  <c:v>P10068</c:v>
                </c:pt>
                <c:pt idx="68">
                  <c:v>P10069</c:v>
                </c:pt>
                <c:pt idx="69">
                  <c:v>P10070</c:v>
                </c:pt>
                <c:pt idx="70">
                  <c:v>P10071</c:v>
                </c:pt>
                <c:pt idx="71">
                  <c:v>P10072</c:v>
                </c:pt>
                <c:pt idx="72">
                  <c:v>P10073</c:v>
                </c:pt>
                <c:pt idx="73">
                  <c:v>P10074</c:v>
                </c:pt>
                <c:pt idx="74">
                  <c:v>P10075</c:v>
                </c:pt>
                <c:pt idx="75">
                  <c:v>P10076</c:v>
                </c:pt>
                <c:pt idx="76">
                  <c:v>P10077</c:v>
                </c:pt>
                <c:pt idx="77">
                  <c:v>P10078</c:v>
                </c:pt>
                <c:pt idx="78">
                  <c:v>P10079</c:v>
                </c:pt>
                <c:pt idx="79">
                  <c:v>P10080</c:v>
                </c:pt>
                <c:pt idx="80">
                  <c:v>P10081</c:v>
                </c:pt>
                <c:pt idx="81">
                  <c:v>P10082</c:v>
                </c:pt>
                <c:pt idx="82">
                  <c:v>P10083</c:v>
                </c:pt>
                <c:pt idx="83">
                  <c:v>P10084</c:v>
                </c:pt>
                <c:pt idx="84">
                  <c:v>P10085</c:v>
                </c:pt>
                <c:pt idx="85">
                  <c:v>P10086</c:v>
                </c:pt>
                <c:pt idx="86">
                  <c:v>P10087</c:v>
                </c:pt>
                <c:pt idx="87">
                  <c:v>P10088</c:v>
                </c:pt>
                <c:pt idx="88">
                  <c:v>P10089</c:v>
                </c:pt>
                <c:pt idx="89">
                  <c:v>P10090</c:v>
                </c:pt>
                <c:pt idx="90">
                  <c:v>P10091</c:v>
                </c:pt>
                <c:pt idx="91">
                  <c:v>P10092</c:v>
                </c:pt>
                <c:pt idx="92">
                  <c:v>P10093</c:v>
                </c:pt>
                <c:pt idx="93">
                  <c:v>P10094</c:v>
                </c:pt>
                <c:pt idx="94">
                  <c:v>P10095</c:v>
                </c:pt>
                <c:pt idx="95">
                  <c:v>P10096</c:v>
                </c:pt>
                <c:pt idx="96">
                  <c:v>P10097</c:v>
                </c:pt>
                <c:pt idx="97">
                  <c:v>P10098</c:v>
                </c:pt>
                <c:pt idx="98">
                  <c:v>P10099</c:v>
                </c:pt>
                <c:pt idx="99">
                  <c:v>P10100</c:v>
                </c:pt>
                <c:pt idx="100">
                  <c:v>P10101</c:v>
                </c:pt>
                <c:pt idx="101">
                  <c:v>P10102</c:v>
                </c:pt>
                <c:pt idx="102">
                  <c:v>P10103</c:v>
                </c:pt>
                <c:pt idx="103">
                  <c:v>P10104</c:v>
                </c:pt>
                <c:pt idx="104">
                  <c:v>P10105</c:v>
                </c:pt>
                <c:pt idx="105">
                  <c:v>P10106</c:v>
                </c:pt>
                <c:pt idx="106">
                  <c:v>P10107</c:v>
                </c:pt>
                <c:pt idx="107">
                  <c:v>P10108</c:v>
                </c:pt>
                <c:pt idx="108">
                  <c:v>P10109</c:v>
                </c:pt>
                <c:pt idx="109">
                  <c:v>P10110</c:v>
                </c:pt>
                <c:pt idx="110">
                  <c:v>P10111</c:v>
                </c:pt>
                <c:pt idx="111">
                  <c:v>P10112</c:v>
                </c:pt>
                <c:pt idx="112">
                  <c:v>P10113</c:v>
                </c:pt>
                <c:pt idx="113">
                  <c:v>P10114</c:v>
                </c:pt>
                <c:pt idx="114">
                  <c:v>P10115</c:v>
                </c:pt>
                <c:pt idx="115">
                  <c:v>P10116</c:v>
                </c:pt>
                <c:pt idx="116">
                  <c:v>P10117</c:v>
                </c:pt>
                <c:pt idx="117">
                  <c:v>P10118</c:v>
                </c:pt>
                <c:pt idx="118">
                  <c:v>P10119</c:v>
                </c:pt>
                <c:pt idx="119">
                  <c:v>P10120</c:v>
                </c:pt>
                <c:pt idx="120">
                  <c:v>P10121</c:v>
                </c:pt>
                <c:pt idx="121">
                  <c:v>P10122</c:v>
                </c:pt>
                <c:pt idx="122">
                  <c:v>P10123</c:v>
                </c:pt>
                <c:pt idx="123">
                  <c:v>P10124</c:v>
                </c:pt>
                <c:pt idx="124">
                  <c:v>P10125</c:v>
                </c:pt>
                <c:pt idx="125">
                  <c:v>P10126</c:v>
                </c:pt>
                <c:pt idx="126">
                  <c:v>P10127</c:v>
                </c:pt>
                <c:pt idx="127">
                  <c:v>P10128</c:v>
                </c:pt>
                <c:pt idx="128">
                  <c:v>P10129</c:v>
                </c:pt>
                <c:pt idx="129">
                  <c:v>P10130</c:v>
                </c:pt>
                <c:pt idx="130">
                  <c:v>P10131</c:v>
                </c:pt>
                <c:pt idx="131">
                  <c:v>P10132</c:v>
                </c:pt>
                <c:pt idx="132">
                  <c:v>P10133</c:v>
                </c:pt>
                <c:pt idx="133">
                  <c:v>P10134</c:v>
                </c:pt>
                <c:pt idx="134">
                  <c:v>P10135</c:v>
                </c:pt>
                <c:pt idx="135">
                  <c:v>P10136</c:v>
                </c:pt>
                <c:pt idx="136">
                  <c:v>P10137</c:v>
                </c:pt>
                <c:pt idx="137">
                  <c:v>P10138</c:v>
                </c:pt>
                <c:pt idx="138">
                  <c:v>P10139</c:v>
                </c:pt>
                <c:pt idx="139">
                  <c:v>P10140</c:v>
                </c:pt>
                <c:pt idx="140">
                  <c:v>P10141</c:v>
                </c:pt>
                <c:pt idx="141">
                  <c:v>P10142</c:v>
                </c:pt>
                <c:pt idx="142">
                  <c:v>P10143</c:v>
                </c:pt>
                <c:pt idx="143">
                  <c:v>P10144</c:v>
                </c:pt>
                <c:pt idx="144">
                  <c:v>P10145</c:v>
                </c:pt>
                <c:pt idx="145">
                  <c:v>P10146</c:v>
                </c:pt>
                <c:pt idx="146">
                  <c:v>P10147</c:v>
                </c:pt>
                <c:pt idx="147">
                  <c:v>P10148</c:v>
                </c:pt>
                <c:pt idx="148">
                  <c:v>P10149</c:v>
                </c:pt>
                <c:pt idx="149">
                  <c:v>P10150</c:v>
                </c:pt>
                <c:pt idx="150">
                  <c:v>P10151</c:v>
                </c:pt>
                <c:pt idx="151">
                  <c:v>P10152</c:v>
                </c:pt>
                <c:pt idx="152">
                  <c:v>P10153</c:v>
                </c:pt>
                <c:pt idx="153">
                  <c:v>P10154</c:v>
                </c:pt>
                <c:pt idx="154">
                  <c:v>P10155</c:v>
                </c:pt>
                <c:pt idx="155">
                  <c:v>P10156</c:v>
                </c:pt>
                <c:pt idx="156">
                  <c:v>P10157</c:v>
                </c:pt>
                <c:pt idx="157">
                  <c:v>P10158</c:v>
                </c:pt>
                <c:pt idx="158">
                  <c:v>P10159</c:v>
                </c:pt>
                <c:pt idx="159">
                  <c:v>P10160</c:v>
                </c:pt>
                <c:pt idx="160">
                  <c:v>P10161</c:v>
                </c:pt>
                <c:pt idx="161">
                  <c:v>P10162</c:v>
                </c:pt>
                <c:pt idx="162">
                  <c:v>P10163</c:v>
                </c:pt>
                <c:pt idx="163">
                  <c:v>P10164</c:v>
                </c:pt>
                <c:pt idx="164">
                  <c:v>P10165</c:v>
                </c:pt>
                <c:pt idx="165">
                  <c:v>P10166</c:v>
                </c:pt>
                <c:pt idx="166">
                  <c:v>P10167</c:v>
                </c:pt>
                <c:pt idx="167">
                  <c:v>P10168</c:v>
                </c:pt>
                <c:pt idx="168">
                  <c:v>P10169</c:v>
                </c:pt>
                <c:pt idx="169">
                  <c:v>P10170</c:v>
                </c:pt>
                <c:pt idx="170">
                  <c:v>P10171</c:v>
                </c:pt>
                <c:pt idx="171">
                  <c:v>P10172</c:v>
                </c:pt>
                <c:pt idx="172">
                  <c:v>P10173</c:v>
                </c:pt>
                <c:pt idx="173">
                  <c:v>P10174</c:v>
                </c:pt>
                <c:pt idx="174">
                  <c:v>P10175</c:v>
                </c:pt>
                <c:pt idx="175">
                  <c:v>P10176</c:v>
                </c:pt>
                <c:pt idx="176">
                  <c:v>P10177</c:v>
                </c:pt>
                <c:pt idx="177">
                  <c:v>P10178</c:v>
                </c:pt>
                <c:pt idx="178">
                  <c:v>P10179</c:v>
                </c:pt>
                <c:pt idx="179">
                  <c:v>P10180</c:v>
                </c:pt>
                <c:pt idx="180">
                  <c:v>P10181</c:v>
                </c:pt>
                <c:pt idx="181">
                  <c:v>P10182</c:v>
                </c:pt>
                <c:pt idx="182">
                  <c:v>P10183</c:v>
                </c:pt>
                <c:pt idx="183">
                  <c:v>P10184</c:v>
                </c:pt>
                <c:pt idx="184">
                  <c:v>P10185</c:v>
                </c:pt>
                <c:pt idx="185">
                  <c:v>P10186</c:v>
                </c:pt>
                <c:pt idx="186">
                  <c:v>P10187</c:v>
                </c:pt>
                <c:pt idx="187">
                  <c:v>P10188</c:v>
                </c:pt>
                <c:pt idx="188">
                  <c:v>P10189</c:v>
                </c:pt>
                <c:pt idx="189">
                  <c:v>P10190</c:v>
                </c:pt>
                <c:pt idx="190">
                  <c:v>P10191</c:v>
                </c:pt>
                <c:pt idx="191">
                  <c:v>P10192</c:v>
                </c:pt>
                <c:pt idx="192">
                  <c:v>P10193</c:v>
                </c:pt>
                <c:pt idx="193">
                  <c:v>P10194</c:v>
                </c:pt>
                <c:pt idx="194">
                  <c:v>P10195</c:v>
                </c:pt>
                <c:pt idx="195">
                  <c:v>P10196</c:v>
                </c:pt>
                <c:pt idx="196">
                  <c:v>P10197</c:v>
                </c:pt>
                <c:pt idx="197">
                  <c:v>P10198</c:v>
                </c:pt>
                <c:pt idx="198">
                  <c:v>P10199</c:v>
                </c:pt>
                <c:pt idx="199">
                  <c:v>P10200</c:v>
                </c:pt>
                <c:pt idx="200">
                  <c:v>P10201</c:v>
                </c:pt>
                <c:pt idx="201">
                  <c:v>P10202</c:v>
                </c:pt>
                <c:pt idx="202">
                  <c:v>P10203</c:v>
                </c:pt>
                <c:pt idx="203">
                  <c:v>P10204</c:v>
                </c:pt>
                <c:pt idx="204">
                  <c:v>P10205</c:v>
                </c:pt>
                <c:pt idx="205">
                  <c:v>P10206</c:v>
                </c:pt>
                <c:pt idx="206">
                  <c:v>P10207</c:v>
                </c:pt>
                <c:pt idx="207">
                  <c:v>P10208</c:v>
                </c:pt>
                <c:pt idx="208">
                  <c:v>P10209</c:v>
                </c:pt>
                <c:pt idx="209">
                  <c:v>P10210</c:v>
                </c:pt>
                <c:pt idx="210">
                  <c:v>P10211</c:v>
                </c:pt>
                <c:pt idx="211">
                  <c:v>P10212</c:v>
                </c:pt>
                <c:pt idx="212">
                  <c:v>P10213</c:v>
                </c:pt>
                <c:pt idx="213">
                  <c:v>P10214</c:v>
                </c:pt>
                <c:pt idx="214">
                  <c:v>P10215</c:v>
                </c:pt>
                <c:pt idx="215">
                  <c:v>P10216</c:v>
                </c:pt>
                <c:pt idx="216">
                  <c:v>P10217</c:v>
                </c:pt>
                <c:pt idx="217">
                  <c:v>P10218</c:v>
                </c:pt>
                <c:pt idx="218">
                  <c:v>P10219</c:v>
                </c:pt>
                <c:pt idx="219">
                  <c:v>P10220</c:v>
                </c:pt>
                <c:pt idx="220">
                  <c:v>P10221</c:v>
                </c:pt>
                <c:pt idx="221">
                  <c:v>P10222</c:v>
                </c:pt>
                <c:pt idx="222">
                  <c:v>P10223</c:v>
                </c:pt>
                <c:pt idx="223">
                  <c:v>P10224</c:v>
                </c:pt>
                <c:pt idx="224">
                  <c:v>P10225</c:v>
                </c:pt>
                <c:pt idx="225">
                  <c:v>P10226</c:v>
                </c:pt>
                <c:pt idx="226">
                  <c:v>P10227</c:v>
                </c:pt>
                <c:pt idx="227">
                  <c:v>P10228</c:v>
                </c:pt>
                <c:pt idx="228">
                  <c:v>P10229</c:v>
                </c:pt>
                <c:pt idx="229">
                  <c:v>P10230</c:v>
                </c:pt>
                <c:pt idx="230">
                  <c:v>P10231</c:v>
                </c:pt>
                <c:pt idx="231">
                  <c:v>P10232</c:v>
                </c:pt>
                <c:pt idx="232">
                  <c:v>P10233</c:v>
                </c:pt>
                <c:pt idx="233">
                  <c:v>P10234</c:v>
                </c:pt>
                <c:pt idx="234">
                  <c:v>P10235</c:v>
                </c:pt>
                <c:pt idx="235">
                  <c:v>P10236</c:v>
                </c:pt>
                <c:pt idx="236">
                  <c:v>P10237</c:v>
                </c:pt>
                <c:pt idx="237">
                  <c:v>P10238</c:v>
                </c:pt>
                <c:pt idx="238">
                  <c:v>P10239</c:v>
                </c:pt>
                <c:pt idx="239">
                  <c:v>P10240</c:v>
                </c:pt>
                <c:pt idx="240">
                  <c:v>P10241</c:v>
                </c:pt>
                <c:pt idx="241">
                  <c:v>P10242</c:v>
                </c:pt>
                <c:pt idx="242">
                  <c:v>P10243</c:v>
                </c:pt>
                <c:pt idx="243">
                  <c:v>P10244</c:v>
                </c:pt>
                <c:pt idx="244">
                  <c:v>P10245</c:v>
                </c:pt>
                <c:pt idx="245">
                  <c:v>P10246</c:v>
                </c:pt>
                <c:pt idx="246">
                  <c:v>P10247</c:v>
                </c:pt>
                <c:pt idx="247">
                  <c:v>P10248</c:v>
                </c:pt>
                <c:pt idx="248">
                  <c:v>P10249</c:v>
                </c:pt>
                <c:pt idx="249">
                  <c:v>P10250</c:v>
                </c:pt>
                <c:pt idx="250">
                  <c:v>P10251</c:v>
                </c:pt>
                <c:pt idx="251">
                  <c:v>P10252</c:v>
                </c:pt>
                <c:pt idx="252">
                  <c:v>P10253</c:v>
                </c:pt>
                <c:pt idx="253">
                  <c:v>P10254</c:v>
                </c:pt>
                <c:pt idx="254">
                  <c:v>P10255</c:v>
                </c:pt>
                <c:pt idx="255">
                  <c:v>P10256</c:v>
                </c:pt>
                <c:pt idx="256">
                  <c:v>P10257</c:v>
                </c:pt>
                <c:pt idx="257">
                  <c:v>P10258</c:v>
                </c:pt>
                <c:pt idx="258">
                  <c:v>P10259</c:v>
                </c:pt>
                <c:pt idx="259">
                  <c:v>P10260</c:v>
                </c:pt>
                <c:pt idx="260">
                  <c:v>P10261</c:v>
                </c:pt>
                <c:pt idx="261">
                  <c:v>P10262</c:v>
                </c:pt>
                <c:pt idx="262">
                  <c:v>P10263</c:v>
                </c:pt>
                <c:pt idx="263">
                  <c:v>P10264</c:v>
                </c:pt>
                <c:pt idx="264">
                  <c:v>P10265</c:v>
                </c:pt>
                <c:pt idx="265">
                  <c:v>P10266</c:v>
                </c:pt>
                <c:pt idx="266">
                  <c:v>P10267</c:v>
                </c:pt>
                <c:pt idx="267">
                  <c:v>P10268</c:v>
                </c:pt>
                <c:pt idx="268">
                  <c:v>P10269</c:v>
                </c:pt>
                <c:pt idx="269">
                  <c:v>P10270</c:v>
                </c:pt>
                <c:pt idx="270">
                  <c:v>P10271</c:v>
                </c:pt>
                <c:pt idx="271">
                  <c:v>P10272</c:v>
                </c:pt>
                <c:pt idx="272">
                  <c:v>P10273</c:v>
                </c:pt>
                <c:pt idx="273">
                  <c:v>P10274</c:v>
                </c:pt>
                <c:pt idx="274">
                  <c:v>P10275</c:v>
                </c:pt>
                <c:pt idx="275">
                  <c:v>P10276</c:v>
                </c:pt>
                <c:pt idx="276">
                  <c:v>P10277</c:v>
                </c:pt>
                <c:pt idx="277">
                  <c:v>P10278</c:v>
                </c:pt>
                <c:pt idx="278">
                  <c:v>P10279</c:v>
                </c:pt>
                <c:pt idx="279">
                  <c:v>P10280</c:v>
                </c:pt>
                <c:pt idx="280">
                  <c:v>P10281</c:v>
                </c:pt>
                <c:pt idx="281">
                  <c:v>P10282</c:v>
                </c:pt>
                <c:pt idx="282">
                  <c:v>P10283</c:v>
                </c:pt>
                <c:pt idx="283">
                  <c:v>P10284</c:v>
                </c:pt>
                <c:pt idx="284">
                  <c:v>P10285</c:v>
                </c:pt>
                <c:pt idx="285">
                  <c:v>P10286</c:v>
                </c:pt>
                <c:pt idx="286">
                  <c:v>P10287</c:v>
                </c:pt>
                <c:pt idx="287">
                  <c:v>P10288</c:v>
                </c:pt>
                <c:pt idx="288">
                  <c:v>P10289</c:v>
                </c:pt>
                <c:pt idx="289">
                  <c:v>P10290</c:v>
                </c:pt>
                <c:pt idx="290">
                  <c:v>P10291</c:v>
                </c:pt>
                <c:pt idx="291">
                  <c:v>P10292</c:v>
                </c:pt>
                <c:pt idx="292">
                  <c:v>P10293</c:v>
                </c:pt>
                <c:pt idx="293">
                  <c:v>P10294</c:v>
                </c:pt>
                <c:pt idx="294">
                  <c:v>P10295</c:v>
                </c:pt>
                <c:pt idx="295">
                  <c:v>P10296</c:v>
                </c:pt>
                <c:pt idx="296">
                  <c:v>P10297</c:v>
                </c:pt>
                <c:pt idx="297">
                  <c:v>P10298</c:v>
                </c:pt>
                <c:pt idx="298">
                  <c:v>P10299</c:v>
                </c:pt>
                <c:pt idx="299">
                  <c:v>P10300</c:v>
                </c:pt>
                <c:pt idx="300">
                  <c:v>P10301</c:v>
                </c:pt>
                <c:pt idx="301">
                  <c:v>P10302</c:v>
                </c:pt>
                <c:pt idx="302">
                  <c:v>P10303</c:v>
                </c:pt>
                <c:pt idx="303">
                  <c:v>P10304</c:v>
                </c:pt>
                <c:pt idx="304">
                  <c:v>P10305</c:v>
                </c:pt>
                <c:pt idx="305">
                  <c:v>P10306</c:v>
                </c:pt>
                <c:pt idx="306">
                  <c:v>P10307</c:v>
                </c:pt>
                <c:pt idx="307">
                  <c:v>P10308</c:v>
                </c:pt>
                <c:pt idx="308">
                  <c:v>P10309</c:v>
                </c:pt>
                <c:pt idx="309">
                  <c:v>P10310</c:v>
                </c:pt>
                <c:pt idx="310">
                  <c:v>P10311</c:v>
                </c:pt>
                <c:pt idx="311">
                  <c:v>P10312</c:v>
                </c:pt>
                <c:pt idx="312">
                  <c:v>P10313</c:v>
                </c:pt>
                <c:pt idx="313">
                  <c:v>P10314</c:v>
                </c:pt>
                <c:pt idx="314">
                  <c:v>P10315</c:v>
                </c:pt>
                <c:pt idx="315">
                  <c:v>P10316</c:v>
                </c:pt>
                <c:pt idx="316">
                  <c:v>P10317</c:v>
                </c:pt>
                <c:pt idx="317">
                  <c:v>P10318</c:v>
                </c:pt>
                <c:pt idx="318">
                  <c:v>P10319</c:v>
                </c:pt>
                <c:pt idx="319">
                  <c:v>P10320</c:v>
                </c:pt>
                <c:pt idx="320">
                  <c:v>P10321</c:v>
                </c:pt>
                <c:pt idx="321">
                  <c:v>P10322</c:v>
                </c:pt>
                <c:pt idx="322">
                  <c:v>P10323</c:v>
                </c:pt>
                <c:pt idx="323">
                  <c:v>P10324</c:v>
                </c:pt>
                <c:pt idx="324">
                  <c:v>P10325</c:v>
                </c:pt>
                <c:pt idx="325">
                  <c:v>P10326</c:v>
                </c:pt>
                <c:pt idx="326">
                  <c:v>P10327</c:v>
                </c:pt>
                <c:pt idx="327">
                  <c:v>P10328</c:v>
                </c:pt>
                <c:pt idx="328">
                  <c:v>P10329</c:v>
                </c:pt>
                <c:pt idx="329">
                  <c:v>P10330</c:v>
                </c:pt>
                <c:pt idx="330">
                  <c:v>P10331</c:v>
                </c:pt>
                <c:pt idx="331">
                  <c:v>P10332</c:v>
                </c:pt>
                <c:pt idx="332">
                  <c:v>P10333</c:v>
                </c:pt>
                <c:pt idx="333">
                  <c:v>P10334</c:v>
                </c:pt>
                <c:pt idx="334">
                  <c:v>P10335</c:v>
                </c:pt>
                <c:pt idx="335">
                  <c:v>P10336</c:v>
                </c:pt>
                <c:pt idx="336">
                  <c:v>P10337</c:v>
                </c:pt>
                <c:pt idx="337">
                  <c:v>P10338</c:v>
                </c:pt>
                <c:pt idx="338">
                  <c:v>P10339</c:v>
                </c:pt>
                <c:pt idx="339">
                  <c:v>P10340</c:v>
                </c:pt>
                <c:pt idx="340">
                  <c:v>P10341</c:v>
                </c:pt>
                <c:pt idx="341">
                  <c:v>P10342</c:v>
                </c:pt>
                <c:pt idx="342">
                  <c:v>P10343</c:v>
                </c:pt>
                <c:pt idx="343">
                  <c:v>P10344</c:v>
                </c:pt>
                <c:pt idx="344">
                  <c:v>P10345</c:v>
                </c:pt>
                <c:pt idx="345">
                  <c:v>P10346</c:v>
                </c:pt>
                <c:pt idx="346">
                  <c:v>P10347</c:v>
                </c:pt>
                <c:pt idx="347">
                  <c:v>P10348</c:v>
                </c:pt>
                <c:pt idx="348">
                  <c:v>P10349</c:v>
                </c:pt>
                <c:pt idx="349">
                  <c:v>P10350</c:v>
                </c:pt>
                <c:pt idx="350">
                  <c:v>P10351</c:v>
                </c:pt>
                <c:pt idx="351">
                  <c:v>P10352</c:v>
                </c:pt>
                <c:pt idx="352">
                  <c:v>P10353</c:v>
                </c:pt>
                <c:pt idx="353">
                  <c:v>P10354</c:v>
                </c:pt>
                <c:pt idx="354">
                  <c:v>P10355</c:v>
                </c:pt>
                <c:pt idx="355">
                  <c:v>P10356</c:v>
                </c:pt>
                <c:pt idx="356">
                  <c:v>P10357</c:v>
                </c:pt>
                <c:pt idx="357">
                  <c:v>P10358</c:v>
                </c:pt>
                <c:pt idx="358">
                  <c:v>P10359</c:v>
                </c:pt>
                <c:pt idx="359">
                  <c:v>P10360</c:v>
                </c:pt>
                <c:pt idx="360">
                  <c:v>P10361</c:v>
                </c:pt>
                <c:pt idx="361">
                  <c:v>P10362</c:v>
                </c:pt>
                <c:pt idx="362">
                  <c:v>P10363</c:v>
                </c:pt>
                <c:pt idx="363">
                  <c:v>P10364</c:v>
                </c:pt>
                <c:pt idx="364">
                  <c:v>P10365</c:v>
                </c:pt>
                <c:pt idx="365">
                  <c:v>P10366</c:v>
                </c:pt>
                <c:pt idx="366">
                  <c:v>P10367</c:v>
                </c:pt>
                <c:pt idx="367">
                  <c:v>P10368</c:v>
                </c:pt>
                <c:pt idx="368">
                  <c:v>P10369</c:v>
                </c:pt>
                <c:pt idx="369">
                  <c:v>P10370</c:v>
                </c:pt>
                <c:pt idx="370">
                  <c:v>P10371</c:v>
                </c:pt>
                <c:pt idx="371">
                  <c:v>P10372</c:v>
                </c:pt>
                <c:pt idx="372">
                  <c:v>P10373</c:v>
                </c:pt>
                <c:pt idx="373">
                  <c:v>P10374</c:v>
                </c:pt>
                <c:pt idx="374">
                  <c:v>P10375</c:v>
                </c:pt>
                <c:pt idx="375">
                  <c:v>P10376</c:v>
                </c:pt>
                <c:pt idx="376">
                  <c:v>P10377</c:v>
                </c:pt>
                <c:pt idx="377">
                  <c:v>P10378</c:v>
                </c:pt>
                <c:pt idx="378">
                  <c:v>P10379</c:v>
                </c:pt>
                <c:pt idx="379">
                  <c:v>P10380</c:v>
                </c:pt>
                <c:pt idx="380">
                  <c:v>P10381</c:v>
                </c:pt>
                <c:pt idx="381">
                  <c:v>P10382</c:v>
                </c:pt>
                <c:pt idx="382">
                  <c:v>P10383</c:v>
                </c:pt>
                <c:pt idx="383">
                  <c:v>P10384</c:v>
                </c:pt>
                <c:pt idx="384">
                  <c:v>P10385</c:v>
                </c:pt>
                <c:pt idx="385">
                  <c:v>P10386</c:v>
                </c:pt>
                <c:pt idx="386">
                  <c:v>P10387</c:v>
                </c:pt>
                <c:pt idx="387">
                  <c:v>P10388</c:v>
                </c:pt>
                <c:pt idx="388">
                  <c:v>P10389</c:v>
                </c:pt>
                <c:pt idx="389">
                  <c:v>P10390</c:v>
                </c:pt>
                <c:pt idx="390">
                  <c:v>P10391</c:v>
                </c:pt>
                <c:pt idx="391">
                  <c:v>P10392</c:v>
                </c:pt>
                <c:pt idx="392">
                  <c:v>P10393</c:v>
                </c:pt>
                <c:pt idx="393">
                  <c:v>P10394</c:v>
                </c:pt>
                <c:pt idx="394">
                  <c:v>P10395</c:v>
                </c:pt>
                <c:pt idx="395">
                  <c:v>P10396</c:v>
                </c:pt>
                <c:pt idx="396">
                  <c:v>P10397</c:v>
                </c:pt>
                <c:pt idx="397">
                  <c:v>P10398</c:v>
                </c:pt>
                <c:pt idx="398">
                  <c:v>P10399</c:v>
                </c:pt>
                <c:pt idx="399">
                  <c:v>P10400</c:v>
                </c:pt>
                <c:pt idx="400">
                  <c:v>P10401</c:v>
                </c:pt>
                <c:pt idx="401">
                  <c:v>P10402</c:v>
                </c:pt>
                <c:pt idx="402">
                  <c:v>P10403</c:v>
                </c:pt>
                <c:pt idx="403">
                  <c:v>P10404</c:v>
                </c:pt>
                <c:pt idx="404">
                  <c:v>P10405</c:v>
                </c:pt>
                <c:pt idx="405">
                  <c:v>P10406</c:v>
                </c:pt>
                <c:pt idx="406">
                  <c:v>P10407</c:v>
                </c:pt>
                <c:pt idx="407">
                  <c:v>P10408</c:v>
                </c:pt>
                <c:pt idx="408">
                  <c:v>P10409</c:v>
                </c:pt>
                <c:pt idx="409">
                  <c:v>P10410</c:v>
                </c:pt>
                <c:pt idx="410">
                  <c:v>P10411</c:v>
                </c:pt>
                <c:pt idx="411">
                  <c:v>P10412</c:v>
                </c:pt>
                <c:pt idx="412">
                  <c:v>P10413</c:v>
                </c:pt>
                <c:pt idx="413">
                  <c:v>P10414</c:v>
                </c:pt>
                <c:pt idx="414">
                  <c:v>P10415</c:v>
                </c:pt>
                <c:pt idx="415">
                  <c:v>P10416</c:v>
                </c:pt>
                <c:pt idx="416">
                  <c:v>P10417</c:v>
                </c:pt>
                <c:pt idx="417">
                  <c:v>P10418</c:v>
                </c:pt>
                <c:pt idx="418">
                  <c:v>P10419</c:v>
                </c:pt>
                <c:pt idx="419">
                  <c:v>P10420</c:v>
                </c:pt>
                <c:pt idx="420">
                  <c:v>P10421</c:v>
                </c:pt>
                <c:pt idx="421">
                  <c:v>P10422</c:v>
                </c:pt>
                <c:pt idx="422">
                  <c:v>P10423</c:v>
                </c:pt>
                <c:pt idx="423">
                  <c:v>P10424</c:v>
                </c:pt>
                <c:pt idx="424">
                  <c:v>P10425</c:v>
                </c:pt>
                <c:pt idx="425">
                  <c:v>P10426</c:v>
                </c:pt>
                <c:pt idx="426">
                  <c:v>P10427</c:v>
                </c:pt>
                <c:pt idx="427">
                  <c:v>P10428</c:v>
                </c:pt>
                <c:pt idx="428">
                  <c:v>P10429</c:v>
                </c:pt>
                <c:pt idx="429">
                  <c:v>P10430</c:v>
                </c:pt>
                <c:pt idx="430">
                  <c:v>P10431</c:v>
                </c:pt>
                <c:pt idx="431">
                  <c:v>P10432</c:v>
                </c:pt>
                <c:pt idx="432">
                  <c:v>P10433</c:v>
                </c:pt>
                <c:pt idx="433">
                  <c:v>P10434</c:v>
                </c:pt>
                <c:pt idx="434">
                  <c:v>P10435</c:v>
                </c:pt>
                <c:pt idx="435">
                  <c:v>P10436</c:v>
                </c:pt>
                <c:pt idx="436">
                  <c:v>P10437</c:v>
                </c:pt>
                <c:pt idx="437">
                  <c:v>P10438</c:v>
                </c:pt>
                <c:pt idx="438">
                  <c:v>P10439</c:v>
                </c:pt>
                <c:pt idx="439">
                  <c:v>P10440</c:v>
                </c:pt>
                <c:pt idx="440">
                  <c:v>P10441</c:v>
                </c:pt>
                <c:pt idx="441">
                  <c:v>P10442</c:v>
                </c:pt>
                <c:pt idx="442">
                  <c:v>P10443</c:v>
                </c:pt>
                <c:pt idx="443">
                  <c:v>P10444</c:v>
                </c:pt>
                <c:pt idx="444">
                  <c:v>P10445</c:v>
                </c:pt>
                <c:pt idx="445">
                  <c:v>P10446</c:v>
                </c:pt>
                <c:pt idx="446">
                  <c:v>P10447</c:v>
                </c:pt>
                <c:pt idx="447">
                  <c:v>P10448</c:v>
                </c:pt>
                <c:pt idx="448">
                  <c:v>P10449</c:v>
                </c:pt>
                <c:pt idx="449">
                  <c:v>P10450</c:v>
                </c:pt>
                <c:pt idx="450">
                  <c:v>P10451</c:v>
                </c:pt>
                <c:pt idx="451">
                  <c:v>P10452</c:v>
                </c:pt>
                <c:pt idx="452">
                  <c:v>P10453</c:v>
                </c:pt>
                <c:pt idx="453">
                  <c:v>P10454</c:v>
                </c:pt>
                <c:pt idx="454">
                  <c:v>P10455</c:v>
                </c:pt>
                <c:pt idx="455">
                  <c:v>P10456</c:v>
                </c:pt>
                <c:pt idx="456">
                  <c:v>P10457</c:v>
                </c:pt>
                <c:pt idx="457">
                  <c:v>P10458</c:v>
                </c:pt>
                <c:pt idx="458">
                  <c:v>P10459</c:v>
                </c:pt>
                <c:pt idx="459">
                  <c:v>P10460</c:v>
                </c:pt>
                <c:pt idx="460">
                  <c:v>P10461</c:v>
                </c:pt>
                <c:pt idx="461">
                  <c:v>P10462</c:v>
                </c:pt>
                <c:pt idx="462">
                  <c:v>P10463</c:v>
                </c:pt>
                <c:pt idx="463">
                  <c:v>P10464</c:v>
                </c:pt>
                <c:pt idx="464">
                  <c:v>P10465</c:v>
                </c:pt>
                <c:pt idx="465">
                  <c:v>P10466</c:v>
                </c:pt>
                <c:pt idx="466">
                  <c:v>P10467</c:v>
                </c:pt>
                <c:pt idx="467">
                  <c:v>P10468</c:v>
                </c:pt>
                <c:pt idx="468">
                  <c:v>P10469</c:v>
                </c:pt>
                <c:pt idx="469">
                  <c:v>P10470</c:v>
                </c:pt>
                <c:pt idx="470">
                  <c:v>P10471</c:v>
                </c:pt>
                <c:pt idx="471">
                  <c:v>P10472</c:v>
                </c:pt>
                <c:pt idx="472">
                  <c:v>P10473</c:v>
                </c:pt>
                <c:pt idx="473">
                  <c:v>P10474</c:v>
                </c:pt>
                <c:pt idx="474">
                  <c:v>P10475</c:v>
                </c:pt>
                <c:pt idx="475">
                  <c:v>P10476</c:v>
                </c:pt>
                <c:pt idx="476">
                  <c:v>P10477</c:v>
                </c:pt>
                <c:pt idx="477">
                  <c:v>P10478</c:v>
                </c:pt>
                <c:pt idx="478">
                  <c:v>P10479</c:v>
                </c:pt>
                <c:pt idx="479">
                  <c:v>P10480</c:v>
                </c:pt>
                <c:pt idx="480">
                  <c:v>P10481</c:v>
                </c:pt>
                <c:pt idx="481">
                  <c:v>P10482</c:v>
                </c:pt>
                <c:pt idx="482">
                  <c:v>P10483</c:v>
                </c:pt>
                <c:pt idx="483">
                  <c:v>P10484</c:v>
                </c:pt>
                <c:pt idx="484">
                  <c:v>P10485</c:v>
                </c:pt>
                <c:pt idx="485">
                  <c:v>P10486</c:v>
                </c:pt>
                <c:pt idx="486">
                  <c:v>P10487</c:v>
                </c:pt>
                <c:pt idx="487">
                  <c:v>P10488</c:v>
                </c:pt>
                <c:pt idx="488">
                  <c:v>P10489</c:v>
                </c:pt>
                <c:pt idx="489">
                  <c:v>P10490</c:v>
                </c:pt>
                <c:pt idx="490">
                  <c:v>P10491</c:v>
                </c:pt>
                <c:pt idx="491">
                  <c:v>P10492</c:v>
                </c:pt>
                <c:pt idx="492">
                  <c:v>P10493</c:v>
                </c:pt>
                <c:pt idx="493">
                  <c:v>P10494</c:v>
                </c:pt>
                <c:pt idx="494">
                  <c:v>P10495</c:v>
                </c:pt>
                <c:pt idx="495">
                  <c:v>P10496</c:v>
                </c:pt>
                <c:pt idx="496">
                  <c:v>P10497</c:v>
                </c:pt>
                <c:pt idx="497">
                  <c:v>P10498</c:v>
                </c:pt>
                <c:pt idx="498">
                  <c:v>P10499</c:v>
                </c:pt>
                <c:pt idx="499">
                  <c:v>P10500</c:v>
                </c:pt>
                <c:pt idx="500">
                  <c:v>P10501</c:v>
                </c:pt>
                <c:pt idx="501">
                  <c:v>P10502</c:v>
                </c:pt>
                <c:pt idx="502">
                  <c:v>P10503</c:v>
                </c:pt>
                <c:pt idx="503">
                  <c:v>P10504</c:v>
                </c:pt>
                <c:pt idx="504">
                  <c:v>P10505</c:v>
                </c:pt>
                <c:pt idx="505">
                  <c:v>P10506</c:v>
                </c:pt>
                <c:pt idx="506">
                  <c:v>P10507</c:v>
                </c:pt>
                <c:pt idx="507">
                  <c:v>P10508</c:v>
                </c:pt>
                <c:pt idx="508">
                  <c:v>P10509</c:v>
                </c:pt>
                <c:pt idx="509">
                  <c:v>P10510</c:v>
                </c:pt>
                <c:pt idx="510">
                  <c:v>P10511</c:v>
                </c:pt>
                <c:pt idx="511">
                  <c:v>P10512</c:v>
                </c:pt>
                <c:pt idx="512">
                  <c:v>P10513</c:v>
                </c:pt>
                <c:pt idx="513">
                  <c:v>P10514</c:v>
                </c:pt>
                <c:pt idx="514">
                  <c:v>P10515</c:v>
                </c:pt>
                <c:pt idx="515">
                  <c:v>P10516</c:v>
                </c:pt>
                <c:pt idx="516">
                  <c:v>P10517</c:v>
                </c:pt>
                <c:pt idx="517">
                  <c:v>P10518</c:v>
                </c:pt>
                <c:pt idx="518">
                  <c:v>P10519</c:v>
                </c:pt>
                <c:pt idx="519">
                  <c:v>P10520</c:v>
                </c:pt>
                <c:pt idx="520">
                  <c:v>P10521</c:v>
                </c:pt>
                <c:pt idx="521">
                  <c:v>P10522</c:v>
                </c:pt>
                <c:pt idx="522">
                  <c:v>P10523</c:v>
                </c:pt>
                <c:pt idx="523">
                  <c:v>P10524</c:v>
                </c:pt>
                <c:pt idx="524">
                  <c:v>P10525</c:v>
                </c:pt>
                <c:pt idx="525">
                  <c:v>P10526</c:v>
                </c:pt>
                <c:pt idx="526">
                  <c:v>P10527</c:v>
                </c:pt>
                <c:pt idx="527">
                  <c:v>P10528</c:v>
                </c:pt>
                <c:pt idx="528">
                  <c:v>P10529</c:v>
                </c:pt>
                <c:pt idx="529">
                  <c:v>P10530</c:v>
                </c:pt>
                <c:pt idx="530">
                  <c:v>P10531</c:v>
                </c:pt>
                <c:pt idx="531">
                  <c:v>P10532</c:v>
                </c:pt>
                <c:pt idx="532">
                  <c:v>P10533</c:v>
                </c:pt>
                <c:pt idx="533">
                  <c:v>P10534</c:v>
                </c:pt>
                <c:pt idx="534">
                  <c:v>P10535</c:v>
                </c:pt>
                <c:pt idx="535">
                  <c:v>P10536</c:v>
                </c:pt>
                <c:pt idx="536">
                  <c:v>P10537</c:v>
                </c:pt>
                <c:pt idx="537">
                  <c:v>P10538</c:v>
                </c:pt>
                <c:pt idx="538">
                  <c:v>P10539</c:v>
                </c:pt>
                <c:pt idx="539">
                  <c:v>P10540</c:v>
                </c:pt>
                <c:pt idx="540">
                  <c:v>P10541</c:v>
                </c:pt>
                <c:pt idx="541">
                  <c:v>P10542</c:v>
                </c:pt>
                <c:pt idx="542">
                  <c:v>P10543</c:v>
                </c:pt>
                <c:pt idx="543">
                  <c:v>P10544</c:v>
                </c:pt>
                <c:pt idx="544">
                  <c:v>P10545</c:v>
                </c:pt>
                <c:pt idx="545">
                  <c:v>P10546</c:v>
                </c:pt>
                <c:pt idx="546">
                  <c:v>P10547</c:v>
                </c:pt>
                <c:pt idx="547">
                  <c:v>P10548</c:v>
                </c:pt>
                <c:pt idx="548">
                  <c:v>P10549</c:v>
                </c:pt>
                <c:pt idx="549">
                  <c:v>P10550</c:v>
                </c:pt>
                <c:pt idx="550">
                  <c:v>P10551</c:v>
                </c:pt>
                <c:pt idx="551">
                  <c:v>P10552</c:v>
                </c:pt>
                <c:pt idx="552">
                  <c:v>P10553</c:v>
                </c:pt>
                <c:pt idx="553">
                  <c:v>P10554</c:v>
                </c:pt>
                <c:pt idx="554">
                  <c:v>P10555</c:v>
                </c:pt>
                <c:pt idx="555">
                  <c:v>P10556</c:v>
                </c:pt>
                <c:pt idx="556">
                  <c:v>P10557</c:v>
                </c:pt>
                <c:pt idx="557">
                  <c:v>P10558</c:v>
                </c:pt>
                <c:pt idx="558">
                  <c:v>P10559</c:v>
                </c:pt>
                <c:pt idx="559">
                  <c:v>P10560</c:v>
                </c:pt>
                <c:pt idx="560">
                  <c:v>P10561</c:v>
                </c:pt>
                <c:pt idx="561">
                  <c:v>P10562</c:v>
                </c:pt>
                <c:pt idx="562">
                  <c:v>P10563</c:v>
                </c:pt>
                <c:pt idx="563">
                  <c:v>P10564</c:v>
                </c:pt>
                <c:pt idx="564">
                  <c:v>P10565</c:v>
                </c:pt>
                <c:pt idx="565">
                  <c:v>P10566</c:v>
                </c:pt>
                <c:pt idx="566">
                  <c:v>P10567</c:v>
                </c:pt>
                <c:pt idx="567">
                  <c:v>P10568</c:v>
                </c:pt>
                <c:pt idx="568">
                  <c:v>P10569</c:v>
                </c:pt>
                <c:pt idx="569">
                  <c:v>P10570</c:v>
                </c:pt>
                <c:pt idx="570">
                  <c:v>P10571</c:v>
                </c:pt>
                <c:pt idx="571">
                  <c:v>P10572</c:v>
                </c:pt>
                <c:pt idx="572">
                  <c:v>P10573</c:v>
                </c:pt>
                <c:pt idx="573">
                  <c:v>P10574</c:v>
                </c:pt>
                <c:pt idx="574">
                  <c:v>P10575</c:v>
                </c:pt>
                <c:pt idx="575">
                  <c:v>P10576</c:v>
                </c:pt>
                <c:pt idx="576">
                  <c:v>P10577</c:v>
                </c:pt>
                <c:pt idx="577">
                  <c:v>P10578</c:v>
                </c:pt>
                <c:pt idx="578">
                  <c:v>P10579</c:v>
                </c:pt>
                <c:pt idx="579">
                  <c:v>P10580</c:v>
                </c:pt>
                <c:pt idx="580">
                  <c:v>P10581</c:v>
                </c:pt>
                <c:pt idx="581">
                  <c:v>P10582</c:v>
                </c:pt>
                <c:pt idx="582">
                  <c:v>P10583</c:v>
                </c:pt>
                <c:pt idx="583">
                  <c:v>P10584</c:v>
                </c:pt>
                <c:pt idx="584">
                  <c:v>P10585</c:v>
                </c:pt>
                <c:pt idx="585">
                  <c:v>P10586</c:v>
                </c:pt>
                <c:pt idx="586">
                  <c:v>P10587</c:v>
                </c:pt>
                <c:pt idx="587">
                  <c:v>P10588</c:v>
                </c:pt>
                <c:pt idx="588">
                  <c:v>P10589</c:v>
                </c:pt>
                <c:pt idx="589">
                  <c:v>P10590</c:v>
                </c:pt>
                <c:pt idx="590">
                  <c:v>P10591</c:v>
                </c:pt>
                <c:pt idx="591">
                  <c:v>P10592</c:v>
                </c:pt>
                <c:pt idx="592">
                  <c:v>P10593</c:v>
                </c:pt>
                <c:pt idx="593">
                  <c:v>P10594</c:v>
                </c:pt>
                <c:pt idx="594">
                  <c:v>P10595</c:v>
                </c:pt>
                <c:pt idx="595">
                  <c:v>P10596</c:v>
                </c:pt>
                <c:pt idx="596">
                  <c:v>P10597</c:v>
                </c:pt>
                <c:pt idx="597">
                  <c:v>P10598</c:v>
                </c:pt>
                <c:pt idx="598">
                  <c:v>P10599</c:v>
                </c:pt>
                <c:pt idx="599">
                  <c:v>P10600</c:v>
                </c:pt>
                <c:pt idx="600">
                  <c:v>P10601</c:v>
                </c:pt>
                <c:pt idx="601">
                  <c:v>P10602</c:v>
                </c:pt>
                <c:pt idx="602">
                  <c:v>P10603</c:v>
                </c:pt>
                <c:pt idx="603">
                  <c:v>P10604</c:v>
                </c:pt>
                <c:pt idx="604">
                  <c:v>P10605</c:v>
                </c:pt>
                <c:pt idx="605">
                  <c:v>P10606</c:v>
                </c:pt>
                <c:pt idx="606">
                  <c:v>P10607</c:v>
                </c:pt>
                <c:pt idx="607">
                  <c:v>P10608</c:v>
                </c:pt>
                <c:pt idx="608">
                  <c:v>P10609</c:v>
                </c:pt>
                <c:pt idx="609">
                  <c:v>P10610</c:v>
                </c:pt>
                <c:pt idx="610">
                  <c:v>P10611</c:v>
                </c:pt>
                <c:pt idx="611">
                  <c:v>P10612</c:v>
                </c:pt>
                <c:pt idx="612">
                  <c:v>P10613</c:v>
                </c:pt>
                <c:pt idx="613">
                  <c:v>P10614</c:v>
                </c:pt>
                <c:pt idx="614">
                  <c:v>P10615</c:v>
                </c:pt>
                <c:pt idx="615">
                  <c:v>P10616</c:v>
                </c:pt>
                <c:pt idx="616">
                  <c:v>P10617</c:v>
                </c:pt>
                <c:pt idx="617">
                  <c:v>P10618</c:v>
                </c:pt>
                <c:pt idx="618">
                  <c:v>P10619</c:v>
                </c:pt>
                <c:pt idx="619">
                  <c:v>P10620</c:v>
                </c:pt>
                <c:pt idx="620">
                  <c:v>P10621</c:v>
                </c:pt>
                <c:pt idx="621">
                  <c:v>P10622</c:v>
                </c:pt>
                <c:pt idx="622">
                  <c:v>P10623</c:v>
                </c:pt>
                <c:pt idx="623">
                  <c:v>P10624</c:v>
                </c:pt>
                <c:pt idx="624">
                  <c:v>P10625</c:v>
                </c:pt>
                <c:pt idx="625">
                  <c:v>P10626</c:v>
                </c:pt>
                <c:pt idx="626">
                  <c:v>P10627</c:v>
                </c:pt>
                <c:pt idx="627">
                  <c:v>P10628</c:v>
                </c:pt>
                <c:pt idx="628">
                  <c:v>P10629</c:v>
                </c:pt>
                <c:pt idx="629">
                  <c:v>P10630</c:v>
                </c:pt>
                <c:pt idx="630">
                  <c:v>P10631</c:v>
                </c:pt>
                <c:pt idx="631">
                  <c:v>P10632</c:v>
                </c:pt>
                <c:pt idx="632">
                  <c:v>P10633</c:v>
                </c:pt>
                <c:pt idx="633">
                  <c:v>P10634</c:v>
                </c:pt>
                <c:pt idx="634">
                  <c:v>P10635</c:v>
                </c:pt>
                <c:pt idx="635">
                  <c:v>P10636</c:v>
                </c:pt>
                <c:pt idx="636">
                  <c:v>P10637</c:v>
                </c:pt>
                <c:pt idx="637">
                  <c:v>P10638</c:v>
                </c:pt>
                <c:pt idx="638">
                  <c:v>P10639</c:v>
                </c:pt>
                <c:pt idx="639">
                  <c:v>P10640</c:v>
                </c:pt>
                <c:pt idx="640">
                  <c:v>P10641</c:v>
                </c:pt>
                <c:pt idx="641">
                  <c:v>P10642</c:v>
                </c:pt>
                <c:pt idx="642">
                  <c:v>P10643</c:v>
                </c:pt>
                <c:pt idx="643">
                  <c:v>P10644</c:v>
                </c:pt>
                <c:pt idx="644">
                  <c:v>P10645</c:v>
                </c:pt>
                <c:pt idx="645">
                  <c:v>P10646</c:v>
                </c:pt>
                <c:pt idx="646">
                  <c:v>P10647</c:v>
                </c:pt>
                <c:pt idx="647">
                  <c:v>P10648</c:v>
                </c:pt>
                <c:pt idx="648">
                  <c:v>P10649</c:v>
                </c:pt>
                <c:pt idx="649">
                  <c:v>P10650</c:v>
                </c:pt>
                <c:pt idx="650">
                  <c:v>P10651</c:v>
                </c:pt>
                <c:pt idx="651">
                  <c:v>P10652</c:v>
                </c:pt>
                <c:pt idx="652">
                  <c:v>P10653</c:v>
                </c:pt>
                <c:pt idx="653">
                  <c:v>P10654</c:v>
                </c:pt>
                <c:pt idx="654">
                  <c:v>P10655</c:v>
                </c:pt>
                <c:pt idx="655">
                  <c:v>P10656</c:v>
                </c:pt>
                <c:pt idx="656">
                  <c:v>P10657</c:v>
                </c:pt>
                <c:pt idx="657">
                  <c:v>P10658</c:v>
                </c:pt>
                <c:pt idx="658">
                  <c:v>P10659</c:v>
                </c:pt>
                <c:pt idx="659">
                  <c:v>P10660</c:v>
                </c:pt>
                <c:pt idx="660">
                  <c:v>P10661</c:v>
                </c:pt>
                <c:pt idx="661">
                  <c:v>P10662</c:v>
                </c:pt>
                <c:pt idx="662">
                  <c:v>P10663</c:v>
                </c:pt>
                <c:pt idx="663">
                  <c:v>P10664</c:v>
                </c:pt>
                <c:pt idx="664">
                  <c:v>P10665</c:v>
                </c:pt>
                <c:pt idx="665">
                  <c:v>P10666</c:v>
                </c:pt>
                <c:pt idx="666">
                  <c:v>P10667</c:v>
                </c:pt>
                <c:pt idx="667">
                  <c:v>P10668</c:v>
                </c:pt>
                <c:pt idx="668">
                  <c:v>P10669</c:v>
                </c:pt>
                <c:pt idx="669">
                  <c:v>P10670</c:v>
                </c:pt>
                <c:pt idx="670">
                  <c:v>P10671</c:v>
                </c:pt>
                <c:pt idx="671">
                  <c:v>P10672</c:v>
                </c:pt>
                <c:pt idx="672">
                  <c:v>P10673</c:v>
                </c:pt>
                <c:pt idx="673">
                  <c:v>P10674</c:v>
                </c:pt>
                <c:pt idx="674">
                  <c:v>P10675</c:v>
                </c:pt>
                <c:pt idx="675">
                  <c:v>P10676</c:v>
                </c:pt>
                <c:pt idx="676">
                  <c:v>P10677</c:v>
                </c:pt>
                <c:pt idx="677">
                  <c:v>P10678</c:v>
                </c:pt>
                <c:pt idx="678">
                  <c:v>P10679</c:v>
                </c:pt>
                <c:pt idx="679">
                  <c:v>P10680</c:v>
                </c:pt>
                <c:pt idx="680">
                  <c:v>P10681</c:v>
                </c:pt>
                <c:pt idx="681">
                  <c:v>P10682</c:v>
                </c:pt>
                <c:pt idx="682">
                  <c:v>P10683</c:v>
                </c:pt>
                <c:pt idx="683">
                  <c:v>P10684</c:v>
                </c:pt>
                <c:pt idx="684">
                  <c:v>P10685</c:v>
                </c:pt>
                <c:pt idx="685">
                  <c:v>P10686</c:v>
                </c:pt>
                <c:pt idx="686">
                  <c:v>P10687</c:v>
                </c:pt>
                <c:pt idx="687">
                  <c:v>P10688</c:v>
                </c:pt>
                <c:pt idx="688">
                  <c:v>P10689</c:v>
                </c:pt>
                <c:pt idx="689">
                  <c:v>P10690</c:v>
                </c:pt>
                <c:pt idx="690">
                  <c:v>P10691</c:v>
                </c:pt>
                <c:pt idx="691">
                  <c:v>P10692</c:v>
                </c:pt>
                <c:pt idx="692">
                  <c:v>P10693</c:v>
                </c:pt>
                <c:pt idx="693">
                  <c:v>P10694</c:v>
                </c:pt>
                <c:pt idx="694">
                  <c:v>P10695</c:v>
                </c:pt>
                <c:pt idx="695">
                  <c:v>P10696</c:v>
                </c:pt>
                <c:pt idx="696">
                  <c:v>P10697</c:v>
                </c:pt>
                <c:pt idx="697">
                  <c:v>P10698</c:v>
                </c:pt>
                <c:pt idx="698">
                  <c:v>P10699</c:v>
                </c:pt>
                <c:pt idx="699">
                  <c:v>P10700</c:v>
                </c:pt>
                <c:pt idx="700">
                  <c:v>P10701</c:v>
                </c:pt>
                <c:pt idx="701">
                  <c:v>P10702</c:v>
                </c:pt>
                <c:pt idx="702">
                  <c:v>P10703</c:v>
                </c:pt>
                <c:pt idx="703">
                  <c:v>P10704</c:v>
                </c:pt>
                <c:pt idx="704">
                  <c:v>P10705</c:v>
                </c:pt>
                <c:pt idx="705">
                  <c:v>P10706</c:v>
                </c:pt>
                <c:pt idx="706">
                  <c:v>P10707</c:v>
                </c:pt>
                <c:pt idx="707">
                  <c:v>P10708</c:v>
                </c:pt>
                <c:pt idx="708">
                  <c:v>P10709</c:v>
                </c:pt>
                <c:pt idx="709">
                  <c:v>P10710</c:v>
                </c:pt>
                <c:pt idx="710">
                  <c:v>P10711</c:v>
                </c:pt>
                <c:pt idx="711">
                  <c:v>P10712</c:v>
                </c:pt>
                <c:pt idx="712">
                  <c:v>P10713</c:v>
                </c:pt>
                <c:pt idx="713">
                  <c:v>P10714</c:v>
                </c:pt>
                <c:pt idx="714">
                  <c:v>P10715</c:v>
                </c:pt>
                <c:pt idx="715">
                  <c:v>P10716</c:v>
                </c:pt>
                <c:pt idx="716">
                  <c:v>P10717</c:v>
                </c:pt>
                <c:pt idx="717">
                  <c:v>P10718</c:v>
                </c:pt>
                <c:pt idx="718">
                  <c:v>P10719</c:v>
                </c:pt>
                <c:pt idx="719">
                  <c:v>P10720</c:v>
                </c:pt>
                <c:pt idx="720">
                  <c:v>P10721</c:v>
                </c:pt>
                <c:pt idx="721">
                  <c:v>P10722</c:v>
                </c:pt>
                <c:pt idx="722">
                  <c:v>P10723</c:v>
                </c:pt>
                <c:pt idx="723">
                  <c:v>P10724</c:v>
                </c:pt>
                <c:pt idx="724">
                  <c:v>P10725</c:v>
                </c:pt>
                <c:pt idx="725">
                  <c:v>P10726</c:v>
                </c:pt>
                <c:pt idx="726">
                  <c:v>P10727</c:v>
                </c:pt>
                <c:pt idx="727">
                  <c:v>P10728</c:v>
                </c:pt>
                <c:pt idx="728">
                  <c:v>P10729</c:v>
                </c:pt>
                <c:pt idx="729">
                  <c:v>P10730</c:v>
                </c:pt>
                <c:pt idx="730">
                  <c:v>P10731</c:v>
                </c:pt>
                <c:pt idx="731">
                  <c:v>P10732</c:v>
                </c:pt>
                <c:pt idx="732">
                  <c:v>P10733</c:v>
                </c:pt>
                <c:pt idx="733">
                  <c:v>P10734</c:v>
                </c:pt>
                <c:pt idx="734">
                  <c:v>P10735</c:v>
                </c:pt>
                <c:pt idx="735">
                  <c:v>P10736</c:v>
                </c:pt>
                <c:pt idx="736">
                  <c:v>P10737</c:v>
                </c:pt>
                <c:pt idx="737">
                  <c:v>P10738</c:v>
                </c:pt>
                <c:pt idx="738">
                  <c:v>P10739</c:v>
                </c:pt>
                <c:pt idx="739">
                  <c:v>P10740</c:v>
                </c:pt>
                <c:pt idx="740">
                  <c:v>P10741</c:v>
                </c:pt>
                <c:pt idx="741">
                  <c:v>P10742</c:v>
                </c:pt>
                <c:pt idx="742">
                  <c:v>P10743</c:v>
                </c:pt>
                <c:pt idx="743">
                  <c:v>P10744</c:v>
                </c:pt>
                <c:pt idx="744">
                  <c:v>P10745</c:v>
                </c:pt>
                <c:pt idx="745">
                  <c:v>P10746</c:v>
                </c:pt>
                <c:pt idx="746">
                  <c:v>P10747</c:v>
                </c:pt>
                <c:pt idx="747">
                  <c:v>P10748</c:v>
                </c:pt>
                <c:pt idx="748">
                  <c:v>P10749</c:v>
                </c:pt>
                <c:pt idx="749">
                  <c:v>P10750</c:v>
                </c:pt>
                <c:pt idx="750">
                  <c:v>P10751</c:v>
                </c:pt>
                <c:pt idx="751">
                  <c:v>P10752</c:v>
                </c:pt>
                <c:pt idx="752">
                  <c:v>P10753</c:v>
                </c:pt>
                <c:pt idx="753">
                  <c:v>P10754</c:v>
                </c:pt>
                <c:pt idx="754">
                  <c:v>P10755</c:v>
                </c:pt>
                <c:pt idx="755">
                  <c:v>P10756</c:v>
                </c:pt>
                <c:pt idx="756">
                  <c:v>P10757</c:v>
                </c:pt>
                <c:pt idx="757">
                  <c:v>P10758</c:v>
                </c:pt>
                <c:pt idx="758">
                  <c:v>P10759</c:v>
                </c:pt>
                <c:pt idx="759">
                  <c:v>P10760</c:v>
                </c:pt>
                <c:pt idx="760">
                  <c:v>P10761</c:v>
                </c:pt>
                <c:pt idx="761">
                  <c:v>P10762</c:v>
                </c:pt>
                <c:pt idx="762">
                  <c:v>P10763</c:v>
                </c:pt>
                <c:pt idx="763">
                  <c:v>P10764</c:v>
                </c:pt>
                <c:pt idx="764">
                  <c:v>P10765</c:v>
                </c:pt>
                <c:pt idx="765">
                  <c:v>P10766</c:v>
                </c:pt>
                <c:pt idx="766">
                  <c:v>P10767</c:v>
                </c:pt>
                <c:pt idx="767">
                  <c:v>P10768</c:v>
                </c:pt>
                <c:pt idx="768">
                  <c:v>P10769</c:v>
                </c:pt>
                <c:pt idx="769">
                  <c:v>P10770</c:v>
                </c:pt>
                <c:pt idx="770">
                  <c:v>P10771</c:v>
                </c:pt>
                <c:pt idx="771">
                  <c:v>P10772</c:v>
                </c:pt>
                <c:pt idx="772">
                  <c:v>P10773</c:v>
                </c:pt>
                <c:pt idx="773">
                  <c:v>P10774</c:v>
                </c:pt>
                <c:pt idx="774">
                  <c:v>P10775</c:v>
                </c:pt>
                <c:pt idx="775">
                  <c:v>P10776</c:v>
                </c:pt>
                <c:pt idx="776">
                  <c:v>P10777</c:v>
                </c:pt>
                <c:pt idx="777">
                  <c:v>P10778</c:v>
                </c:pt>
                <c:pt idx="778">
                  <c:v>P10779</c:v>
                </c:pt>
                <c:pt idx="779">
                  <c:v>P10780</c:v>
                </c:pt>
                <c:pt idx="780">
                  <c:v>P10781</c:v>
                </c:pt>
                <c:pt idx="781">
                  <c:v>P10782</c:v>
                </c:pt>
                <c:pt idx="782">
                  <c:v>P10783</c:v>
                </c:pt>
                <c:pt idx="783">
                  <c:v>P10784</c:v>
                </c:pt>
                <c:pt idx="784">
                  <c:v>P10785</c:v>
                </c:pt>
                <c:pt idx="785">
                  <c:v>P10786</c:v>
                </c:pt>
                <c:pt idx="786">
                  <c:v>P10787</c:v>
                </c:pt>
                <c:pt idx="787">
                  <c:v>P10788</c:v>
                </c:pt>
                <c:pt idx="788">
                  <c:v>P10789</c:v>
                </c:pt>
                <c:pt idx="789">
                  <c:v>P10790</c:v>
                </c:pt>
                <c:pt idx="790">
                  <c:v>P10791</c:v>
                </c:pt>
                <c:pt idx="791">
                  <c:v>P10792</c:v>
                </c:pt>
                <c:pt idx="792">
                  <c:v>P10793</c:v>
                </c:pt>
                <c:pt idx="793">
                  <c:v>P10794</c:v>
                </c:pt>
                <c:pt idx="794">
                  <c:v>P10795</c:v>
                </c:pt>
                <c:pt idx="795">
                  <c:v>P10796</c:v>
                </c:pt>
                <c:pt idx="796">
                  <c:v>P10797</c:v>
                </c:pt>
                <c:pt idx="797">
                  <c:v>P10798</c:v>
                </c:pt>
                <c:pt idx="798">
                  <c:v>P10799</c:v>
                </c:pt>
                <c:pt idx="799">
                  <c:v>P10800</c:v>
                </c:pt>
                <c:pt idx="800">
                  <c:v>P10801</c:v>
                </c:pt>
                <c:pt idx="801">
                  <c:v>P10802</c:v>
                </c:pt>
                <c:pt idx="802">
                  <c:v>P10803</c:v>
                </c:pt>
                <c:pt idx="803">
                  <c:v>P10804</c:v>
                </c:pt>
                <c:pt idx="804">
                  <c:v>P10805</c:v>
                </c:pt>
                <c:pt idx="805">
                  <c:v>P10806</c:v>
                </c:pt>
                <c:pt idx="806">
                  <c:v>P10807</c:v>
                </c:pt>
                <c:pt idx="807">
                  <c:v>P10808</c:v>
                </c:pt>
                <c:pt idx="808">
                  <c:v>P10809</c:v>
                </c:pt>
                <c:pt idx="809">
                  <c:v>P10810</c:v>
                </c:pt>
                <c:pt idx="810">
                  <c:v>P10811</c:v>
                </c:pt>
                <c:pt idx="811">
                  <c:v>P10812</c:v>
                </c:pt>
                <c:pt idx="812">
                  <c:v>P10813</c:v>
                </c:pt>
                <c:pt idx="813">
                  <c:v>P10814</c:v>
                </c:pt>
                <c:pt idx="814">
                  <c:v>P10815</c:v>
                </c:pt>
                <c:pt idx="815">
                  <c:v>P10816</c:v>
                </c:pt>
                <c:pt idx="816">
                  <c:v>P10817</c:v>
                </c:pt>
                <c:pt idx="817">
                  <c:v>P10818</c:v>
                </c:pt>
                <c:pt idx="818">
                  <c:v>P10819</c:v>
                </c:pt>
                <c:pt idx="819">
                  <c:v>P10820</c:v>
                </c:pt>
                <c:pt idx="820">
                  <c:v>P10821</c:v>
                </c:pt>
                <c:pt idx="821">
                  <c:v>P10822</c:v>
                </c:pt>
                <c:pt idx="822">
                  <c:v>P10823</c:v>
                </c:pt>
                <c:pt idx="823">
                  <c:v>P10824</c:v>
                </c:pt>
                <c:pt idx="824">
                  <c:v>P10825</c:v>
                </c:pt>
                <c:pt idx="825">
                  <c:v>P10826</c:v>
                </c:pt>
                <c:pt idx="826">
                  <c:v>P10827</c:v>
                </c:pt>
                <c:pt idx="827">
                  <c:v>P10828</c:v>
                </c:pt>
                <c:pt idx="828">
                  <c:v>P10829</c:v>
                </c:pt>
                <c:pt idx="829">
                  <c:v>P10830</c:v>
                </c:pt>
                <c:pt idx="830">
                  <c:v>P10831</c:v>
                </c:pt>
                <c:pt idx="831">
                  <c:v>P10832</c:v>
                </c:pt>
                <c:pt idx="832">
                  <c:v>P10833</c:v>
                </c:pt>
                <c:pt idx="833">
                  <c:v>P10834</c:v>
                </c:pt>
                <c:pt idx="834">
                  <c:v>P10835</c:v>
                </c:pt>
                <c:pt idx="835">
                  <c:v>P10836</c:v>
                </c:pt>
                <c:pt idx="836">
                  <c:v>P10837</c:v>
                </c:pt>
                <c:pt idx="837">
                  <c:v>P10838</c:v>
                </c:pt>
                <c:pt idx="838">
                  <c:v>P10839</c:v>
                </c:pt>
                <c:pt idx="839">
                  <c:v>P10840</c:v>
                </c:pt>
                <c:pt idx="840">
                  <c:v>P10841</c:v>
                </c:pt>
                <c:pt idx="841">
                  <c:v>P10842</c:v>
                </c:pt>
                <c:pt idx="842">
                  <c:v>P10843</c:v>
                </c:pt>
                <c:pt idx="843">
                  <c:v>P10844</c:v>
                </c:pt>
                <c:pt idx="844">
                  <c:v>P10845</c:v>
                </c:pt>
                <c:pt idx="845">
                  <c:v>P10846</c:v>
                </c:pt>
                <c:pt idx="846">
                  <c:v>P10847</c:v>
                </c:pt>
                <c:pt idx="847">
                  <c:v>P10848</c:v>
                </c:pt>
                <c:pt idx="848">
                  <c:v>P10849</c:v>
                </c:pt>
                <c:pt idx="849">
                  <c:v>P10850</c:v>
                </c:pt>
                <c:pt idx="850">
                  <c:v>P10851</c:v>
                </c:pt>
                <c:pt idx="851">
                  <c:v>P10852</c:v>
                </c:pt>
                <c:pt idx="852">
                  <c:v>P10853</c:v>
                </c:pt>
                <c:pt idx="853">
                  <c:v>P10854</c:v>
                </c:pt>
                <c:pt idx="854">
                  <c:v>P10855</c:v>
                </c:pt>
                <c:pt idx="855">
                  <c:v>P10856</c:v>
                </c:pt>
                <c:pt idx="856">
                  <c:v>P10857</c:v>
                </c:pt>
                <c:pt idx="857">
                  <c:v>P10858</c:v>
                </c:pt>
                <c:pt idx="858">
                  <c:v>P10859</c:v>
                </c:pt>
                <c:pt idx="859">
                  <c:v>P10860</c:v>
                </c:pt>
                <c:pt idx="860">
                  <c:v>P10861</c:v>
                </c:pt>
                <c:pt idx="861">
                  <c:v>P10862</c:v>
                </c:pt>
                <c:pt idx="862">
                  <c:v>P10863</c:v>
                </c:pt>
                <c:pt idx="863">
                  <c:v>P10864</c:v>
                </c:pt>
                <c:pt idx="864">
                  <c:v>P10865</c:v>
                </c:pt>
                <c:pt idx="865">
                  <c:v>P10866</c:v>
                </c:pt>
                <c:pt idx="866">
                  <c:v>P10867</c:v>
                </c:pt>
                <c:pt idx="867">
                  <c:v>P10868</c:v>
                </c:pt>
                <c:pt idx="868">
                  <c:v>P10869</c:v>
                </c:pt>
                <c:pt idx="869">
                  <c:v>P10870</c:v>
                </c:pt>
                <c:pt idx="870">
                  <c:v>P10871</c:v>
                </c:pt>
                <c:pt idx="871">
                  <c:v>P10872</c:v>
                </c:pt>
                <c:pt idx="872">
                  <c:v>P10873</c:v>
                </c:pt>
                <c:pt idx="873">
                  <c:v>P10874</c:v>
                </c:pt>
                <c:pt idx="874">
                  <c:v>P10875</c:v>
                </c:pt>
                <c:pt idx="875">
                  <c:v>P10876</c:v>
                </c:pt>
                <c:pt idx="876">
                  <c:v>P10877</c:v>
                </c:pt>
                <c:pt idx="877">
                  <c:v>P10878</c:v>
                </c:pt>
                <c:pt idx="878">
                  <c:v>P10879</c:v>
                </c:pt>
                <c:pt idx="879">
                  <c:v>P10880</c:v>
                </c:pt>
                <c:pt idx="880">
                  <c:v>P10881</c:v>
                </c:pt>
                <c:pt idx="881">
                  <c:v>P10882</c:v>
                </c:pt>
                <c:pt idx="882">
                  <c:v>P10883</c:v>
                </c:pt>
                <c:pt idx="883">
                  <c:v>P10884</c:v>
                </c:pt>
                <c:pt idx="884">
                  <c:v>P10885</c:v>
                </c:pt>
                <c:pt idx="885">
                  <c:v>P10886</c:v>
                </c:pt>
                <c:pt idx="886">
                  <c:v>P10887</c:v>
                </c:pt>
                <c:pt idx="887">
                  <c:v>P10888</c:v>
                </c:pt>
                <c:pt idx="888">
                  <c:v>P10889</c:v>
                </c:pt>
                <c:pt idx="889">
                  <c:v>P10890</c:v>
                </c:pt>
                <c:pt idx="890">
                  <c:v>P10891</c:v>
                </c:pt>
                <c:pt idx="891">
                  <c:v>P10892</c:v>
                </c:pt>
                <c:pt idx="892">
                  <c:v>P10893</c:v>
                </c:pt>
                <c:pt idx="893">
                  <c:v>P10894</c:v>
                </c:pt>
                <c:pt idx="894">
                  <c:v>P10895</c:v>
                </c:pt>
                <c:pt idx="895">
                  <c:v>P10896</c:v>
                </c:pt>
                <c:pt idx="896">
                  <c:v>P10897</c:v>
                </c:pt>
                <c:pt idx="897">
                  <c:v>P10898</c:v>
                </c:pt>
                <c:pt idx="898">
                  <c:v>P10899</c:v>
                </c:pt>
                <c:pt idx="899">
                  <c:v>P10900</c:v>
                </c:pt>
                <c:pt idx="900">
                  <c:v>P10901</c:v>
                </c:pt>
                <c:pt idx="901">
                  <c:v>P10902</c:v>
                </c:pt>
                <c:pt idx="902">
                  <c:v>P10903</c:v>
                </c:pt>
                <c:pt idx="903">
                  <c:v>P10904</c:v>
                </c:pt>
                <c:pt idx="904">
                  <c:v>P10905</c:v>
                </c:pt>
                <c:pt idx="905">
                  <c:v>P10906</c:v>
                </c:pt>
                <c:pt idx="906">
                  <c:v>P10907</c:v>
                </c:pt>
                <c:pt idx="907">
                  <c:v>P10908</c:v>
                </c:pt>
                <c:pt idx="908">
                  <c:v>P10909</c:v>
                </c:pt>
                <c:pt idx="909">
                  <c:v>P10910</c:v>
                </c:pt>
                <c:pt idx="910">
                  <c:v>P10911</c:v>
                </c:pt>
                <c:pt idx="911">
                  <c:v>P10912</c:v>
                </c:pt>
                <c:pt idx="912">
                  <c:v>P10913</c:v>
                </c:pt>
                <c:pt idx="913">
                  <c:v>P10914</c:v>
                </c:pt>
                <c:pt idx="914">
                  <c:v>P10915</c:v>
                </c:pt>
                <c:pt idx="915">
                  <c:v>P10916</c:v>
                </c:pt>
                <c:pt idx="916">
                  <c:v>P10917</c:v>
                </c:pt>
                <c:pt idx="917">
                  <c:v>P10918</c:v>
                </c:pt>
                <c:pt idx="918">
                  <c:v>P10919</c:v>
                </c:pt>
                <c:pt idx="919">
                  <c:v>P10920</c:v>
                </c:pt>
                <c:pt idx="920">
                  <c:v>P10921</c:v>
                </c:pt>
                <c:pt idx="921">
                  <c:v>P10922</c:v>
                </c:pt>
                <c:pt idx="922">
                  <c:v>P10923</c:v>
                </c:pt>
                <c:pt idx="923">
                  <c:v>P10924</c:v>
                </c:pt>
                <c:pt idx="924">
                  <c:v>P10925</c:v>
                </c:pt>
                <c:pt idx="925">
                  <c:v>P10926</c:v>
                </c:pt>
                <c:pt idx="926">
                  <c:v>P10927</c:v>
                </c:pt>
                <c:pt idx="927">
                  <c:v>P10928</c:v>
                </c:pt>
                <c:pt idx="928">
                  <c:v>P10929</c:v>
                </c:pt>
                <c:pt idx="929">
                  <c:v>P10930</c:v>
                </c:pt>
                <c:pt idx="930">
                  <c:v>P10931</c:v>
                </c:pt>
                <c:pt idx="931">
                  <c:v>P10932</c:v>
                </c:pt>
                <c:pt idx="932">
                  <c:v>P10933</c:v>
                </c:pt>
                <c:pt idx="933">
                  <c:v>P10934</c:v>
                </c:pt>
                <c:pt idx="934">
                  <c:v>P10935</c:v>
                </c:pt>
                <c:pt idx="935">
                  <c:v>P10936</c:v>
                </c:pt>
                <c:pt idx="936">
                  <c:v>P10937</c:v>
                </c:pt>
                <c:pt idx="937">
                  <c:v>P10938</c:v>
                </c:pt>
                <c:pt idx="938">
                  <c:v>P10939</c:v>
                </c:pt>
                <c:pt idx="939">
                  <c:v>P10940</c:v>
                </c:pt>
                <c:pt idx="940">
                  <c:v>P10941</c:v>
                </c:pt>
                <c:pt idx="941">
                  <c:v>P10942</c:v>
                </c:pt>
                <c:pt idx="942">
                  <c:v>P10943</c:v>
                </c:pt>
                <c:pt idx="943">
                  <c:v>P10944</c:v>
                </c:pt>
                <c:pt idx="944">
                  <c:v>P10945</c:v>
                </c:pt>
                <c:pt idx="945">
                  <c:v>P10946</c:v>
                </c:pt>
                <c:pt idx="946">
                  <c:v>P10947</c:v>
                </c:pt>
                <c:pt idx="947">
                  <c:v>P10948</c:v>
                </c:pt>
                <c:pt idx="948">
                  <c:v>P10949</c:v>
                </c:pt>
                <c:pt idx="949">
                  <c:v>P10950</c:v>
                </c:pt>
                <c:pt idx="950">
                  <c:v>P10951</c:v>
                </c:pt>
                <c:pt idx="951">
                  <c:v>P10952</c:v>
                </c:pt>
                <c:pt idx="952">
                  <c:v>P10953</c:v>
                </c:pt>
                <c:pt idx="953">
                  <c:v>P10954</c:v>
                </c:pt>
                <c:pt idx="954">
                  <c:v>P10955</c:v>
                </c:pt>
                <c:pt idx="955">
                  <c:v>P10956</c:v>
                </c:pt>
                <c:pt idx="956">
                  <c:v>P10957</c:v>
                </c:pt>
                <c:pt idx="957">
                  <c:v>P10958</c:v>
                </c:pt>
                <c:pt idx="958">
                  <c:v>P10959</c:v>
                </c:pt>
                <c:pt idx="959">
                  <c:v>P10960</c:v>
                </c:pt>
                <c:pt idx="960">
                  <c:v>P10961</c:v>
                </c:pt>
                <c:pt idx="961">
                  <c:v>P10962</c:v>
                </c:pt>
                <c:pt idx="962">
                  <c:v>P10963</c:v>
                </c:pt>
                <c:pt idx="963">
                  <c:v>P10964</c:v>
                </c:pt>
                <c:pt idx="964">
                  <c:v>P10965</c:v>
                </c:pt>
                <c:pt idx="965">
                  <c:v>P10966</c:v>
                </c:pt>
                <c:pt idx="966">
                  <c:v>P10967</c:v>
                </c:pt>
                <c:pt idx="967">
                  <c:v>P10968</c:v>
                </c:pt>
                <c:pt idx="968">
                  <c:v>P10969</c:v>
                </c:pt>
                <c:pt idx="969">
                  <c:v>P10970</c:v>
                </c:pt>
                <c:pt idx="970">
                  <c:v>P10971</c:v>
                </c:pt>
                <c:pt idx="971">
                  <c:v>P10972</c:v>
                </c:pt>
                <c:pt idx="972">
                  <c:v>P10973</c:v>
                </c:pt>
                <c:pt idx="973">
                  <c:v>P10974</c:v>
                </c:pt>
                <c:pt idx="974">
                  <c:v>P10975</c:v>
                </c:pt>
                <c:pt idx="975">
                  <c:v>P10976</c:v>
                </c:pt>
                <c:pt idx="976">
                  <c:v>P10977</c:v>
                </c:pt>
                <c:pt idx="977">
                  <c:v>P10978</c:v>
                </c:pt>
                <c:pt idx="978">
                  <c:v>P10979</c:v>
                </c:pt>
                <c:pt idx="979">
                  <c:v>P10980</c:v>
                </c:pt>
                <c:pt idx="980">
                  <c:v>P10981</c:v>
                </c:pt>
                <c:pt idx="981">
                  <c:v>P10982</c:v>
                </c:pt>
                <c:pt idx="982">
                  <c:v>P10983</c:v>
                </c:pt>
                <c:pt idx="983">
                  <c:v>P10984</c:v>
                </c:pt>
                <c:pt idx="984">
                  <c:v>P10985</c:v>
                </c:pt>
                <c:pt idx="985">
                  <c:v>P10986</c:v>
                </c:pt>
                <c:pt idx="986">
                  <c:v>P10987</c:v>
                </c:pt>
                <c:pt idx="987">
                  <c:v>P10988</c:v>
                </c:pt>
                <c:pt idx="988">
                  <c:v>P10989</c:v>
                </c:pt>
                <c:pt idx="989">
                  <c:v>P10990</c:v>
                </c:pt>
                <c:pt idx="990">
                  <c:v>P10991</c:v>
                </c:pt>
                <c:pt idx="991">
                  <c:v>P10992</c:v>
                </c:pt>
                <c:pt idx="992">
                  <c:v>P10993</c:v>
                </c:pt>
                <c:pt idx="993">
                  <c:v>P10994</c:v>
                </c:pt>
                <c:pt idx="994">
                  <c:v>P10995</c:v>
                </c:pt>
                <c:pt idx="995">
                  <c:v>P10996</c:v>
                </c:pt>
                <c:pt idx="996">
                  <c:v>P10997</c:v>
                </c:pt>
                <c:pt idx="997">
                  <c:v>P10998</c:v>
                </c:pt>
                <c:pt idx="998">
                  <c:v>P10999</c:v>
                </c:pt>
                <c:pt idx="999">
                  <c:v>P11000</c:v>
                </c:pt>
              </c:strCache>
            </c:strRef>
          </c:cat>
          <c:val>
            <c:numRef>
              <c:f>'Pivot Tables'!$K$28:$K$1028</c:f>
              <c:numCache>
                <c:formatCode>General</c:formatCode>
                <c:ptCount val="1000"/>
                <c:pt idx="0">
                  <c:v>45</c:v>
                </c:pt>
                <c:pt idx="1">
                  <c:v>40</c:v>
                </c:pt>
                <c:pt idx="2">
                  <c:v>42</c:v>
                </c:pt>
                <c:pt idx="3">
                  <c:v>30</c:v>
                </c:pt>
                <c:pt idx="4">
                  <c:v>50</c:v>
                </c:pt>
                <c:pt idx="5">
                  <c:v>17</c:v>
                </c:pt>
                <c:pt idx="6">
                  <c:v>39</c:v>
                </c:pt>
                <c:pt idx="7">
                  <c:v>51</c:v>
                </c:pt>
                <c:pt idx="8">
                  <c:v>59</c:v>
                </c:pt>
                <c:pt idx="9">
                  <c:v>60</c:v>
                </c:pt>
                <c:pt idx="10">
                  <c:v>18</c:v>
                </c:pt>
                <c:pt idx="11">
                  <c:v>25</c:v>
                </c:pt>
                <c:pt idx="12">
                  <c:v>28</c:v>
                </c:pt>
                <c:pt idx="13">
                  <c:v>32</c:v>
                </c:pt>
                <c:pt idx="14">
                  <c:v>33</c:v>
                </c:pt>
                <c:pt idx="15">
                  <c:v>61</c:v>
                </c:pt>
                <c:pt idx="16">
                  <c:v>54</c:v>
                </c:pt>
                <c:pt idx="17">
                  <c:v>49</c:v>
                </c:pt>
                <c:pt idx="18">
                  <c:v>47</c:v>
                </c:pt>
                <c:pt idx="19">
                  <c:v>48</c:v>
                </c:pt>
                <c:pt idx="20">
                  <c:v>50</c:v>
                </c:pt>
                <c:pt idx="21">
                  <c:v>16</c:v>
                </c:pt>
                <c:pt idx="22">
                  <c:v>19</c:v>
                </c:pt>
                <c:pt idx="23">
                  <c:v>22</c:v>
                </c:pt>
                <c:pt idx="24">
                  <c:v>24</c:v>
                </c:pt>
                <c:pt idx="25">
                  <c:v>30</c:v>
                </c:pt>
                <c:pt idx="26">
                  <c:v>44</c:v>
                </c:pt>
                <c:pt idx="27">
                  <c:v>65</c:v>
                </c:pt>
                <c:pt idx="28">
                  <c:v>33</c:v>
                </c:pt>
                <c:pt idx="29">
                  <c:v>32</c:v>
                </c:pt>
                <c:pt idx="30">
                  <c:v>36</c:v>
                </c:pt>
                <c:pt idx="31">
                  <c:v>39</c:v>
                </c:pt>
                <c:pt idx="32">
                  <c:v>40</c:v>
                </c:pt>
                <c:pt idx="33">
                  <c:v>50</c:v>
                </c:pt>
                <c:pt idx="34">
                  <c:v>51</c:v>
                </c:pt>
                <c:pt idx="35">
                  <c:v>34</c:v>
                </c:pt>
                <c:pt idx="36">
                  <c:v>24</c:v>
                </c:pt>
                <c:pt idx="37">
                  <c:v>33</c:v>
                </c:pt>
                <c:pt idx="38">
                  <c:v>25</c:v>
                </c:pt>
                <c:pt idx="39">
                  <c:v>66</c:v>
                </c:pt>
                <c:pt idx="40">
                  <c:v>59</c:v>
                </c:pt>
                <c:pt idx="41">
                  <c:v>49</c:v>
                </c:pt>
                <c:pt idx="42">
                  <c:v>44</c:v>
                </c:pt>
                <c:pt idx="43">
                  <c:v>38</c:v>
                </c:pt>
                <c:pt idx="44">
                  <c:v>39</c:v>
                </c:pt>
                <c:pt idx="45">
                  <c:v>12</c:v>
                </c:pt>
                <c:pt idx="46">
                  <c:v>24</c:v>
                </c:pt>
                <c:pt idx="47">
                  <c:v>11</c:v>
                </c:pt>
                <c:pt idx="48">
                  <c:v>4</c:v>
                </c:pt>
                <c:pt idx="49">
                  <c:v>21</c:v>
                </c:pt>
                <c:pt idx="50">
                  <c:v>13</c:v>
                </c:pt>
                <c:pt idx="51">
                  <c:v>24</c:v>
                </c:pt>
                <c:pt idx="52">
                  <c:v>23</c:v>
                </c:pt>
                <c:pt idx="53">
                  <c:v>18</c:v>
                </c:pt>
                <c:pt idx="54">
                  <c:v>19</c:v>
                </c:pt>
                <c:pt idx="55">
                  <c:v>24</c:v>
                </c:pt>
                <c:pt idx="56">
                  <c:v>25</c:v>
                </c:pt>
                <c:pt idx="57">
                  <c:v>11</c:v>
                </c:pt>
                <c:pt idx="58">
                  <c:v>22</c:v>
                </c:pt>
                <c:pt idx="59">
                  <c:v>62</c:v>
                </c:pt>
                <c:pt idx="60">
                  <c:v>64</c:v>
                </c:pt>
                <c:pt idx="61">
                  <c:v>75</c:v>
                </c:pt>
                <c:pt idx="62">
                  <c:v>72</c:v>
                </c:pt>
                <c:pt idx="63">
                  <c:v>77</c:v>
                </c:pt>
                <c:pt idx="64">
                  <c:v>33</c:v>
                </c:pt>
                <c:pt idx="65">
                  <c:v>24</c:v>
                </c:pt>
                <c:pt idx="66">
                  <c:v>30</c:v>
                </c:pt>
                <c:pt idx="67">
                  <c:v>27</c:v>
                </c:pt>
                <c:pt idx="68">
                  <c:v>23</c:v>
                </c:pt>
                <c:pt idx="69">
                  <c:v>19</c:v>
                </c:pt>
                <c:pt idx="70">
                  <c:v>21</c:v>
                </c:pt>
                <c:pt idx="71">
                  <c:v>24</c:v>
                </c:pt>
                <c:pt idx="72">
                  <c:v>27</c:v>
                </c:pt>
                <c:pt idx="73">
                  <c:v>28</c:v>
                </c:pt>
                <c:pt idx="74">
                  <c:v>80</c:v>
                </c:pt>
                <c:pt idx="75">
                  <c:v>20</c:v>
                </c:pt>
                <c:pt idx="76">
                  <c:v>33</c:v>
                </c:pt>
                <c:pt idx="77">
                  <c:v>24</c:v>
                </c:pt>
                <c:pt idx="78">
                  <c:v>77</c:v>
                </c:pt>
                <c:pt idx="79">
                  <c:v>21</c:v>
                </c:pt>
                <c:pt idx="80">
                  <c:v>24</c:v>
                </c:pt>
                <c:pt idx="81">
                  <c:v>23</c:v>
                </c:pt>
                <c:pt idx="82">
                  <c:v>48</c:v>
                </c:pt>
                <c:pt idx="83">
                  <c:v>9</c:v>
                </c:pt>
                <c:pt idx="84">
                  <c:v>24</c:v>
                </c:pt>
                <c:pt idx="85">
                  <c:v>10</c:v>
                </c:pt>
                <c:pt idx="86">
                  <c:v>14</c:v>
                </c:pt>
                <c:pt idx="87">
                  <c:v>74</c:v>
                </c:pt>
                <c:pt idx="88">
                  <c:v>23</c:v>
                </c:pt>
                <c:pt idx="89">
                  <c:v>49</c:v>
                </c:pt>
                <c:pt idx="90">
                  <c:v>5</c:v>
                </c:pt>
                <c:pt idx="91">
                  <c:v>24</c:v>
                </c:pt>
                <c:pt idx="92">
                  <c:v>13</c:v>
                </c:pt>
                <c:pt idx="93">
                  <c:v>15</c:v>
                </c:pt>
                <c:pt idx="94">
                  <c:v>24</c:v>
                </c:pt>
                <c:pt idx="95">
                  <c:v>33</c:v>
                </c:pt>
                <c:pt idx="96">
                  <c:v>3</c:v>
                </c:pt>
                <c:pt idx="97">
                  <c:v>24</c:v>
                </c:pt>
                <c:pt idx="98">
                  <c:v>21</c:v>
                </c:pt>
                <c:pt idx="99">
                  <c:v>55</c:v>
                </c:pt>
                <c:pt idx="100">
                  <c:v>29</c:v>
                </c:pt>
                <c:pt idx="101">
                  <c:v>24</c:v>
                </c:pt>
                <c:pt idx="102">
                  <c:v>34</c:v>
                </c:pt>
                <c:pt idx="103">
                  <c:v>24</c:v>
                </c:pt>
                <c:pt idx="104">
                  <c:v>7</c:v>
                </c:pt>
                <c:pt idx="105">
                  <c:v>10</c:v>
                </c:pt>
                <c:pt idx="106">
                  <c:v>44</c:v>
                </c:pt>
                <c:pt idx="107">
                  <c:v>33</c:v>
                </c:pt>
                <c:pt idx="108">
                  <c:v>21</c:v>
                </c:pt>
                <c:pt idx="109">
                  <c:v>24</c:v>
                </c:pt>
                <c:pt idx="110">
                  <c:v>33</c:v>
                </c:pt>
                <c:pt idx="111">
                  <c:v>61</c:v>
                </c:pt>
                <c:pt idx="112">
                  <c:v>65</c:v>
                </c:pt>
                <c:pt idx="113">
                  <c:v>63</c:v>
                </c:pt>
                <c:pt idx="114">
                  <c:v>24</c:v>
                </c:pt>
                <c:pt idx="115">
                  <c:v>66</c:v>
                </c:pt>
                <c:pt idx="116">
                  <c:v>67</c:v>
                </c:pt>
                <c:pt idx="117">
                  <c:v>24</c:v>
                </c:pt>
                <c:pt idx="118">
                  <c:v>24</c:v>
                </c:pt>
                <c:pt idx="119">
                  <c:v>19</c:v>
                </c:pt>
                <c:pt idx="120">
                  <c:v>78</c:v>
                </c:pt>
                <c:pt idx="121">
                  <c:v>88</c:v>
                </c:pt>
                <c:pt idx="122">
                  <c:v>69</c:v>
                </c:pt>
                <c:pt idx="123">
                  <c:v>12</c:v>
                </c:pt>
                <c:pt idx="124">
                  <c:v>24</c:v>
                </c:pt>
                <c:pt idx="125">
                  <c:v>33</c:v>
                </c:pt>
                <c:pt idx="126">
                  <c:v>21</c:v>
                </c:pt>
                <c:pt idx="127">
                  <c:v>24</c:v>
                </c:pt>
                <c:pt idx="128">
                  <c:v>22</c:v>
                </c:pt>
                <c:pt idx="129">
                  <c:v>21</c:v>
                </c:pt>
                <c:pt idx="130">
                  <c:v>4</c:v>
                </c:pt>
                <c:pt idx="131">
                  <c:v>45</c:v>
                </c:pt>
                <c:pt idx="132">
                  <c:v>30</c:v>
                </c:pt>
                <c:pt idx="133">
                  <c:v>24</c:v>
                </c:pt>
                <c:pt idx="134">
                  <c:v>44</c:v>
                </c:pt>
                <c:pt idx="135">
                  <c:v>45</c:v>
                </c:pt>
                <c:pt idx="136">
                  <c:v>24</c:v>
                </c:pt>
                <c:pt idx="137">
                  <c:v>87</c:v>
                </c:pt>
                <c:pt idx="138">
                  <c:v>12</c:v>
                </c:pt>
                <c:pt idx="139">
                  <c:v>34</c:v>
                </c:pt>
                <c:pt idx="140">
                  <c:v>66</c:v>
                </c:pt>
                <c:pt idx="141">
                  <c:v>24</c:v>
                </c:pt>
                <c:pt idx="142">
                  <c:v>59</c:v>
                </c:pt>
                <c:pt idx="143">
                  <c:v>22</c:v>
                </c:pt>
                <c:pt idx="144">
                  <c:v>60</c:v>
                </c:pt>
                <c:pt idx="145">
                  <c:v>79</c:v>
                </c:pt>
                <c:pt idx="146">
                  <c:v>24</c:v>
                </c:pt>
                <c:pt idx="147">
                  <c:v>30</c:v>
                </c:pt>
                <c:pt idx="148">
                  <c:v>29</c:v>
                </c:pt>
                <c:pt idx="149">
                  <c:v>79</c:v>
                </c:pt>
                <c:pt idx="150">
                  <c:v>80</c:v>
                </c:pt>
                <c:pt idx="151">
                  <c:v>50</c:v>
                </c:pt>
                <c:pt idx="152">
                  <c:v>24</c:v>
                </c:pt>
                <c:pt idx="153">
                  <c:v>20</c:v>
                </c:pt>
                <c:pt idx="154">
                  <c:v>24</c:v>
                </c:pt>
                <c:pt idx="155">
                  <c:v>47</c:v>
                </c:pt>
                <c:pt idx="156">
                  <c:v>9</c:v>
                </c:pt>
                <c:pt idx="157">
                  <c:v>10</c:v>
                </c:pt>
                <c:pt idx="158">
                  <c:v>65</c:v>
                </c:pt>
                <c:pt idx="159">
                  <c:v>89</c:v>
                </c:pt>
                <c:pt idx="160">
                  <c:v>24</c:v>
                </c:pt>
                <c:pt idx="161">
                  <c:v>78</c:v>
                </c:pt>
                <c:pt idx="162">
                  <c:v>34</c:v>
                </c:pt>
                <c:pt idx="163">
                  <c:v>23</c:v>
                </c:pt>
                <c:pt idx="164">
                  <c:v>19</c:v>
                </c:pt>
                <c:pt idx="165">
                  <c:v>24</c:v>
                </c:pt>
                <c:pt idx="166">
                  <c:v>51</c:v>
                </c:pt>
                <c:pt idx="167">
                  <c:v>23</c:v>
                </c:pt>
                <c:pt idx="168">
                  <c:v>33</c:v>
                </c:pt>
                <c:pt idx="169">
                  <c:v>18</c:v>
                </c:pt>
                <c:pt idx="170">
                  <c:v>24</c:v>
                </c:pt>
                <c:pt idx="171">
                  <c:v>24</c:v>
                </c:pt>
                <c:pt idx="172">
                  <c:v>21</c:v>
                </c:pt>
                <c:pt idx="173">
                  <c:v>56</c:v>
                </c:pt>
                <c:pt idx="174">
                  <c:v>53</c:v>
                </c:pt>
                <c:pt idx="175">
                  <c:v>33</c:v>
                </c:pt>
                <c:pt idx="176">
                  <c:v>24</c:v>
                </c:pt>
                <c:pt idx="177">
                  <c:v>33</c:v>
                </c:pt>
                <c:pt idx="178">
                  <c:v>11</c:v>
                </c:pt>
                <c:pt idx="179">
                  <c:v>24</c:v>
                </c:pt>
                <c:pt idx="180">
                  <c:v>13</c:v>
                </c:pt>
                <c:pt idx="181">
                  <c:v>15</c:v>
                </c:pt>
                <c:pt idx="182">
                  <c:v>18</c:v>
                </c:pt>
                <c:pt idx="183">
                  <c:v>19</c:v>
                </c:pt>
                <c:pt idx="184">
                  <c:v>65</c:v>
                </c:pt>
                <c:pt idx="185">
                  <c:v>55</c:v>
                </c:pt>
                <c:pt idx="186">
                  <c:v>89</c:v>
                </c:pt>
                <c:pt idx="187">
                  <c:v>90</c:v>
                </c:pt>
                <c:pt idx="188">
                  <c:v>76</c:v>
                </c:pt>
                <c:pt idx="189">
                  <c:v>22</c:v>
                </c:pt>
                <c:pt idx="190">
                  <c:v>76</c:v>
                </c:pt>
                <c:pt idx="191">
                  <c:v>21</c:v>
                </c:pt>
                <c:pt idx="192">
                  <c:v>24</c:v>
                </c:pt>
                <c:pt idx="193">
                  <c:v>26</c:v>
                </c:pt>
                <c:pt idx="194">
                  <c:v>78</c:v>
                </c:pt>
                <c:pt idx="195">
                  <c:v>21</c:v>
                </c:pt>
                <c:pt idx="196">
                  <c:v>24</c:v>
                </c:pt>
                <c:pt idx="197">
                  <c:v>27</c:v>
                </c:pt>
                <c:pt idx="198">
                  <c:v>29</c:v>
                </c:pt>
                <c:pt idx="199">
                  <c:v>24</c:v>
                </c:pt>
                <c:pt idx="200">
                  <c:v>56</c:v>
                </c:pt>
                <c:pt idx="201">
                  <c:v>34</c:v>
                </c:pt>
                <c:pt idx="202">
                  <c:v>24</c:v>
                </c:pt>
                <c:pt idx="203">
                  <c:v>12</c:v>
                </c:pt>
                <c:pt idx="204">
                  <c:v>24</c:v>
                </c:pt>
                <c:pt idx="205">
                  <c:v>24</c:v>
                </c:pt>
                <c:pt idx="206">
                  <c:v>23</c:v>
                </c:pt>
                <c:pt idx="207">
                  <c:v>88</c:v>
                </c:pt>
                <c:pt idx="208">
                  <c:v>85</c:v>
                </c:pt>
                <c:pt idx="209">
                  <c:v>79</c:v>
                </c:pt>
                <c:pt idx="210">
                  <c:v>11</c:v>
                </c:pt>
                <c:pt idx="211">
                  <c:v>24</c:v>
                </c:pt>
                <c:pt idx="212">
                  <c:v>25</c:v>
                </c:pt>
                <c:pt idx="213">
                  <c:v>13</c:v>
                </c:pt>
                <c:pt idx="214">
                  <c:v>24</c:v>
                </c:pt>
                <c:pt idx="215">
                  <c:v>33</c:v>
                </c:pt>
                <c:pt idx="216">
                  <c:v>89</c:v>
                </c:pt>
                <c:pt idx="217">
                  <c:v>78</c:v>
                </c:pt>
                <c:pt idx="218">
                  <c:v>75</c:v>
                </c:pt>
                <c:pt idx="219">
                  <c:v>24</c:v>
                </c:pt>
                <c:pt idx="220">
                  <c:v>23</c:v>
                </c:pt>
                <c:pt idx="221">
                  <c:v>19</c:v>
                </c:pt>
                <c:pt idx="222">
                  <c:v>24</c:v>
                </c:pt>
                <c:pt idx="223">
                  <c:v>67</c:v>
                </c:pt>
                <c:pt idx="224">
                  <c:v>87</c:v>
                </c:pt>
                <c:pt idx="225">
                  <c:v>69</c:v>
                </c:pt>
                <c:pt idx="226">
                  <c:v>24</c:v>
                </c:pt>
                <c:pt idx="227">
                  <c:v>19</c:v>
                </c:pt>
                <c:pt idx="228">
                  <c:v>12</c:v>
                </c:pt>
                <c:pt idx="229">
                  <c:v>10</c:v>
                </c:pt>
                <c:pt idx="230">
                  <c:v>21</c:v>
                </c:pt>
                <c:pt idx="231">
                  <c:v>34</c:v>
                </c:pt>
                <c:pt idx="232">
                  <c:v>54</c:v>
                </c:pt>
                <c:pt idx="233">
                  <c:v>67</c:v>
                </c:pt>
                <c:pt idx="234">
                  <c:v>19</c:v>
                </c:pt>
                <c:pt idx="235">
                  <c:v>24</c:v>
                </c:pt>
                <c:pt idx="236">
                  <c:v>34</c:v>
                </c:pt>
                <c:pt idx="237">
                  <c:v>46</c:v>
                </c:pt>
                <c:pt idx="238">
                  <c:v>44</c:v>
                </c:pt>
                <c:pt idx="239">
                  <c:v>24</c:v>
                </c:pt>
                <c:pt idx="240">
                  <c:v>35</c:v>
                </c:pt>
                <c:pt idx="241">
                  <c:v>45</c:v>
                </c:pt>
                <c:pt idx="242">
                  <c:v>48</c:v>
                </c:pt>
                <c:pt idx="243">
                  <c:v>24</c:v>
                </c:pt>
                <c:pt idx="244">
                  <c:v>78</c:v>
                </c:pt>
                <c:pt idx="245">
                  <c:v>67</c:v>
                </c:pt>
                <c:pt idx="246">
                  <c:v>24</c:v>
                </c:pt>
                <c:pt idx="247">
                  <c:v>27</c:v>
                </c:pt>
                <c:pt idx="248">
                  <c:v>19</c:v>
                </c:pt>
                <c:pt idx="249">
                  <c:v>20</c:v>
                </c:pt>
                <c:pt idx="250">
                  <c:v>21</c:v>
                </c:pt>
                <c:pt idx="251">
                  <c:v>22</c:v>
                </c:pt>
                <c:pt idx="252">
                  <c:v>23</c:v>
                </c:pt>
                <c:pt idx="253">
                  <c:v>24</c:v>
                </c:pt>
                <c:pt idx="254">
                  <c:v>30</c:v>
                </c:pt>
                <c:pt idx="255">
                  <c:v>34</c:v>
                </c:pt>
                <c:pt idx="256">
                  <c:v>36</c:v>
                </c:pt>
                <c:pt idx="257">
                  <c:v>44</c:v>
                </c:pt>
                <c:pt idx="258">
                  <c:v>24</c:v>
                </c:pt>
                <c:pt idx="259">
                  <c:v>56</c:v>
                </c:pt>
                <c:pt idx="260">
                  <c:v>57</c:v>
                </c:pt>
                <c:pt idx="261">
                  <c:v>60</c:v>
                </c:pt>
                <c:pt idx="262">
                  <c:v>24</c:v>
                </c:pt>
                <c:pt idx="263">
                  <c:v>44</c:v>
                </c:pt>
                <c:pt idx="264">
                  <c:v>3</c:v>
                </c:pt>
                <c:pt idx="265">
                  <c:v>16</c:v>
                </c:pt>
                <c:pt idx="266">
                  <c:v>24</c:v>
                </c:pt>
                <c:pt idx="267">
                  <c:v>29</c:v>
                </c:pt>
                <c:pt idx="268">
                  <c:v>30</c:v>
                </c:pt>
                <c:pt idx="269">
                  <c:v>31</c:v>
                </c:pt>
                <c:pt idx="270">
                  <c:v>24</c:v>
                </c:pt>
                <c:pt idx="271">
                  <c:v>34</c:v>
                </c:pt>
                <c:pt idx="272">
                  <c:v>47</c:v>
                </c:pt>
                <c:pt idx="273">
                  <c:v>24</c:v>
                </c:pt>
                <c:pt idx="274">
                  <c:v>19</c:v>
                </c:pt>
                <c:pt idx="275">
                  <c:v>22</c:v>
                </c:pt>
                <c:pt idx="276">
                  <c:v>24</c:v>
                </c:pt>
                <c:pt idx="277">
                  <c:v>12</c:v>
                </c:pt>
                <c:pt idx="278">
                  <c:v>11</c:v>
                </c:pt>
                <c:pt idx="279">
                  <c:v>5</c:v>
                </c:pt>
                <c:pt idx="280">
                  <c:v>24</c:v>
                </c:pt>
                <c:pt idx="281">
                  <c:v>12</c:v>
                </c:pt>
                <c:pt idx="282">
                  <c:v>11</c:v>
                </c:pt>
                <c:pt idx="283">
                  <c:v>65</c:v>
                </c:pt>
                <c:pt idx="284">
                  <c:v>67</c:v>
                </c:pt>
                <c:pt idx="285">
                  <c:v>78</c:v>
                </c:pt>
                <c:pt idx="286">
                  <c:v>24</c:v>
                </c:pt>
                <c:pt idx="287">
                  <c:v>89</c:v>
                </c:pt>
                <c:pt idx="288">
                  <c:v>79</c:v>
                </c:pt>
                <c:pt idx="289">
                  <c:v>71</c:v>
                </c:pt>
                <c:pt idx="290">
                  <c:v>11</c:v>
                </c:pt>
                <c:pt idx="291">
                  <c:v>24</c:v>
                </c:pt>
                <c:pt idx="292">
                  <c:v>33</c:v>
                </c:pt>
                <c:pt idx="293">
                  <c:v>24</c:v>
                </c:pt>
                <c:pt idx="294">
                  <c:v>24</c:v>
                </c:pt>
                <c:pt idx="295">
                  <c:v>65</c:v>
                </c:pt>
                <c:pt idx="296">
                  <c:v>24</c:v>
                </c:pt>
                <c:pt idx="297">
                  <c:v>78</c:v>
                </c:pt>
                <c:pt idx="298">
                  <c:v>12</c:v>
                </c:pt>
                <c:pt idx="299">
                  <c:v>10</c:v>
                </c:pt>
                <c:pt idx="300">
                  <c:v>18</c:v>
                </c:pt>
                <c:pt idx="301">
                  <c:v>24</c:v>
                </c:pt>
                <c:pt idx="302">
                  <c:v>26</c:v>
                </c:pt>
                <c:pt idx="303">
                  <c:v>33</c:v>
                </c:pt>
                <c:pt idx="304">
                  <c:v>12</c:v>
                </c:pt>
                <c:pt idx="305">
                  <c:v>24</c:v>
                </c:pt>
                <c:pt idx="306">
                  <c:v>24</c:v>
                </c:pt>
                <c:pt idx="307">
                  <c:v>33</c:v>
                </c:pt>
                <c:pt idx="308">
                  <c:v>67</c:v>
                </c:pt>
                <c:pt idx="309">
                  <c:v>89</c:v>
                </c:pt>
                <c:pt idx="310">
                  <c:v>24</c:v>
                </c:pt>
                <c:pt idx="311">
                  <c:v>12</c:v>
                </c:pt>
                <c:pt idx="312">
                  <c:v>24</c:v>
                </c:pt>
                <c:pt idx="313">
                  <c:v>78</c:v>
                </c:pt>
                <c:pt idx="314">
                  <c:v>24</c:v>
                </c:pt>
                <c:pt idx="315">
                  <c:v>27</c:v>
                </c:pt>
                <c:pt idx="316">
                  <c:v>66</c:v>
                </c:pt>
                <c:pt idx="317">
                  <c:v>89</c:v>
                </c:pt>
                <c:pt idx="318">
                  <c:v>99</c:v>
                </c:pt>
                <c:pt idx="319">
                  <c:v>24</c:v>
                </c:pt>
                <c:pt idx="320">
                  <c:v>87</c:v>
                </c:pt>
                <c:pt idx="321">
                  <c:v>98</c:v>
                </c:pt>
                <c:pt idx="322">
                  <c:v>24</c:v>
                </c:pt>
                <c:pt idx="323">
                  <c:v>23</c:v>
                </c:pt>
                <c:pt idx="324">
                  <c:v>24</c:v>
                </c:pt>
                <c:pt idx="325">
                  <c:v>44</c:v>
                </c:pt>
                <c:pt idx="326">
                  <c:v>89</c:v>
                </c:pt>
                <c:pt idx="327">
                  <c:v>24</c:v>
                </c:pt>
                <c:pt idx="328">
                  <c:v>76</c:v>
                </c:pt>
                <c:pt idx="329">
                  <c:v>24</c:v>
                </c:pt>
                <c:pt idx="330">
                  <c:v>39</c:v>
                </c:pt>
                <c:pt idx="331">
                  <c:v>24</c:v>
                </c:pt>
                <c:pt idx="332">
                  <c:v>45</c:v>
                </c:pt>
                <c:pt idx="333">
                  <c:v>24</c:v>
                </c:pt>
                <c:pt idx="334">
                  <c:v>56</c:v>
                </c:pt>
                <c:pt idx="335">
                  <c:v>98</c:v>
                </c:pt>
                <c:pt idx="336">
                  <c:v>87</c:v>
                </c:pt>
                <c:pt idx="337">
                  <c:v>87</c:v>
                </c:pt>
                <c:pt idx="338">
                  <c:v>77</c:v>
                </c:pt>
                <c:pt idx="339">
                  <c:v>24</c:v>
                </c:pt>
                <c:pt idx="340">
                  <c:v>24</c:v>
                </c:pt>
                <c:pt idx="341">
                  <c:v>45</c:v>
                </c:pt>
                <c:pt idx="342">
                  <c:v>24</c:v>
                </c:pt>
                <c:pt idx="343">
                  <c:v>66</c:v>
                </c:pt>
                <c:pt idx="344">
                  <c:v>24</c:v>
                </c:pt>
                <c:pt idx="345">
                  <c:v>34</c:v>
                </c:pt>
                <c:pt idx="346">
                  <c:v>24</c:v>
                </c:pt>
                <c:pt idx="347">
                  <c:v>78</c:v>
                </c:pt>
                <c:pt idx="348">
                  <c:v>24</c:v>
                </c:pt>
                <c:pt idx="349">
                  <c:v>87</c:v>
                </c:pt>
                <c:pt idx="350">
                  <c:v>24</c:v>
                </c:pt>
                <c:pt idx="351">
                  <c:v>33</c:v>
                </c:pt>
                <c:pt idx="352">
                  <c:v>24</c:v>
                </c:pt>
                <c:pt idx="353">
                  <c:v>65</c:v>
                </c:pt>
                <c:pt idx="354">
                  <c:v>24</c:v>
                </c:pt>
                <c:pt idx="355">
                  <c:v>24</c:v>
                </c:pt>
                <c:pt idx="356">
                  <c:v>45</c:v>
                </c:pt>
                <c:pt idx="357">
                  <c:v>67</c:v>
                </c:pt>
                <c:pt idx="358">
                  <c:v>24</c:v>
                </c:pt>
                <c:pt idx="359">
                  <c:v>55</c:v>
                </c:pt>
                <c:pt idx="360">
                  <c:v>24</c:v>
                </c:pt>
                <c:pt idx="361">
                  <c:v>56</c:v>
                </c:pt>
                <c:pt idx="362">
                  <c:v>88</c:v>
                </c:pt>
                <c:pt idx="363">
                  <c:v>89</c:v>
                </c:pt>
                <c:pt idx="364">
                  <c:v>24</c:v>
                </c:pt>
                <c:pt idx="365">
                  <c:v>35</c:v>
                </c:pt>
                <c:pt idx="366">
                  <c:v>29</c:v>
                </c:pt>
                <c:pt idx="367">
                  <c:v>30</c:v>
                </c:pt>
                <c:pt idx="368">
                  <c:v>87</c:v>
                </c:pt>
                <c:pt idx="369">
                  <c:v>24</c:v>
                </c:pt>
                <c:pt idx="370">
                  <c:v>13</c:v>
                </c:pt>
                <c:pt idx="371">
                  <c:v>24</c:v>
                </c:pt>
                <c:pt idx="372">
                  <c:v>90</c:v>
                </c:pt>
                <c:pt idx="373">
                  <c:v>34</c:v>
                </c:pt>
                <c:pt idx="374">
                  <c:v>24</c:v>
                </c:pt>
                <c:pt idx="375">
                  <c:v>12</c:v>
                </c:pt>
                <c:pt idx="376">
                  <c:v>24</c:v>
                </c:pt>
                <c:pt idx="377">
                  <c:v>30</c:v>
                </c:pt>
                <c:pt idx="378">
                  <c:v>65</c:v>
                </c:pt>
                <c:pt idx="379">
                  <c:v>24</c:v>
                </c:pt>
                <c:pt idx="380">
                  <c:v>33</c:v>
                </c:pt>
                <c:pt idx="381">
                  <c:v>78</c:v>
                </c:pt>
                <c:pt idx="382">
                  <c:v>76</c:v>
                </c:pt>
                <c:pt idx="383">
                  <c:v>24</c:v>
                </c:pt>
                <c:pt idx="384">
                  <c:v>65</c:v>
                </c:pt>
                <c:pt idx="385">
                  <c:v>24</c:v>
                </c:pt>
                <c:pt idx="386">
                  <c:v>54</c:v>
                </c:pt>
                <c:pt idx="387">
                  <c:v>43</c:v>
                </c:pt>
                <c:pt idx="388">
                  <c:v>32</c:v>
                </c:pt>
                <c:pt idx="389">
                  <c:v>21</c:v>
                </c:pt>
                <c:pt idx="390">
                  <c:v>21</c:v>
                </c:pt>
                <c:pt idx="391">
                  <c:v>98</c:v>
                </c:pt>
                <c:pt idx="392">
                  <c:v>87</c:v>
                </c:pt>
                <c:pt idx="393">
                  <c:v>24</c:v>
                </c:pt>
                <c:pt idx="394">
                  <c:v>76</c:v>
                </c:pt>
                <c:pt idx="395">
                  <c:v>56</c:v>
                </c:pt>
                <c:pt idx="396">
                  <c:v>65</c:v>
                </c:pt>
                <c:pt idx="397">
                  <c:v>24</c:v>
                </c:pt>
                <c:pt idx="398">
                  <c:v>54</c:v>
                </c:pt>
                <c:pt idx="399">
                  <c:v>43</c:v>
                </c:pt>
                <c:pt idx="400">
                  <c:v>24</c:v>
                </c:pt>
                <c:pt idx="401">
                  <c:v>34</c:v>
                </c:pt>
                <c:pt idx="402">
                  <c:v>12</c:v>
                </c:pt>
                <c:pt idx="403">
                  <c:v>23</c:v>
                </c:pt>
                <c:pt idx="404">
                  <c:v>34</c:v>
                </c:pt>
                <c:pt idx="405">
                  <c:v>45</c:v>
                </c:pt>
                <c:pt idx="406">
                  <c:v>56</c:v>
                </c:pt>
                <c:pt idx="407">
                  <c:v>67</c:v>
                </c:pt>
                <c:pt idx="408">
                  <c:v>78</c:v>
                </c:pt>
                <c:pt idx="409">
                  <c:v>89</c:v>
                </c:pt>
                <c:pt idx="410">
                  <c:v>9</c:v>
                </c:pt>
                <c:pt idx="411">
                  <c:v>90</c:v>
                </c:pt>
                <c:pt idx="412">
                  <c:v>8</c:v>
                </c:pt>
                <c:pt idx="413">
                  <c:v>87</c:v>
                </c:pt>
                <c:pt idx="414">
                  <c:v>7</c:v>
                </c:pt>
                <c:pt idx="415">
                  <c:v>76</c:v>
                </c:pt>
                <c:pt idx="416">
                  <c:v>67</c:v>
                </c:pt>
                <c:pt idx="417">
                  <c:v>67</c:v>
                </c:pt>
                <c:pt idx="418">
                  <c:v>65</c:v>
                </c:pt>
                <c:pt idx="419">
                  <c:v>56</c:v>
                </c:pt>
                <c:pt idx="420">
                  <c:v>54</c:v>
                </c:pt>
                <c:pt idx="421">
                  <c:v>43</c:v>
                </c:pt>
                <c:pt idx="422">
                  <c:v>32</c:v>
                </c:pt>
                <c:pt idx="423">
                  <c:v>45</c:v>
                </c:pt>
                <c:pt idx="424">
                  <c:v>56</c:v>
                </c:pt>
                <c:pt idx="425">
                  <c:v>78</c:v>
                </c:pt>
                <c:pt idx="426">
                  <c:v>87</c:v>
                </c:pt>
                <c:pt idx="427">
                  <c:v>67</c:v>
                </c:pt>
                <c:pt idx="428">
                  <c:v>57</c:v>
                </c:pt>
                <c:pt idx="429">
                  <c:v>54</c:v>
                </c:pt>
                <c:pt idx="430">
                  <c:v>56</c:v>
                </c:pt>
                <c:pt idx="431">
                  <c:v>45</c:v>
                </c:pt>
                <c:pt idx="432">
                  <c:v>78</c:v>
                </c:pt>
                <c:pt idx="433">
                  <c:v>67</c:v>
                </c:pt>
                <c:pt idx="434">
                  <c:v>4</c:v>
                </c:pt>
                <c:pt idx="435">
                  <c:v>56</c:v>
                </c:pt>
                <c:pt idx="436">
                  <c:v>54</c:v>
                </c:pt>
                <c:pt idx="437">
                  <c:v>34</c:v>
                </c:pt>
                <c:pt idx="438">
                  <c:v>45</c:v>
                </c:pt>
                <c:pt idx="439">
                  <c:v>56</c:v>
                </c:pt>
                <c:pt idx="440">
                  <c:v>65</c:v>
                </c:pt>
                <c:pt idx="441">
                  <c:v>67</c:v>
                </c:pt>
                <c:pt idx="442">
                  <c:v>78</c:v>
                </c:pt>
                <c:pt idx="443">
                  <c:v>89</c:v>
                </c:pt>
                <c:pt idx="444">
                  <c:v>87</c:v>
                </c:pt>
                <c:pt idx="445">
                  <c:v>23</c:v>
                </c:pt>
                <c:pt idx="446">
                  <c:v>24</c:v>
                </c:pt>
                <c:pt idx="447">
                  <c:v>29</c:v>
                </c:pt>
                <c:pt idx="448">
                  <c:v>30</c:v>
                </c:pt>
                <c:pt idx="449">
                  <c:v>31</c:v>
                </c:pt>
                <c:pt idx="450">
                  <c:v>45</c:v>
                </c:pt>
                <c:pt idx="451">
                  <c:v>44</c:v>
                </c:pt>
                <c:pt idx="452">
                  <c:v>56</c:v>
                </c:pt>
                <c:pt idx="453">
                  <c:v>67</c:v>
                </c:pt>
                <c:pt idx="454">
                  <c:v>56</c:v>
                </c:pt>
                <c:pt idx="455">
                  <c:v>23</c:v>
                </c:pt>
                <c:pt idx="456">
                  <c:v>25</c:v>
                </c:pt>
                <c:pt idx="457">
                  <c:v>67</c:v>
                </c:pt>
                <c:pt idx="458">
                  <c:v>54</c:v>
                </c:pt>
                <c:pt idx="459">
                  <c:v>78</c:v>
                </c:pt>
                <c:pt idx="460">
                  <c:v>67</c:v>
                </c:pt>
                <c:pt idx="461">
                  <c:v>56</c:v>
                </c:pt>
                <c:pt idx="462">
                  <c:v>54</c:v>
                </c:pt>
                <c:pt idx="463">
                  <c:v>55</c:v>
                </c:pt>
                <c:pt idx="464">
                  <c:v>67</c:v>
                </c:pt>
                <c:pt idx="465">
                  <c:v>65</c:v>
                </c:pt>
                <c:pt idx="466">
                  <c:v>34</c:v>
                </c:pt>
                <c:pt idx="467">
                  <c:v>45</c:v>
                </c:pt>
                <c:pt idx="468">
                  <c:v>56</c:v>
                </c:pt>
                <c:pt idx="469">
                  <c:v>67</c:v>
                </c:pt>
                <c:pt idx="470">
                  <c:v>45</c:v>
                </c:pt>
                <c:pt idx="471">
                  <c:v>46</c:v>
                </c:pt>
                <c:pt idx="472">
                  <c:v>34</c:v>
                </c:pt>
                <c:pt idx="473">
                  <c:v>33</c:v>
                </c:pt>
                <c:pt idx="474">
                  <c:v>39</c:v>
                </c:pt>
                <c:pt idx="475">
                  <c:v>56</c:v>
                </c:pt>
                <c:pt idx="476">
                  <c:v>23</c:v>
                </c:pt>
                <c:pt idx="477">
                  <c:v>34</c:v>
                </c:pt>
                <c:pt idx="478">
                  <c:v>45</c:v>
                </c:pt>
                <c:pt idx="479">
                  <c:v>43</c:v>
                </c:pt>
                <c:pt idx="480">
                  <c:v>32</c:v>
                </c:pt>
                <c:pt idx="481">
                  <c:v>12</c:v>
                </c:pt>
                <c:pt idx="482">
                  <c:v>23</c:v>
                </c:pt>
                <c:pt idx="483">
                  <c:v>34</c:v>
                </c:pt>
                <c:pt idx="484">
                  <c:v>32</c:v>
                </c:pt>
                <c:pt idx="485">
                  <c:v>12</c:v>
                </c:pt>
                <c:pt idx="486">
                  <c:v>23</c:v>
                </c:pt>
                <c:pt idx="487">
                  <c:v>32</c:v>
                </c:pt>
                <c:pt idx="488">
                  <c:v>34</c:v>
                </c:pt>
                <c:pt idx="489">
                  <c:v>32</c:v>
                </c:pt>
                <c:pt idx="490">
                  <c:v>12</c:v>
                </c:pt>
                <c:pt idx="491">
                  <c:v>13</c:v>
                </c:pt>
                <c:pt idx="492">
                  <c:v>24</c:v>
                </c:pt>
                <c:pt idx="493">
                  <c:v>54</c:v>
                </c:pt>
                <c:pt idx="494">
                  <c:v>3</c:v>
                </c:pt>
                <c:pt idx="495">
                  <c:v>45</c:v>
                </c:pt>
                <c:pt idx="496">
                  <c:v>44</c:v>
                </c:pt>
                <c:pt idx="497">
                  <c:v>34</c:v>
                </c:pt>
                <c:pt idx="498">
                  <c:v>21</c:v>
                </c:pt>
                <c:pt idx="499">
                  <c:v>45</c:v>
                </c:pt>
                <c:pt idx="500">
                  <c:v>44</c:v>
                </c:pt>
                <c:pt idx="501">
                  <c:v>45</c:v>
                </c:pt>
                <c:pt idx="502">
                  <c:v>46</c:v>
                </c:pt>
                <c:pt idx="503">
                  <c:v>57</c:v>
                </c:pt>
                <c:pt idx="504">
                  <c:v>78</c:v>
                </c:pt>
                <c:pt idx="505">
                  <c:v>67</c:v>
                </c:pt>
                <c:pt idx="506">
                  <c:v>23</c:v>
                </c:pt>
                <c:pt idx="507">
                  <c:v>12</c:v>
                </c:pt>
                <c:pt idx="508">
                  <c:v>4</c:v>
                </c:pt>
                <c:pt idx="509">
                  <c:v>34</c:v>
                </c:pt>
                <c:pt idx="510">
                  <c:v>23</c:v>
                </c:pt>
                <c:pt idx="511">
                  <c:v>12</c:v>
                </c:pt>
                <c:pt idx="512">
                  <c:v>45</c:v>
                </c:pt>
                <c:pt idx="513">
                  <c:v>34</c:v>
                </c:pt>
                <c:pt idx="514">
                  <c:v>23</c:v>
                </c:pt>
                <c:pt idx="515">
                  <c:v>45</c:v>
                </c:pt>
                <c:pt idx="516">
                  <c:v>34</c:v>
                </c:pt>
                <c:pt idx="517">
                  <c:v>45</c:v>
                </c:pt>
                <c:pt idx="518">
                  <c:v>45</c:v>
                </c:pt>
                <c:pt idx="519">
                  <c:v>56</c:v>
                </c:pt>
                <c:pt idx="520">
                  <c:v>67</c:v>
                </c:pt>
                <c:pt idx="521">
                  <c:v>67</c:v>
                </c:pt>
                <c:pt idx="522">
                  <c:v>78</c:v>
                </c:pt>
                <c:pt idx="523">
                  <c:v>78</c:v>
                </c:pt>
                <c:pt idx="524">
                  <c:v>76</c:v>
                </c:pt>
                <c:pt idx="525">
                  <c:v>54</c:v>
                </c:pt>
                <c:pt idx="526">
                  <c:v>43</c:v>
                </c:pt>
                <c:pt idx="527">
                  <c:v>32</c:v>
                </c:pt>
                <c:pt idx="528">
                  <c:v>12</c:v>
                </c:pt>
                <c:pt idx="529">
                  <c:v>45</c:v>
                </c:pt>
                <c:pt idx="530">
                  <c:v>67</c:v>
                </c:pt>
                <c:pt idx="531">
                  <c:v>65</c:v>
                </c:pt>
                <c:pt idx="532">
                  <c:v>54</c:v>
                </c:pt>
                <c:pt idx="533">
                  <c:v>43</c:v>
                </c:pt>
                <c:pt idx="534">
                  <c:v>23</c:v>
                </c:pt>
                <c:pt idx="535">
                  <c:v>34</c:v>
                </c:pt>
                <c:pt idx="536">
                  <c:v>56</c:v>
                </c:pt>
                <c:pt idx="537">
                  <c:v>55</c:v>
                </c:pt>
                <c:pt idx="538">
                  <c:v>44</c:v>
                </c:pt>
                <c:pt idx="539">
                  <c:v>33</c:v>
                </c:pt>
                <c:pt idx="540">
                  <c:v>22</c:v>
                </c:pt>
                <c:pt idx="541">
                  <c:v>33</c:v>
                </c:pt>
                <c:pt idx="542">
                  <c:v>44</c:v>
                </c:pt>
                <c:pt idx="543">
                  <c:v>66</c:v>
                </c:pt>
                <c:pt idx="544">
                  <c:v>4</c:v>
                </c:pt>
                <c:pt idx="545">
                  <c:v>77</c:v>
                </c:pt>
                <c:pt idx="546">
                  <c:v>5</c:v>
                </c:pt>
                <c:pt idx="547">
                  <c:v>45</c:v>
                </c:pt>
                <c:pt idx="548">
                  <c:v>46</c:v>
                </c:pt>
                <c:pt idx="549">
                  <c:v>35</c:v>
                </c:pt>
                <c:pt idx="550">
                  <c:v>46</c:v>
                </c:pt>
                <c:pt idx="551">
                  <c:v>32</c:v>
                </c:pt>
                <c:pt idx="552">
                  <c:v>32</c:v>
                </c:pt>
                <c:pt idx="553">
                  <c:v>23</c:v>
                </c:pt>
                <c:pt idx="554">
                  <c:v>12</c:v>
                </c:pt>
                <c:pt idx="555">
                  <c:v>21</c:v>
                </c:pt>
                <c:pt idx="556">
                  <c:v>23</c:v>
                </c:pt>
                <c:pt idx="557">
                  <c:v>34</c:v>
                </c:pt>
                <c:pt idx="558">
                  <c:v>45</c:v>
                </c:pt>
                <c:pt idx="559">
                  <c:v>45</c:v>
                </c:pt>
                <c:pt idx="560">
                  <c:v>43</c:v>
                </c:pt>
                <c:pt idx="561">
                  <c:v>56</c:v>
                </c:pt>
                <c:pt idx="562">
                  <c:v>65</c:v>
                </c:pt>
                <c:pt idx="563">
                  <c:v>65</c:v>
                </c:pt>
                <c:pt idx="564">
                  <c:v>56</c:v>
                </c:pt>
                <c:pt idx="565">
                  <c:v>54</c:v>
                </c:pt>
                <c:pt idx="566">
                  <c:v>43</c:v>
                </c:pt>
                <c:pt idx="567">
                  <c:v>32</c:v>
                </c:pt>
                <c:pt idx="568">
                  <c:v>32</c:v>
                </c:pt>
                <c:pt idx="569">
                  <c:v>43</c:v>
                </c:pt>
                <c:pt idx="570">
                  <c:v>56</c:v>
                </c:pt>
                <c:pt idx="571">
                  <c:v>78</c:v>
                </c:pt>
                <c:pt idx="572">
                  <c:v>89</c:v>
                </c:pt>
                <c:pt idx="573">
                  <c:v>87</c:v>
                </c:pt>
                <c:pt idx="574">
                  <c:v>12</c:v>
                </c:pt>
                <c:pt idx="575">
                  <c:v>34</c:v>
                </c:pt>
                <c:pt idx="576">
                  <c:v>56</c:v>
                </c:pt>
                <c:pt idx="577">
                  <c:v>45</c:v>
                </c:pt>
                <c:pt idx="578">
                  <c:v>43</c:v>
                </c:pt>
                <c:pt idx="579">
                  <c:v>43</c:v>
                </c:pt>
                <c:pt idx="580">
                  <c:v>45</c:v>
                </c:pt>
                <c:pt idx="581">
                  <c:v>56</c:v>
                </c:pt>
                <c:pt idx="582">
                  <c:v>56</c:v>
                </c:pt>
                <c:pt idx="583">
                  <c:v>67</c:v>
                </c:pt>
                <c:pt idx="584">
                  <c:v>78</c:v>
                </c:pt>
                <c:pt idx="585">
                  <c:v>87</c:v>
                </c:pt>
                <c:pt idx="586">
                  <c:v>65</c:v>
                </c:pt>
                <c:pt idx="587">
                  <c:v>45</c:v>
                </c:pt>
                <c:pt idx="588">
                  <c:v>43</c:v>
                </c:pt>
                <c:pt idx="589">
                  <c:v>23</c:v>
                </c:pt>
                <c:pt idx="590">
                  <c:v>56</c:v>
                </c:pt>
                <c:pt idx="591">
                  <c:v>34</c:v>
                </c:pt>
                <c:pt idx="592">
                  <c:v>35</c:v>
                </c:pt>
                <c:pt idx="593">
                  <c:v>45</c:v>
                </c:pt>
                <c:pt idx="594">
                  <c:v>34</c:v>
                </c:pt>
                <c:pt idx="595">
                  <c:v>23</c:v>
                </c:pt>
                <c:pt idx="596">
                  <c:v>34</c:v>
                </c:pt>
                <c:pt idx="597">
                  <c:v>56</c:v>
                </c:pt>
                <c:pt idx="598">
                  <c:v>45</c:v>
                </c:pt>
                <c:pt idx="599">
                  <c:v>34</c:v>
                </c:pt>
                <c:pt idx="600">
                  <c:v>23</c:v>
                </c:pt>
                <c:pt idx="601">
                  <c:v>45</c:v>
                </c:pt>
                <c:pt idx="602">
                  <c:v>34</c:v>
                </c:pt>
                <c:pt idx="603">
                  <c:v>23</c:v>
                </c:pt>
                <c:pt idx="604">
                  <c:v>34</c:v>
                </c:pt>
                <c:pt idx="605">
                  <c:v>45</c:v>
                </c:pt>
                <c:pt idx="606">
                  <c:v>56</c:v>
                </c:pt>
                <c:pt idx="607">
                  <c:v>56</c:v>
                </c:pt>
                <c:pt idx="608">
                  <c:v>67</c:v>
                </c:pt>
                <c:pt idx="609">
                  <c:v>78</c:v>
                </c:pt>
                <c:pt idx="610">
                  <c:v>67</c:v>
                </c:pt>
                <c:pt idx="611">
                  <c:v>56</c:v>
                </c:pt>
                <c:pt idx="612">
                  <c:v>45</c:v>
                </c:pt>
                <c:pt idx="613">
                  <c:v>43</c:v>
                </c:pt>
                <c:pt idx="614">
                  <c:v>23</c:v>
                </c:pt>
                <c:pt idx="615">
                  <c:v>23</c:v>
                </c:pt>
                <c:pt idx="616">
                  <c:v>34</c:v>
                </c:pt>
                <c:pt idx="617">
                  <c:v>45</c:v>
                </c:pt>
                <c:pt idx="618">
                  <c:v>45</c:v>
                </c:pt>
                <c:pt idx="619">
                  <c:v>56</c:v>
                </c:pt>
                <c:pt idx="620">
                  <c:v>56</c:v>
                </c:pt>
                <c:pt idx="621">
                  <c:v>65</c:v>
                </c:pt>
                <c:pt idx="622">
                  <c:v>54</c:v>
                </c:pt>
                <c:pt idx="623">
                  <c:v>43</c:v>
                </c:pt>
                <c:pt idx="624">
                  <c:v>42</c:v>
                </c:pt>
                <c:pt idx="625">
                  <c:v>43</c:v>
                </c:pt>
                <c:pt idx="626">
                  <c:v>41</c:v>
                </c:pt>
                <c:pt idx="627">
                  <c:v>45</c:v>
                </c:pt>
                <c:pt idx="628">
                  <c:v>54</c:v>
                </c:pt>
                <c:pt idx="629">
                  <c:v>34</c:v>
                </c:pt>
                <c:pt idx="630">
                  <c:v>32</c:v>
                </c:pt>
                <c:pt idx="631">
                  <c:v>32</c:v>
                </c:pt>
                <c:pt idx="632">
                  <c:v>31</c:v>
                </c:pt>
                <c:pt idx="633">
                  <c:v>35</c:v>
                </c:pt>
                <c:pt idx="634">
                  <c:v>36</c:v>
                </c:pt>
                <c:pt idx="635">
                  <c:v>78</c:v>
                </c:pt>
                <c:pt idx="636">
                  <c:v>67</c:v>
                </c:pt>
                <c:pt idx="637">
                  <c:v>65</c:v>
                </c:pt>
                <c:pt idx="638">
                  <c:v>56</c:v>
                </c:pt>
                <c:pt idx="639">
                  <c:v>45</c:v>
                </c:pt>
                <c:pt idx="640">
                  <c:v>43</c:v>
                </c:pt>
                <c:pt idx="641">
                  <c:v>42</c:v>
                </c:pt>
                <c:pt idx="642">
                  <c:v>41</c:v>
                </c:pt>
                <c:pt idx="643">
                  <c:v>34</c:v>
                </c:pt>
                <c:pt idx="644">
                  <c:v>56</c:v>
                </c:pt>
                <c:pt idx="645">
                  <c:v>78</c:v>
                </c:pt>
                <c:pt idx="646">
                  <c:v>90</c:v>
                </c:pt>
                <c:pt idx="647">
                  <c:v>12</c:v>
                </c:pt>
                <c:pt idx="648">
                  <c:v>34</c:v>
                </c:pt>
                <c:pt idx="649">
                  <c:v>56</c:v>
                </c:pt>
                <c:pt idx="650">
                  <c:v>43</c:v>
                </c:pt>
                <c:pt idx="651">
                  <c:v>32</c:v>
                </c:pt>
                <c:pt idx="652">
                  <c:v>12</c:v>
                </c:pt>
                <c:pt idx="653">
                  <c:v>34</c:v>
                </c:pt>
                <c:pt idx="654">
                  <c:v>56</c:v>
                </c:pt>
                <c:pt idx="655">
                  <c:v>34</c:v>
                </c:pt>
                <c:pt idx="656">
                  <c:v>12</c:v>
                </c:pt>
                <c:pt idx="657">
                  <c:v>34</c:v>
                </c:pt>
                <c:pt idx="658">
                  <c:v>12</c:v>
                </c:pt>
                <c:pt idx="659">
                  <c:v>34</c:v>
                </c:pt>
                <c:pt idx="660">
                  <c:v>45</c:v>
                </c:pt>
                <c:pt idx="661">
                  <c:v>67</c:v>
                </c:pt>
                <c:pt idx="662">
                  <c:v>78</c:v>
                </c:pt>
                <c:pt idx="663">
                  <c:v>87</c:v>
                </c:pt>
                <c:pt idx="664">
                  <c:v>23</c:v>
                </c:pt>
                <c:pt idx="665">
                  <c:v>45</c:v>
                </c:pt>
                <c:pt idx="666">
                  <c:v>12</c:v>
                </c:pt>
                <c:pt idx="667">
                  <c:v>23</c:v>
                </c:pt>
                <c:pt idx="668">
                  <c:v>45</c:v>
                </c:pt>
                <c:pt idx="669">
                  <c:v>32</c:v>
                </c:pt>
                <c:pt idx="670">
                  <c:v>45</c:v>
                </c:pt>
                <c:pt idx="671">
                  <c:v>32</c:v>
                </c:pt>
                <c:pt idx="672">
                  <c:v>45</c:v>
                </c:pt>
                <c:pt idx="673">
                  <c:v>67</c:v>
                </c:pt>
                <c:pt idx="674">
                  <c:v>65</c:v>
                </c:pt>
                <c:pt idx="675">
                  <c:v>45</c:v>
                </c:pt>
                <c:pt idx="676">
                  <c:v>34</c:v>
                </c:pt>
                <c:pt idx="677">
                  <c:v>32</c:v>
                </c:pt>
                <c:pt idx="678">
                  <c:v>31</c:v>
                </c:pt>
                <c:pt idx="679">
                  <c:v>45</c:v>
                </c:pt>
                <c:pt idx="680">
                  <c:v>43</c:v>
                </c:pt>
                <c:pt idx="681">
                  <c:v>21</c:v>
                </c:pt>
                <c:pt idx="682">
                  <c:v>45</c:v>
                </c:pt>
                <c:pt idx="683">
                  <c:v>12</c:v>
                </c:pt>
                <c:pt idx="684">
                  <c:v>13</c:v>
                </c:pt>
                <c:pt idx="685">
                  <c:v>14</c:v>
                </c:pt>
                <c:pt idx="686">
                  <c:v>15</c:v>
                </c:pt>
                <c:pt idx="687">
                  <c:v>24</c:v>
                </c:pt>
                <c:pt idx="688">
                  <c:v>35</c:v>
                </c:pt>
                <c:pt idx="689">
                  <c:v>26</c:v>
                </c:pt>
                <c:pt idx="690">
                  <c:v>27</c:v>
                </c:pt>
                <c:pt idx="691">
                  <c:v>28</c:v>
                </c:pt>
                <c:pt idx="692">
                  <c:v>29</c:v>
                </c:pt>
                <c:pt idx="693">
                  <c:v>30</c:v>
                </c:pt>
                <c:pt idx="694">
                  <c:v>20</c:v>
                </c:pt>
                <c:pt idx="695">
                  <c:v>23</c:v>
                </c:pt>
                <c:pt idx="696">
                  <c:v>87</c:v>
                </c:pt>
                <c:pt idx="697">
                  <c:v>76</c:v>
                </c:pt>
                <c:pt idx="698">
                  <c:v>65</c:v>
                </c:pt>
                <c:pt idx="699">
                  <c:v>54</c:v>
                </c:pt>
                <c:pt idx="700">
                  <c:v>53</c:v>
                </c:pt>
                <c:pt idx="701">
                  <c:v>52</c:v>
                </c:pt>
                <c:pt idx="702">
                  <c:v>51</c:v>
                </c:pt>
                <c:pt idx="703">
                  <c:v>23</c:v>
                </c:pt>
                <c:pt idx="704">
                  <c:v>45</c:v>
                </c:pt>
                <c:pt idx="705">
                  <c:v>56</c:v>
                </c:pt>
                <c:pt idx="706">
                  <c:v>54</c:v>
                </c:pt>
                <c:pt idx="707">
                  <c:v>51</c:v>
                </c:pt>
                <c:pt idx="708">
                  <c:v>54</c:v>
                </c:pt>
                <c:pt idx="709">
                  <c:v>53</c:v>
                </c:pt>
                <c:pt idx="710">
                  <c:v>52</c:v>
                </c:pt>
                <c:pt idx="711">
                  <c:v>43</c:v>
                </c:pt>
                <c:pt idx="712">
                  <c:v>42</c:v>
                </c:pt>
                <c:pt idx="713">
                  <c:v>43</c:v>
                </c:pt>
                <c:pt idx="714">
                  <c:v>45</c:v>
                </c:pt>
                <c:pt idx="715">
                  <c:v>46</c:v>
                </c:pt>
                <c:pt idx="716">
                  <c:v>54</c:v>
                </c:pt>
                <c:pt idx="717">
                  <c:v>34</c:v>
                </c:pt>
                <c:pt idx="718">
                  <c:v>23</c:v>
                </c:pt>
                <c:pt idx="719">
                  <c:v>12</c:v>
                </c:pt>
                <c:pt idx="720">
                  <c:v>23</c:v>
                </c:pt>
                <c:pt idx="721">
                  <c:v>24</c:v>
                </c:pt>
                <c:pt idx="722">
                  <c:v>25</c:v>
                </c:pt>
                <c:pt idx="723">
                  <c:v>26</c:v>
                </c:pt>
                <c:pt idx="724">
                  <c:v>27</c:v>
                </c:pt>
                <c:pt idx="725">
                  <c:v>28</c:v>
                </c:pt>
                <c:pt idx="726">
                  <c:v>47</c:v>
                </c:pt>
                <c:pt idx="727">
                  <c:v>49</c:v>
                </c:pt>
                <c:pt idx="728">
                  <c:v>40</c:v>
                </c:pt>
                <c:pt idx="729">
                  <c:v>45</c:v>
                </c:pt>
                <c:pt idx="730">
                  <c:v>46</c:v>
                </c:pt>
                <c:pt idx="731">
                  <c:v>54</c:v>
                </c:pt>
                <c:pt idx="732">
                  <c:v>43</c:v>
                </c:pt>
                <c:pt idx="733">
                  <c:v>23</c:v>
                </c:pt>
                <c:pt idx="734">
                  <c:v>21</c:v>
                </c:pt>
                <c:pt idx="735">
                  <c:v>22</c:v>
                </c:pt>
                <c:pt idx="736">
                  <c:v>33</c:v>
                </c:pt>
                <c:pt idx="737">
                  <c:v>44</c:v>
                </c:pt>
                <c:pt idx="738">
                  <c:v>22</c:v>
                </c:pt>
                <c:pt idx="739">
                  <c:v>11</c:v>
                </c:pt>
                <c:pt idx="740">
                  <c:v>22</c:v>
                </c:pt>
                <c:pt idx="741">
                  <c:v>21</c:v>
                </c:pt>
                <c:pt idx="742">
                  <c:v>11</c:v>
                </c:pt>
                <c:pt idx="743">
                  <c:v>23</c:v>
                </c:pt>
                <c:pt idx="744">
                  <c:v>24</c:v>
                </c:pt>
                <c:pt idx="745">
                  <c:v>24</c:v>
                </c:pt>
                <c:pt idx="746">
                  <c:v>25</c:v>
                </c:pt>
                <c:pt idx="747">
                  <c:v>36</c:v>
                </c:pt>
                <c:pt idx="748">
                  <c:v>34</c:v>
                </c:pt>
                <c:pt idx="749">
                  <c:v>56</c:v>
                </c:pt>
                <c:pt idx="750">
                  <c:v>55</c:v>
                </c:pt>
                <c:pt idx="751">
                  <c:v>44</c:v>
                </c:pt>
                <c:pt idx="752">
                  <c:v>66</c:v>
                </c:pt>
                <c:pt idx="753">
                  <c:v>77</c:v>
                </c:pt>
                <c:pt idx="754">
                  <c:v>88</c:v>
                </c:pt>
                <c:pt idx="755">
                  <c:v>99</c:v>
                </c:pt>
                <c:pt idx="756">
                  <c:v>88</c:v>
                </c:pt>
                <c:pt idx="757">
                  <c:v>77</c:v>
                </c:pt>
                <c:pt idx="758">
                  <c:v>66</c:v>
                </c:pt>
                <c:pt idx="759">
                  <c:v>56</c:v>
                </c:pt>
                <c:pt idx="760">
                  <c:v>57</c:v>
                </c:pt>
                <c:pt idx="761">
                  <c:v>58</c:v>
                </c:pt>
                <c:pt idx="762">
                  <c:v>59</c:v>
                </c:pt>
                <c:pt idx="763">
                  <c:v>45</c:v>
                </c:pt>
                <c:pt idx="764">
                  <c:v>34</c:v>
                </c:pt>
                <c:pt idx="765">
                  <c:v>32</c:v>
                </c:pt>
                <c:pt idx="766">
                  <c:v>12</c:v>
                </c:pt>
                <c:pt idx="767">
                  <c:v>34</c:v>
                </c:pt>
                <c:pt idx="768">
                  <c:v>12</c:v>
                </c:pt>
                <c:pt idx="769">
                  <c:v>44</c:v>
                </c:pt>
                <c:pt idx="770">
                  <c:v>34</c:v>
                </c:pt>
                <c:pt idx="771">
                  <c:v>56</c:v>
                </c:pt>
                <c:pt idx="772">
                  <c:v>32</c:v>
                </c:pt>
                <c:pt idx="773">
                  <c:v>45</c:v>
                </c:pt>
                <c:pt idx="774">
                  <c:v>34</c:v>
                </c:pt>
                <c:pt idx="775">
                  <c:v>32</c:v>
                </c:pt>
                <c:pt idx="776">
                  <c:v>21</c:v>
                </c:pt>
                <c:pt idx="777">
                  <c:v>32</c:v>
                </c:pt>
                <c:pt idx="778">
                  <c:v>44</c:v>
                </c:pt>
                <c:pt idx="779">
                  <c:v>54</c:v>
                </c:pt>
                <c:pt idx="780">
                  <c:v>53</c:v>
                </c:pt>
                <c:pt idx="781">
                  <c:v>43</c:v>
                </c:pt>
                <c:pt idx="782">
                  <c:v>42</c:v>
                </c:pt>
                <c:pt idx="783">
                  <c:v>41</c:v>
                </c:pt>
                <c:pt idx="784">
                  <c:v>32</c:v>
                </c:pt>
                <c:pt idx="785">
                  <c:v>34</c:v>
                </c:pt>
                <c:pt idx="786">
                  <c:v>35</c:v>
                </c:pt>
                <c:pt idx="787">
                  <c:v>36</c:v>
                </c:pt>
                <c:pt idx="788">
                  <c:v>37</c:v>
                </c:pt>
                <c:pt idx="789">
                  <c:v>39</c:v>
                </c:pt>
                <c:pt idx="790">
                  <c:v>30</c:v>
                </c:pt>
                <c:pt idx="791">
                  <c:v>33</c:v>
                </c:pt>
                <c:pt idx="792">
                  <c:v>22</c:v>
                </c:pt>
                <c:pt idx="793">
                  <c:v>32</c:v>
                </c:pt>
                <c:pt idx="794">
                  <c:v>21</c:v>
                </c:pt>
                <c:pt idx="795">
                  <c:v>34</c:v>
                </c:pt>
                <c:pt idx="796">
                  <c:v>32</c:v>
                </c:pt>
                <c:pt idx="797">
                  <c:v>34</c:v>
                </c:pt>
                <c:pt idx="798">
                  <c:v>60</c:v>
                </c:pt>
                <c:pt idx="799">
                  <c:v>44</c:v>
                </c:pt>
                <c:pt idx="800">
                  <c:v>65</c:v>
                </c:pt>
                <c:pt idx="801">
                  <c:v>54</c:v>
                </c:pt>
                <c:pt idx="802">
                  <c:v>76</c:v>
                </c:pt>
                <c:pt idx="803">
                  <c:v>65</c:v>
                </c:pt>
                <c:pt idx="804">
                  <c:v>54</c:v>
                </c:pt>
                <c:pt idx="805">
                  <c:v>65</c:v>
                </c:pt>
                <c:pt idx="806">
                  <c:v>76</c:v>
                </c:pt>
                <c:pt idx="807">
                  <c:v>54</c:v>
                </c:pt>
                <c:pt idx="808">
                  <c:v>65</c:v>
                </c:pt>
                <c:pt idx="809">
                  <c:v>53</c:v>
                </c:pt>
                <c:pt idx="810">
                  <c:v>52</c:v>
                </c:pt>
                <c:pt idx="811">
                  <c:v>51</c:v>
                </c:pt>
                <c:pt idx="812">
                  <c:v>54</c:v>
                </c:pt>
                <c:pt idx="813">
                  <c:v>32</c:v>
                </c:pt>
                <c:pt idx="814">
                  <c:v>34</c:v>
                </c:pt>
                <c:pt idx="815">
                  <c:v>35</c:v>
                </c:pt>
                <c:pt idx="816">
                  <c:v>36</c:v>
                </c:pt>
                <c:pt idx="817">
                  <c:v>33</c:v>
                </c:pt>
                <c:pt idx="818">
                  <c:v>56</c:v>
                </c:pt>
                <c:pt idx="819">
                  <c:v>57</c:v>
                </c:pt>
                <c:pt idx="820">
                  <c:v>58</c:v>
                </c:pt>
                <c:pt idx="821">
                  <c:v>59</c:v>
                </c:pt>
                <c:pt idx="822">
                  <c:v>50</c:v>
                </c:pt>
                <c:pt idx="823">
                  <c:v>56</c:v>
                </c:pt>
                <c:pt idx="824">
                  <c:v>51</c:v>
                </c:pt>
                <c:pt idx="825">
                  <c:v>61</c:v>
                </c:pt>
                <c:pt idx="826">
                  <c:v>62</c:v>
                </c:pt>
                <c:pt idx="827">
                  <c:v>64</c:v>
                </c:pt>
                <c:pt idx="828">
                  <c:v>67</c:v>
                </c:pt>
                <c:pt idx="829">
                  <c:v>68</c:v>
                </c:pt>
                <c:pt idx="830">
                  <c:v>69</c:v>
                </c:pt>
                <c:pt idx="831">
                  <c:v>70</c:v>
                </c:pt>
                <c:pt idx="832">
                  <c:v>65</c:v>
                </c:pt>
                <c:pt idx="833">
                  <c:v>67</c:v>
                </c:pt>
                <c:pt idx="834">
                  <c:v>54</c:v>
                </c:pt>
                <c:pt idx="835">
                  <c:v>53</c:v>
                </c:pt>
                <c:pt idx="836">
                  <c:v>57</c:v>
                </c:pt>
                <c:pt idx="837">
                  <c:v>58</c:v>
                </c:pt>
                <c:pt idx="838">
                  <c:v>59</c:v>
                </c:pt>
                <c:pt idx="839">
                  <c:v>50</c:v>
                </c:pt>
                <c:pt idx="840">
                  <c:v>43</c:v>
                </c:pt>
                <c:pt idx="841">
                  <c:v>44</c:v>
                </c:pt>
                <c:pt idx="842">
                  <c:v>45</c:v>
                </c:pt>
                <c:pt idx="843">
                  <c:v>43</c:v>
                </c:pt>
                <c:pt idx="844">
                  <c:v>42</c:v>
                </c:pt>
                <c:pt idx="845">
                  <c:v>51</c:v>
                </c:pt>
                <c:pt idx="846">
                  <c:v>32</c:v>
                </c:pt>
                <c:pt idx="847">
                  <c:v>43</c:v>
                </c:pt>
                <c:pt idx="848">
                  <c:v>54</c:v>
                </c:pt>
                <c:pt idx="849">
                  <c:v>65</c:v>
                </c:pt>
                <c:pt idx="850">
                  <c:v>76</c:v>
                </c:pt>
                <c:pt idx="851">
                  <c:v>87</c:v>
                </c:pt>
                <c:pt idx="852">
                  <c:v>98</c:v>
                </c:pt>
                <c:pt idx="853">
                  <c:v>9</c:v>
                </c:pt>
                <c:pt idx="854">
                  <c:v>12</c:v>
                </c:pt>
                <c:pt idx="855">
                  <c:v>34</c:v>
                </c:pt>
                <c:pt idx="856">
                  <c:v>32</c:v>
                </c:pt>
                <c:pt idx="857">
                  <c:v>43</c:v>
                </c:pt>
                <c:pt idx="858">
                  <c:v>32</c:v>
                </c:pt>
                <c:pt idx="859">
                  <c:v>31</c:v>
                </c:pt>
                <c:pt idx="860">
                  <c:v>25</c:v>
                </c:pt>
                <c:pt idx="861">
                  <c:v>26</c:v>
                </c:pt>
                <c:pt idx="862">
                  <c:v>27</c:v>
                </c:pt>
                <c:pt idx="863">
                  <c:v>28</c:v>
                </c:pt>
                <c:pt idx="864">
                  <c:v>29</c:v>
                </c:pt>
                <c:pt idx="865">
                  <c:v>34</c:v>
                </c:pt>
                <c:pt idx="866">
                  <c:v>35</c:v>
                </c:pt>
                <c:pt idx="867">
                  <c:v>36</c:v>
                </c:pt>
                <c:pt idx="868">
                  <c:v>31</c:v>
                </c:pt>
                <c:pt idx="869">
                  <c:v>32</c:v>
                </c:pt>
                <c:pt idx="870">
                  <c:v>36</c:v>
                </c:pt>
                <c:pt idx="871">
                  <c:v>23</c:v>
                </c:pt>
                <c:pt idx="872">
                  <c:v>34</c:v>
                </c:pt>
                <c:pt idx="873">
                  <c:v>32</c:v>
                </c:pt>
                <c:pt idx="874">
                  <c:v>55</c:v>
                </c:pt>
                <c:pt idx="875">
                  <c:v>34</c:v>
                </c:pt>
                <c:pt idx="876">
                  <c:v>34</c:v>
                </c:pt>
                <c:pt idx="877">
                  <c:v>45</c:v>
                </c:pt>
                <c:pt idx="878">
                  <c:v>56</c:v>
                </c:pt>
                <c:pt idx="879">
                  <c:v>57</c:v>
                </c:pt>
                <c:pt idx="880">
                  <c:v>58</c:v>
                </c:pt>
                <c:pt idx="881">
                  <c:v>87</c:v>
                </c:pt>
                <c:pt idx="882">
                  <c:v>86</c:v>
                </c:pt>
                <c:pt idx="883">
                  <c:v>85</c:v>
                </c:pt>
                <c:pt idx="884">
                  <c:v>84</c:v>
                </c:pt>
                <c:pt idx="885">
                  <c:v>95</c:v>
                </c:pt>
                <c:pt idx="886">
                  <c:v>87</c:v>
                </c:pt>
                <c:pt idx="887">
                  <c:v>65</c:v>
                </c:pt>
                <c:pt idx="888">
                  <c:v>65</c:v>
                </c:pt>
                <c:pt idx="889">
                  <c:v>76</c:v>
                </c:pt>
                <c:pt idx="890">
                  <c:v>67</c:v>
                </c:pt>
                <c:pt idx="891">
                  <c:v>76</c:v>
                </c:pt>
                <c:pt idx="892">
                  <c:v>56</c:v>
                </c:pt>
                <c:pt idx="893">
                  <c:v>65</c:v>
                </c:pt>
                <c:pt idx="894">
                  <c:v>87</c:v>
                </c:pt>
                <c:pt idx="895">
                  <c:v>78</c:v>
                </c:pt>
                <c:pt idx="896">
                  <c:v>76</c:v>
                </c:pt>
                <c:pt idx="897">
                  <c:v>76</c:v>
                </c:pt>
                <c:pt idx="898">
                  <c:v>56</c:v>
                </c:pt>
                <c:pt idx="899">
                  <c:v>45</c:v>
                </c:pt>
                <c:pt idx="900">
                  <c:v>54</c:v>
                </c:pt>
                <c:pt idx="901">
                  <c:v>87</c:v>
                </c:pt>
                <c:pt idx="902">
                  <c:v>76</c:v>
                </c:pt>
                <c:pt idx="903">
                  <c:v>67</c:v>
                </c:pt>
                <c:pt idx="904">
                  <c:v>76</c:v>
                </c:pt>
                <c:pt idx="905">
                  <c:v>56</c:v>
                </c:pt>
                <c:pt idx="906">
                  <c:v>54</c:v>
                </c:pt>
                <c:pt idx="907">
                  <c:v>55</c:v>
                </c:pt>
                <c:pt idx="908">
                  <c:v>55</c:v>
                </c:pt>
                <c:pt idx="909">
                  <c:v>55</c:v>
                </c:pt>
                <c:pt idx="910">
                  <c:v>55</c:v>
                </c:pt>
                <c:pt idx="911">
                  <c:v>55</c:v>
                </c:pt>
                <c:pt idx="912">
                  <c:v>55</c:v>
                </c:pt>
                <c:pt idx="913">
                  <c:v>44</c:v>
                </c:pt>
                <c:pt idx="914">
                  <c:v>33</c:v>
                </c:pt>
                <c:pt idx="915">
                  <c:v>33</c:v>
                </c:pt>
                <c:pt idx="916">
                  <c:v>44</c:v>
                </c:pt>
                <c:pt idx="917">
                  <c:v>22</c:v>
                </c:pt>
                <c:pt idx="918">
                  <c:v>33</c:v>
                </c:pt>
                <c:pt idx="919">
                  <c:v>55</c:v>
                </c:pt>
                <c:pt idx="920">
                  <c:v>66</c:v>
                </c:pt>
                <c:pt idx="921">
                  <c:v>65</c:v>
                </c:pt>
                <c:pt idx="922">
                  <c:v>67</c:v>
                </c:pt>
                <c:pt idx="923">
                  <c:v>67</c:v>
                </c:pt>
                <c:pt idx="924">
                  <c:v>76</c:v>
                </c:pt>
                <c:pt idx="925">
                  <c:v>76</c:v>
                </c:pt>
                <c:pt idx="926">
                  <c:v>78</c:v>
                </c:pt>
                <c:pt idx="927">
                  <c:v>76</c:v>
                </c:pt>
                <c:pt idx="928">
                  <c:v>79</c:v>
                </c:pt>
                <c:pt idx="929">
                  <c:v>80</c:v>
                </c:pt>
                <c:pt idx="930">
                  <c:v>87</c:v>
                </c:pt>
                <c:pt idx="931">
                  <c:v>81</c:v>
                </c:pt>
                <c:pt idx="932">
                  <c:v>82</c:v>
                </c:pt>
                <c:pt idx="933">
                  <c:v>83</c:v>
                </c:pt>
                <c:pt idx="934">
                  <c:v>84</c:v>
                </c:pt>
                <c:pt idx="935">
                  <c:v>85</c:v>
                </c:pt>
                <c:pt idx="936">
                  <c:v>98</c:v>
                </c:pt>
                <c:pt idx="937">
                  <c:v>56</c:v>
                </c:pt>
                <c:pt idx="938">
                  <c:v>67</c:v>
                </c:pt>
                <c:pt idx="939">
                  <c:v>62</c:v>
                </c:pt>
                <c:pt idx="940">
                  <c:v>63</c:v>
                </c:pt>
                <c:pt idx="941">
                  <c:v>64</c:v>
                </c:pt>
                <c:pt idx="942">
                  <c:v>65</c:v>
                </c:pt>
                <c:pt idx="943">
                  <c:v>67</c:v>
                </c:pt>
                <c:pt idx="944">
                  <c:v>68</c:v>
                </c:pt>
                <c:pt idx="945">
                  <c:v>77</c:v>
                </c:pt>
                <c:pt idx="946">
                  <c:v>66</c:v>
                </c:pt>
                <c:pt idx="947">
                  <c:v>88</c:v>
                </c:pt>
                <c:pt idx="948">
                  <c:v>77</c:v>
                </c:pt>
                <c:pt idx="949">
                  <c:v>71</c:v>
                </c:pt>
                <c:pt idx="950">
                  <c:v>72</c:v>
                </c:pt>
                <c:pt idx="951">
                  <c:v>73</c:v>
                </c:pt>
                <c:pt idx="952">
                  <c:v>74</c:v>
                </c:pt>
                <c:pt idx="953">
                  <c:v>75</c:v>
                </c:pt>
                <c:pt idx="954">
                  <c:v>76</c:v>
                </c:pt>
                <c:pt idx="955">
                  <c:v>78</c:v>
                </c:pt>
                <c:pt idx="956">
                  <c:v>78</c:v>
                </c:pt>
                <c:pt idx="957">
                  <c:v>78</c:v>
                </c:pt>
                <c:pt idx="958">
                  <c:v>76</c:v>
                </c:pt>
                <c:pt idx="959">
                  <c:v>55</c:v>
                </c:pt>
                <c:pt idx="960">
                  <c:v>66</c:v>
                </c:pt>
                <c:pt idx="961">
                  <c:v>77</c:v>
                </c:pt>
                <c:pt idx="962">
                  <c:v>55</c:v>
                </c:pt>
                <c:pt idx="963">
                  <c:v>66</c:v>
                </c:pt>
                <c:pt idx="964">
                  <c:v>44</c:v>
                </c:pt>
                <c:pt idx="965">
                  <c:v>88</c:v>
                </c:pt>
                <c:pt idx="966">
                  <c:v>56</c:v>
                </c:pt>
                <c:pt idx="967">
                  <c:v>65</c:v>
                </c:pt>
                <c:pt idx="968">
                  <c:v>67</c:v>
                </c:pt>
                <c:pt idx="969">
                  <c:v>78</c:v>
                </c:pt>
                <c:pt idx="970">
                  <c:v>76</c:v>
                </c:pt>
                <c:pt idx="971">
                  <c:v>65</c:v>
                </c:pt>
                <c:pt idx="972">
                  <c:v>54</c:v>
                </c:pt>
                <c:pt idx="973">
                  <c:v>53</c:v>
                </c:pt>
                <c:pt idx="974">
                  <c:v>54</c:v>
                </c:pt>
                <c:pt idx="975">
                  <c:v>54</c:v>
                </c:pt>
                <c:pt idx="976">
                  <c:v>56</c:v>
                </c:pt>
                <c:pt idx="977">
                  <c:v>67</c:v>
                </c:pt>
                <c:pt idx="978">
                  <c:v>78</c:v>
                </c:pt>
                <c:pt idx="979">
                  <c:v>56</c:v>
                </c:pt>
                <c:pt idx="980">
                  <c:v>67</c:v>
                </c:pt>
                <c:pt idx="981">
                  <c:v>65</c:v>
                </c:pt>
                <c:pt idx="982">
                  <c:v>67</c:v>
                </c:pt>
                <c:pt idx="983">
                  <c:v>78</c:v>
                </c:pt>
                <c:pt idx="984">
                  <c:v>76</c:v>
                </c:pt>
                <c:pt idx="985">
                  <c:v>78</c:v>
                </c:pt>
                <c:pt idx="986">
                  <c:v>78</c:v>
                </c:pt>
                <c:pt idx="987">
                  <c:v>76</c:v>
                </c:pt>
                <c:pt idx="988">
                  <c:v>78</c:v>
                </c:pt>
                <c:pt idx="989">
                  <c:v>89</c:v>
                </c:pt>
                <c:pt idx="990">
                  <c:v>87</c:v>
                </c:pt>
                <c:pt idx="991">
                  <c:v>98</c:v>
                </c:pt>
                <c:pt idx="992">
                  <c:v>87</c:v>
                </c:pt>
                <c:pt idx="993">
                  <c:v>67</c:v>
                </c:pt>
                <c:pt idx="994">
                  <c:v>23</c:v>
                </c:pt>
                <c:pt idx="995">
                  <c:v>34</c:v>
                </c:pt>
                <c:pt idx="996">
                  <c:v>45</c:v>
                </c:pt>
                <c:pt idx="997">
                  <c:v>56</c:v>
                </c:pt>
                <c:pt idx="998">
                  <c:v>54</c:v>
                </c:pt>
                <c:pt idx="999">
                  <c:v>43</c:v>
                </c:pt>
              </c:numCache>
            </c:numRef>
          </c:val>
          <c:extLst>
            <c:ext xmlns:c16="http://schemas.microsoft.com/office/drawing/2014/chart" uri="{C3380CC4-5D6E-409C-BE32-E72D297353CC}">
              <c16:uniqueId val="{00000000-A1A6-4C7C-98AE-7F4FE0494135}"/>
            </c:ext>
          </c:extLst>
        </c:ser>
        <c:dLbls>
          <c:showLegendKey val="0"/>
          <c:showVal val="0"/>
          <c:showCatName val="0"/>
          <c:showSerName val="0"/>
          <c:showPercent val="0"/>
          <c:showBubbleSize val="0"/>
        </c:dLbls>
        <c:gapWidth val="219"/>
        <c:overlap val="-27"/>
        <c:axId val="384244287"/>
        <c:axId val="368627311"/>
      </c:barChart>
      <c:catAx>
        <c:axId val="38424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27311"/>
        <c:crosses val="autoZero"/>
        <c:auto val="1"/>
        <c:lblAlgn val="ctr"/>
        <c:lblOffset val="100"/>
        <c:noMultiLvlLbl val="0"/>
      </c:catAx>
      <c:valAx>
        <c:axId val="36862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24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233115</xdr:colOff>
      <xdr:row>17</xdr:row>
      <xdr:rowOff>124304</xdr:rowOff>
    </xdr:from>
    <xdr:to>
      <xdr:col>10</xdr:col>
      <xdr:colOff>549050</xdr:colOff>
      <xdr:row>21</xdr:row>
      <xdr:rowOff>150868</xdr:rowOff>
    </xdr:to>
    <xdr:sp macro="" textlink="">
      <xdr:nvSpPr>
        <xdr:cNvPr id="4" name="Rectangle: Rounded Corners 3">
          <a:extLst>
            <a:ext uri="{FF2B5EF4-FFF2-40B4-BE49-F238E27FC236}">
              <a16:creationId xmlns:a16="http://schemas.microsoft.com/office/drawing/2014/main" id="{13F9CE79-F6EE-31D5-D5A9-E799AD2FA2F5}"/>
            </a:ext>
          </a:extLst>
        </xdr:cNvPr>
        <xdr:cNvSpPr/>
      </xdr:nvSpPr>
      <xdr:spPr>
        <a:xfrm>
          <a:off x="6053218" y="3251132"/>
          <a:ext cx="920280" cy="762288"/>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PATIENTS</a:t>
          </a:r>
        </a:p>
        <a:p>
          <a:pPr algn="ctr"/>
          <a:r>
            <a:rPr lang="en-IN" sz="1100" b="1"/>
            <a:t>1000</a:t>
          </a:r>
        </a:p>
        <a:p>
          <a:pPr algn="ctr"/>
          <a:endParaRPr lang="en-IN" sz="1100" b="1"/>
        </a:p>
      </xdr:txBody>
    </xdr:sp>
    <xdr:clientData/>
  </xdr:twoCellAnchor>
  <xdr:twoCellAnchor>
    <xdr:from>
      <xdr:col>12</xdr:col>
      <xdr:colOff>89607</xdr:colOff>
      <xdr:row>17</xdr:row>
      <xdr:rowOff>176294</xdr:rowOff>
    </xdr:from>
    <xdr:to>
      <xdr:col>13</xdr:col>
      <xdr:colOff>556616</xdr:colOff>
      <xdr:row>21</xdr:row>
      <xdr:rowOff>94858</xdr:rowOff>
    </xdr:to>
    <xdr:sp macro="" textlink="">
      <xdr:nvSpPr>
        <xdr:cNvPr id="6" name="Rectangle 5">
          <a:extLst>
            <a:ext uri="{FF2B5EF4-FFF2-40B4-BE49-F238E27FC236}">
              <a16:creationId xmlns:a16="http://schemas.microsoft.com/office/drawing/2014/main" id="{9C635B5B-9436-0E78-D2BA-AE6159C23C06}"/>
            </a:ext>
          </a:extLst>
        </xdr:cNvPr>
        <xdr:cNvSpPr/>
      </xdr:nvSpPr>
      <xdr:spPr>
        <a:xfrm>
          <a:off x="8537297" y="3303122"/>
          <a:ext cx="1071353" cy="6542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a:t>
          </a:r>
          <a:r>
            <a:rPr lang="en-IN" sz="1100" b="1" baseline="0"/>
            <a:t> AGE </a:t>
          </a:r>
        </a:p>
        <a:p>
          <a:pPr algn="l"/>
          <a:r>
            <a:rPr lang="en-IN" sz="1100" b="1" baseline="0"/>
            <a:t>   </a:t>
          </a:r>
        </a:p>
        <a:p>
          <a:pPr algn="ctr"/>
          <a:r>
            <a:rPr lang="en-IN" sz="1100" b="1" baseline="0"/>
            <a:t>44.717</a:t>
          </a:r>
          <a:endParaRPr lang="en-IN" sz="1100" b="1"/>
        </a:p>
      </xdr:txBody>
    </xdr:sp>
    <xdr:clientData/>
  </xdr:twoCellAnchor>
  <xdr:twoCellAnchor>
    <xdr:from>
      <xdr:col>15</xdr:col>
      <xdr:colOff>300151</xdr:colOff>
      <xdr:row>17</xdr:row>
      <xdr:rowOff>104092</xdr:rowOff>
    </xdr:from>
    <xdr:to>
      <xdr:col>17</xdr:col>
      <xdr:colOff>191740</xdr:colOff>
      <xdr:row>21</xdr:row>
      <xdr:rowOff>94656</xdr:rowOff>
    </xdr:to>
    <xdr:sp macro="" textlink="">
      <xdr:nvSpPr>
        <xdr:cNvPr id="11" name="Rectangle: Rounded Corners 10">
          <a:extLst>
            <a:ext uri="{FF2B5EF4-FFF2-40B4-BE49-F238E27FC236}">
              <a16:creationId xmlns:a16="http://schemas.microsoft.com/office/drawing/2014/main" id="{2DFF36BD-E57A-490A-B4BC-9AE49CC70BD4}"/>
            </a:ext>
          </a:extLst>
        </xdr:cNvPr>
        <xdr:cNvSpPr/>
      </xdr:nvSpPr>
      <xdr:spPr>
        <a:xfrm>
          <a:off x="10560875" y="3230920"/>
          <a:ext cx="1100279" cy="726288"/>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COST</a:t>
          </a:r>
        </a:p>
        <a:p>
          <a:pPr algn="ctr"/>
          <a:endParaRPr lang="en-IN" sz="1100" b="1" baseline="0"/>
        </a:p>
        <a:p>
          <a:pPr algn="ctr"/>
          <a:r>
            <a:rPr lang="en-IN" sz="1100" b="1" baseline="0"/>
            <a:t>107317793</a:t>
          </a:r>
          <a:endParaRPr lang="en-IN" sz="1100" b="1"/>
        </a:p>
      </xdr:txBody>
    </xdr:sp>
    <xdr:clientData/>
  </xdr:twoCellAnchor>
  <xdr:twoCellAnchor>
    <xdr:from>
      <xdr:col>9</xdr:col>
      <xdr:colOff>104879</xdr:colOff>
      <xdr:row>23</xdr:row>
      <xdr:rowOff>118129</xdr:rowOff>
    </xdr:from>
    <xdr:to>
      <xdr:col>11</xdr:col>
      <xdr:colOff>409333</xdr:colOff>
      <xdr:row>27</xdr:row>
      <xdr:rowOff>71122</xdr:rowOff>
    </xdr:to>
    <xdr:sp macro="" textlink="">
      <xdr:nvSpPr>
        <xdr:cNvPr id="12" name="Rectangle: Rounded Corners 11">
          <a:extLst>
            <a:ext uri="{FF2B5EF4-FFF2-40B4-BE49-F238E27FC236}">
              <a16:creationId xmlns:a16="http://schemas.microsoft.com/office/drawing/2014/main" id="{D63EE283-8D2F-4CC6-B6C7-74E088F2107C}"/>
            </a:ext>
          </a:extLst>
        </xdr:cNvPr>
        <xdr:cNvSpPr/>
      </xdr:nvSpPr>
      <xdr:spPr>
        <a:xfrm>
          <a:off x="5924982" y="4348543"/>
          <a:ext cx="1920420" cy="688717"/>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a:t>
          </a:r>
          <a:r>
            <a:rPr lang="en-IN" sz="1100" b="1" baseline="0"/>
            <a:t> COST PER PATIENT</a:t>
          </a:r>
        </a:p>
        <a:p>
          <a:pPr algn="ctr"/>
          <a:endParaRPr lang="en-IN" sz="1100" b="1" baseline="0"/>
        </a:p>
        <a:p>
          <a:pPr algn="ctr"/>
          <a:r>
            <a:rPr lang="en-IN" sz="1100" b="1" baseline="0"/>
            <a:t>107317.793</a:t>
          </a:r>
          <a:endParaRPr lang="en-IN" sz="1100" b="1"/>
        </a:p>
      </xdr:txBody>
    </xdr:sp>
    <xdr:clientData/>
  </xdr:twoCellAnchor>
  <xdr:twoCellAnchor>
    <xdr:from>
      <xdr:col>11</xdr:col>
      <xdr:colOff>988601</xdr:colOff>
      <xdr:row>23</xdr:row>
      <xdr:rowOff>163831</xdr:rowOff>
    </xdr:from>
    <xdr:to>
      <xdr:col>14</xdr:col>
      <xdr:colOff>91644</xdr:colOff>
      <xdr:row>28</xdr:row>
      <xdr:rowOff>6465</xdr:rowOff>
    </xdr:to>
    <xdr:sp macro="" textlink="">
      <xdr:nvSpPr>
        <xdr:cNvPr id="13" name="Rectangle: Rounded Corners 12">
          <a:extLst>
            <a:ext uri="{FF2B5EF4-FFF2-40B4-BE49-F238E27FC236}">
              <a16:creationId xmlns:a16="http://schemas.microsoft.com/office/drawing/2014/main" id="{3DE8FC16-1710-4135-9BAE-724D37CE820E}"/>
            </a:ext>
          </a:extLst>
        </xdr:cNvPr>
        <xdr:cNvSpPr/>
      </xdr:nvSpPr>
      <xdr:spPr>
        <a:xfrm>
          <a:off x="8424670" y="4394245"/>
          <a:ext cx="1323353" cy="762289"/>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MAXIMUM</a:t>
          </a:r>
          <a:r>
            <a:rPr lang="en-IN" sz="1100" b="1" baseline="0"/>
            <a:t> COST</a:t>
          </a:r>
          <a:endParaRPr lang="en-IN" sz="1100" b="1"/>
        </a:p>
        <a:p>
          <a:pPr algn="ctr"/>
          <a:endParaRPr lang="en-IN" sz="1100" b="1"/>
        </a:p>
        <a:p>
          <a:pPr algn="ctr"/>
          <a:r>
            <a:rPr lang="en-IN" sz="1100" b="1"/>
            <a:t>2900000</a:t>
          </a:r>
        </a:p>
        <a:p>
          <a:pPr algn="ctr"/>
          <a:endParaRPr lang="en-IN" sz="1100" b="1"/>
        </a:p>
      </xdr:txBody>
    </xdr:sp>
    <xdr:clientData/>
  </xdr:twoCellAnchor>
  <xdr:twoCellAnchor>
    <xdr:from>
      <xdr:col>15</xdr:col>
      <xdr:colOff>162259</xdr:colOff>
      <xdr:row>24</xdr:row>
      <xdr:rowOff>26050</xdr:rowOff>
    </xdr:from>
    <xdr:to>
      <xdr:col>17</xdr:col>
      <xdr:colOff>125848</xdr:colOff>
      <xdr:row>27</xdr:row>
      <xdr:rowOff>162974</xdr:rowOff>
    </xdr:to>
    <xdr:sp macro="" textlink="">
      <xdr:nvSpPr>
        <xdr:cNvPr id="15" name="Rectangle: Rounded Corners 14">
          <a:extLst>
            <a:ext uri="{FF2B5EF4-FFF2-40B4-BE49-F238E27FC236}">
              <a16:creationId xmlns:a16="http://schemas.microsoft.com/office/drawing/2014/main" id="{506E438A-18F4-41CE-A6DC-A39C0885C20D}"/>
            </a:ext>
          </a:extLst>
        </xdr:cNvPr>
        <xdr:cNvSpPr/>
      </xdr:nvSpPr>
      <xdr:spPr>
        <a:xfrm>
          <a:off x="10422983" y="4440395"/>
          <a:ext cx="1172279" cy="688717"/>
        </a:xfrm>
        <a:prstGeom prst="round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a:t>
          </a:r>
          <a:r>
            <a:rPr lang="en-IN" sz="1100" b="1" baseline="0"/>
            <a:t> LOS</a:t>
          </a:r>
          <a:endParaRPr lang="en-IN" sz="1100" b="1"/>
        </a:p>
        <a:p>
          <a:pPr algn="ctr"/>
          <a:endParaRPr lang="en-IN" sz="1100" b="1"/>
        </a:p>
        <a:p>
          <a:pPr algn="ctr"/>
          <a:r>
            <a:rPr lang="en-IN" sz="1100" b="1"/>
            <a:t>10.749</a:t>
          </a:r>
        </a:p>
      </xdr:txBody>
    </xdr:sp>
    <xdr:clientData/>
  </xdr:twoCellAnchor>
  <xdr:oneCellAnchor>
    <xdr:from>
      <xdr:col>8</xdr:col>
      <xdr:colOff>131379</xdr:colOff>
      <xdr:row>8</xdr:row>
      <xdr:rowOff>52553</xdr:rowOff>
    </xdr:from>
    <xdr:ext cx="7514897" cy="1195551"/>
    <xdr:sp macro="" textlink="">
      <xdr:nvSpPr>
        <xdr:cNvPr id="17" name="TextBox 16">
          <a:extLst>
            <a:ext uri="{FF2B5EF4-FFF2-40B4-BE49-F238E27FC236}">
              <a16:creationId xmlns:a16="http://schemas.microsoft.com/office/drawing/2014/main" id="{F112F22B-1F71-C76D-F501-6727122237CE}"/>
            </a:ext>
          </a:extLst>
        </xdr:cNvPr>
        <xdr:cNvSpPr txBox="1"/>
      </xdr:nvSpPr>
      <xdr:spPr>
        <a:xfrm>
          <a:off x="5347138" y="1524001"/>
          <a:ext cx="7514897" cy="1195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300" b="1">
              <a:solidFill>
                <a:schemeClr val="accent2"/>
              </a:solidFill>
            </a:rPr>
            <a:t>HEALTH</a:t>
          </a:r>
          <a:r>
            <a:rPr lang="en-IN" sz="2300" b="1" baseline="0">
              <a:solidFill>
                <a:schemeClr val="accent2"/>
              </a:solidFill>
            </a:rPr>
            <a:t>CARE ANALYTICS DASHBOARD</a:t>
          </a:r>
        </a:p>
        <a:p>
          <a:pPr algn="ctr"/>
          <a:r>
            <a:rPr lang="en-IN" sz="2000" b="0" baseline="0"/>
            <a:t>Patient Demographics - Utilization- Cost Analysis</a:t>
          </a:r>
        </a:p>
        <a:p>
          <a:endParaRPr lang="en-IN" sz="2300" b="1"/>
        </a:p>
      </xdr:txBody>
    </xdr:sp>
    <xdr:clientData/>
  </xdr:oneCellAnchor>
  <xdr:twoCellAnchor>
    <xdr:from>
      <xdr:col>8</xdr:col>
      <xdr:colOff>423723</xdr:colOff>
      <xdr:row>31</xdr:row>
      <xdr:rowOff>167419</xdr:rowOff>
    </xdr:from>
    <xdr:to>
      <xdr:col>12</xdr:col>
      <xdr:colOff>28485</xdr:colOff>
      <xdr:row>42</xdr:row>
      <xdr:rowOff>128187</xdr:rowOff>
    </xdr:to>
    <xdr:graphicFrame macro="">
      <xdr:nvGraphicFramePr>
        <xdr:cNvPr id="18" name="Chart 17">
          <a:extLst>
            <a:ext uri="{FF2B5EF4-FFF2-40B4-BE49-F238E27FC236}">
              <a16:creationId xmlns:a16="http://schemas.microsoft.com/office/drawing/2014/main" id="{581C5275-63DF-4537-A25F-794621FCE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106823</xdr:colOff>
      <xdr:row>31</xdr:row>
      <xdr:rowOff>142430</xdr:rowOff>
    </xdr:from>
    <xdr:to>
      <xdr:col>17</xdr:col>
      <xdr:colOff>455777</xdr:colOff>
      <xdr:row>44</xdr:row>
      <xdr:rowOff>28486</xdr:rowOff>
    </xdr:to>
    <xdr:graphicFrame macro="">
      <xdr:nvGraphicFramePr>
        <xdr:cNvPr id="20" name="Chart 19">
          <a:extLst>
            <a:ext uri="{FF2B5EF4-FFF2-40B4-BE49-F238E27FC236}">
              <a16:creationId xmlns:a16="http://schemas.microsoft.com/office/drawing/2014/main" id="{0C484770-FD96-46B4-86DB-B17817924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199403</xdr:colOff>
      <xdr:row>46</xdr:row>
      <xdr:rowOff>0</xdr:rowOff>
    </xdr:from>
    <xdr:to>
      <xdr:col>12</xdr:col>
      <xdr:colOff>227889</xdr:colOff>
      <xdr:row>56</xdr:row>
      <xdr:rowOff>163794</xdr:rowOff>
    </xdr:to>
    <xdr:graphicFrame macro="">
      <xdr:nvGraphicFramePr>
        <xdr:cNvPr id="21" name="Chart 20">
          <a:extLst>
            <a:ext uri="{FF2B5EF4-FFF2-40B4-BE49-F238E27FC236}">
              <a16:creationId xmlns:a16="http://schemas.microsoft.com/office/drawing/2014/main" id="{FDC14B59-941A-4491-BA3D-B0788F029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106822</xdr:colOff>
      <xdr:row>45</xdr:row>
      <xdr:rowOff>178035</xdr:rowOff>
    </xdr:from>
    <xdr:to>
      <xdr:col>17</xdr:col>
      <xdr:colOff>462897</xdr:colOff>
      <xdr:row>56</xdr:row>
      <xdr:rowOff>170915</xdr:rowOff>
    </xdr:to>
    <xdr:graphicFrame macro="">
      <xdr:nvGraphicFramePr>
        <xdr:cNvPr id="23" name="Chart 22">
          <a:extLst>
            <a:ext uri="{FF2B5EF4-FFF2-40B4-BE49-F238E27FC236}">
              <a16:creationId xmlns:a16="http://schemas.microsoft.com/office/drawing/2014/main" id="{9CE04545-A050-4AEA-A25C-F17405DDE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113944</xdr:colOff>
      <xdr:row>59</xdr:row>
      <xdr:rowOff>156672</xdr:rowOff>
    </xdr:from>
    <xdr:to>
      <xdr:col>12</xdr:col>
      <xdr:colOff>242131</xdr:colOff>
      <xdr:row>71</xdr:row>
      <xdr:rowOff>128187</xdr:rowOff>
    </xdr:to>
    <xdr:graphicFrame macro="">
      <xdr:nvGraphicFramePr>
        <xdr:cNvPr id="24" name="Chart 23">
          <a:extLst>
            <a:ext uri="{FF2B5EF4-FFF2-40B4-BE49-F238E27FC236}">
              <a16:creationId xmlns:a16="http://schemas.microsoft.com/office/drawing/2014/main" id="{7E01F992-86D6-4D8F-8B27-083E6A90B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242131</xdr:colOff>
      <xdr:row>59</xdr:row>
      <xdr:rowOff>170916</xdr:rowOff>
    </xdr:from>
    <xdr:to>
      <xdr:col>19</xdr:col>
      <xdr:colOff>64093</xdr:colOff>
      <xdr:row>70</xdr:row>
      <xdr:rowOff>163795</xdr:rowOff>
    </xdr:to>
    <xdr:graphicFrame macro="">
      <xdr:nvGraphicFramePr>
        <xdr:cNvPr id="25" name="Chart 24">
          <a:extLst>
            <a:ext uri="{FF2B5EF4-FFF2-40B4-BE49-F238E27FC236}">
              <a16:creationId xmlns:a16="http://schemas.microsoft.com/office/drawing/2014/main" id="{46D3A061-4925-43B6-B136-21799D16B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73</xdr:row>
      <xdr:rowOff>121596</xdr:rowOff>
    </xdr:from>
    <xdr:to>
      <xdr:col>12</xdr:col>
      <xdr:colOff>567447</xdr:colOff>
      <xdr:row>85</xdr:row>
      <xdr:rowOff>81064</xdr:rowOff>
    </xdr:to>
    <xdr:graphicFrame macro="">
      <xdr:nvGraphicFramePr>
        <xdr:cNvPr id="2" name="Chart 1">
          <a:extLst>
            <a:ext uri="{FF2B5EF4-FFF2-40B4-BE49-F238E27FC236}">
              <a16:creationId xmlns:a16="http://schemas.microsoft.com/office/drawing/2014/main" id="{84B87539-4E94-4B53-BFE3-539999E4D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324555</xdr:colOff>
      <xdr:row>28</xdr:row>
      <xdr:rowOff>14111</xdr:rowOff>
    </xdr:from>
    <xdr:to>
      <xdr:col>4</xdr:col>
      <xdr:colOff>239888</xdr:colOff>
      <xdr:row>44</xdr:row>
      <xdr:rowOff>0</xdr:rowOff>
    </xdr:to>
    <mc:AlternateContent xmlns:mc="http://schemas.openxmlformats.org/markup-compatibility/2006">
      <mc:Choice xmlns:a14="http://schemas.microsoft.com/office/drawing/2010/main" Requires="a14">
        <xdr:graphicFrame macro="">
          <xdr:nvGraphicFramePr>
            <xdr:cNvPr id="5" name="DEPARTMENT ">
              <a:extLst>
                <a:ext uri="{FF2B5EF4-FFF2-40B4-BE49-F238E27FC236}">
                  <a16:creationId xmlns:a16="http://schemas.microsoft.com/office/drawing/2014/main" id="{F8BB151B-C6ED-4C06-A5D7-46C6C6C51EC5}"/>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dr:sp macro="" textlink="">
          <xdr:nvSpPr>
            <xdr:cNvPr id="0" name=""/>
            <xdr:cNvSpPr>
              <a:spLocks noTextEdit="1"/>
            </xdr:cNvSpPr>
          </xdr:nvSpPr>
          <xdr:spPr>
            <a:xfrm>
              <a:off x="324555" y="5195711"/>
              <a:ext cx="2669419" cy="2946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33</xdr:row>
      <xdr:rowOff>0</xdr:rowOff>
    </xdr:from>
    <xdr:to>
      <xdr:col>25</xdr:col>
      <xdr:colOff>324556</xdr:colOff>
      <xdr:row>46</xdr:row>
      <xdr:rowOff>0</xdr:rowOff>
    </xdr:to>
    <mc:AlternateContent xmlns:mc="http://schemas.openxmlformats.org/markup-compatibility/2006">
      <mc:Choice xmlns:a14="http://schemas.microsoft.com/office/drawing/2010/main" Requires="a14">
        <xdr:graphicFrame macro="">
          <xdr:nvGraphicFramePr>
            <xdr:cNvPr id="7" name="DIAGNOSIS">
              <a:extLst>
                <a:ext uri="{FF2B5EF4-FFF2-40B4-BE49-F238E27FC236}">
                  <a16:creationId xmlns:a16="http://schemas.microsoft.com/office/drawing/2014/main" id="{66C49065-DDC3-4F2F-AB3E-B2D3CF360787}"/>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dr:sp macro="" textlink="">
          <xdr:nvSpPr>
            <xdr:cNvPr id="0" name=""/>
            <xdr:cNvSpPr>
              <a:spLocks noTextEdit="1"/>
            </xdr:cNvSpPr>
          </xdr:nvSpPr>
          <xdr:spPr>
            <a:xfrm>
              <a:off x="14216743" y="6106886"/>
              <a:ext cx="3372556" cy="2405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776111</xdr:colOff>
      <xdr:row>61</xdr:row>
      <xdr:rowOff>98779</xdr:rowOff>
    </xdr:from>
    <xdr:to>
      <xdr:col>5</xdr:col>
      <xdr:colOff>544689</xdr:colOff>
      <xdr:row>75</xdr:row>
      <xdr:rowOff>82199</xdr:rowOff>
    </xdr:to>
    <mc:AlternateContent xmlns:mc="http://schemas.openxmlformats.org/markup-compatibility/2006">
      <mc:Choice xmlns:a14="http://schemas.microsoft.com/office/drawing/2010/main" Requires="a14">
        <xdr:graphicFrame macro="">
          <xdr:nvGraphicFramePr>
            <xdr:cNvPr id="8" name="TREATMENT COST">
              <a:extLst>
                <a:ext uri="{FF2B5EF4-FFF2-40B4-BE49-F238E27FC236}">
                  <a16:creationId xmlns:a16="http://schemas.microsoft.com/office/drawing/2014/main" id="{472F6248-1355-4EB9-AB4C-34B7D1A1291F}"/>
                </a:ext>
              </a:extLst>
            </xdr:cNvPr>
            <xdr:cNvGraphicFramePr/>
          </xdr:nvGraphicFramePr>
          <xdr:xfrm>
            <a:off x="0" y="0"/>
            <a:ext cx="0" cy="0"/>
          </xdr:xfrm>
          <a:graphic>
            <a:graphicData uri="http://schemas.microsoft.com/office/drawing/2010/slicer">
              <sle:slicer xmlns:sle="http://schemas.microsoft.com/office/drawing/2010/slicer" name="TREATMENT COST"/>
            </a:graphicData>
          </a:graphic>
        </xdr:graphicFrame>
      </mc:Choice>
      <mc:Fallback>
        <xdr:sp macro="" textlink="">
          <xdr:nvSpPr>
            <xdr:cNvPr id="0" name=""/>
            <xdr:cNvSpPr>
              <a:spLocks noTextEdit="1"/>
            </xdr:cNvSpPr>
          </xdr:nvSpPr>
          <xdr:spPr>
            <a:xfrm>
              <a:off x="776111" y="11387265"/>
              <a:ext cx="3197578" cy="2574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225777</xdr:colOff>
      <xdr:row>74</xdr:row>
      <xdr:rowOff>155222</xdr:rowOff>
    </xdr:from>
    <xdr:to>
      <xdr:col>19</xdr:col>
      <xdr:colOff>423333</xdr:colOff>
      <xdr:row>87</xdr:row>
      <xdr:rowOff>237419</xdr:rowOff>
    </xdr:to>
    <mc:AlternateContent xmlns:mc="http://schemas.openxmlformats.org/markup-compatibility/2006">
      <mc:Choice xmlns:a14="http://schemas.microsoft.com/office/drawing/2010/main" Requires="a14">
        <xdr:graphicFrame macro="">
          <xdr:nvGraphicFramePr>
            <xdr:cNvPr id="9" name="AGE">
              <a:extLst>
                <a:ext uri="{FF2B5EF4-FFF2-40B4-BE49-F238E27FC236}">
                  <a16:creationId xmlns:a16="http://schemas.microsoft.com/office/drawing/2014/main" id="{1D0C8C50-21D8-4E5D-89CE-8E695F87B4A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0784920" y="13849451"/>
              <a:ext cx="3245556" cy="2487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reddy" refreshedDate="46273.918485532406" createdVersion="8" refreshedVersion="8" minRefreshableVersion="3" recordCount="1000" xr:uid="{7E16F572-2322-4045-B788-4F7BC1437169}">
  <cacheSource type="worksheet">
    <worksheetSource name="Table2"/>
  </cacheSource>
  <cacheFields count="17">
    <cacheField name="PATIENT ID" numFmtId="0">
      <sharedItems count="1000">
        <s v="P10932"/>
        <s v="P10933"/>
        <s v="P10934"/>
        <s v="P10935"/>
        <s v="P10936"/>
        <s v="P10937"/>
        <s v="P10938"/>
        <s v="P10939"/>
        <s v="P10940"/>
        <s v="P10941"/>
        <s v="P10942"/>
        <s v="P10943"/>
        <s v="P10944"/>
        <s v="P10568"/>
        <s v="P10569"/>
        <s v="P10570"/>
        <s v="P10571"/>
        <s v="P10572"/>
        <s v="P10615"/>
        <s v="P10616"/>
        <s v="P10653"/>
        <s v="P10654"/>
        <s v="P10655"/>
        <s v="P10656"/>
        <s v="P10657"/>
        <s v="P10658"/>
        <s v="P10659"/>
        <s v="P10660"/>
        <s v="P10661"/>
        <s v="P10662"/>
        <s v="P10663"/>
        <s v="P10664"/>
        <s v="P10665"/>
        <s v="P10666"/>
        <s v="P10667"/>
        <s v="P10668"/>
        <s v="P10669"/>
        <s v="P10670"/>
        <s v="P10671"/>
        <s v="P10672"/>
        <s v="P10673"/>
        <s v="P10674"/>
        <s v="P10675"/>
        <s v="P10676"/>
        <s v="P10677"/>
        <s v="P10678"/>
        <s v="P10679"/>
        <s v="P10680"/>
        <s v="P10681"/>
        <s v="P10682"/>
        <s v="P10683"/>
        <s v="P10684"/>
        <s v="P10685"/>
        <s v="P10686"/>
        <s v="P10687"/>
        <s v="P10688"/>
        <s v="P10689"/>
        <s v="P10690"/>
        <s v="P10691"/>
        <s v="P10692"/>
        <s v="P10693"/>
        <s v="P10694"/>
        <s v="P10695"/>
        <s v="P10696"/>
        <s v="P10697"/>
        <s v="P10698"/>
        <s v="P10699"/>
        <s v="P10700"/>
        <s v="P10701"/>
        <s v="P10702"/>
        <s v="P10703"/>
        <s v="P10704"/>
        <s v="P10705"/>
        <s v="P10706"/>
        <s v="P10707"/>
        <s v="P10708"/>
        <s v="P10709"/>
        <s v="P10710"/>
        <s v="P10711"/>
        <s v="P10712"/>
        <s v="P10713"/>
        <s v="P10714"/>
        <s v="P10715"/>
        <s v="P10716"/>
        <s v="P10717"/>
        <s v="P10905"/>
        <s v="P10906"/>
        <s v="P10907"/>
        <s v="P10908"/>
        <s v="P10909"/>
        <s v="P10910"/>
        <s v="P10911"/>
        <s v="P10912"/>
        <s v="P10913"/>
        <s v="P10914"/>
        <s v="P10915"/>
        <s v="P10916"/>
        <s v="P10917"/>
        <s v="P10918"/>
        <s v="P10919"/>
        <s v="P10920"/>
        <s v="P10921"/>
        <s v="P10922"/>
        <s v="P10923"/>
        <s v="P10924"/>
        <s v="P10925"/>
        <s v="P10926"/>
        <s v="P10927"/>
        <s v="P10928"/>
        <s v="P10929"/>
        <s v="P10930"/>
        <s v="P10931"/>
        <s v="P10002"/>
        <s v="P10004"/>
        <s v="P10008"/>
        <s v="P10010"/>
        <s v="P10012"/>
        <s v="P10013"/>
        <s v="P10014"/>
        <s v="P10016"/>
        <s v="P10018"/>
        <s v="P10357"/>
        <s v="P10021"/>
        <s v="P10028"/>
        <s v="P10029"/>
        <s v="P10039"/>
        <s v="P10040"/>
        <s v="P10043"/>
        <s v="P10046"/>
        <s v="P10047"/>
        <s v="P10051"/>
        <s v="P10052"/>
        <s v="P10053"/>
        <s v="P10067"/>
        <s v="P10070"/>
        <s v="P10071"/>
        <s v="P10074"/>
        <s v="P10076"/>
        <s v="P10078"/>
        <s v="P10080"/>
        <s v="P10081"/>
        <s v="P10087"/>
        <s v="P10089"/>
        <s v="P10092"/>
        <s v="P10094"/>
        <s v="P10100"/>
        <s v="P10102"/>
        <s v="P10104"/>
        <s v="P10106"/>
        <s v="P10108"/>
        <s v="P10110"/>
        <s v="P10113"/>
        <s v="P10117"/>
        <s v="P10128"/>
        <s v="P10131"/>
        <s v="P10132"/>
        <s v="P10137"/>
        <s v="P10140"/>
        <s v="P10143"/>
        <s v="P10151"/>
        <s v="P10153"/>
        <s v="P10155"/>
        <s v="P10159"/>
        <s v="P10163"/>
        <s v="P10168"/>
        <s v="P10172"/>
        <s v="P10174"/>
        <s v="P10182"/>
        <s v="P10183"/>
        <s v="P10206"/>
        <s v="P10207"/>
        <s v="P10209"/>
        <s v="P10212"/>
        <s v="P10214"/>
        <s v="P10219"/>
        <s v="P10220"/>
        <s v="P10222"/>
        <s v="P10224"/>
        <s v="P10226"/>
        <s v="P10228"/>
        <s v="P10229"/>
        <s v="P10242"/>
        <s v="P10244"/>
        <s v="P10249"/>
        <s v="P10250"/>
        <s v="P10254"/>
        <s v="P10255"/>
        <s v="P10256"/>
        <s v="P10257"/>
        <s v="P10263"/>
        <s v="P10264"/>
        <s v="P10267"/>
        <s v="P10272"/>
        <s v="P10278"/>
        <s v="P10280"/>
        <s v="P10281"/>
        <s v="P10283"/>
        <s v="P10286"/>
        <s v="P10287"/>
        <s v="P10298"/>
        <s v="P10310"/>
        <s v="P10313"/>
        <s v="P10314"/>
        <s v="P10317"/>
        <s v="P10318"/>
        <s v="P10319"/>
        <s v="P10320"/>
        <s v="P10321"/>
        <s v="P10325"/>
        <s v="P10326"/>
        <s v="P10329"/>
        <s v="P10330"/>
        <s v="P10334"/>
        <s v="P10335"/>
        <s v="P10336"/>
        <s v="P10337"/>
        <s v="P10344"/>
        <s v="P10345"/>
        <s v="P10353"/>
        <s v="P10356"/>
        <s v="P10358"/>
        <s v="P10359"/>
        <s v="P10360"/>
        <s v="P10361"/>
        <s v="P10364"/>
        <s v="P10377"/>
        <s v="P10379"/>
        <s v="P10381"/>
        <s v="P10383"/>
        <s v="P10386"/>
        <s v="P10387"/>
        <s v="P10391"/>
        <s v="P10392"/>
        <s v="P10394"/>
        <s v="P10397"/>
        <s v="P10408"/>
        <s v="P10409"/>
        <s v="P10410"/>
        <s v="P10411"/>
        <s v="P10412"/>
        <s v="P10413"/>
        <s v="P10415"/>
        <s v="P10416"/>
        <s v="P10417"/>
        <s v="P10419"/>
        <s v="P10421"/>
        <s v="P10423"/>
        <s v="P10425"/>
        <s v="P10427"/>
        <s v="P10445"/>
        <s v="P10451"/>
        <s v="P10453"/>
        <s v="P10460"/>
        <s v="P10461"/>
        <s v="P10462"/>
        <s v="P10463"/>
        <s v="P10464"/>
        <s v="P10466"/>
        <s v="P10467"/>
        <s v="P10468"/>
        <s v="P10493"/>
        <s v="P10494"/>
        <s v="P10495"/>
        <s v="P10496"/>
        <s v="P10497"/>
        <s v="P10498"/>
        <s v="P10499"/>
        <s v="P10500"/>
        <s v="P10501"/>
        <s v="P10502"/>
        <s v="P10503"/>
        <s v="P10504"/>
        <s v="P10505"/>
        <s v="P10506"/>
        <s v="P10523"/>
        <s v="P10524"/>
        <s v="P10525"/>
        <s v="P10526"/>
        <s v="P10527"/>
        <s v="P10528"/>
        <s v="P10529"/>
        <s v="P10530"/>
        <s v="P10531"/>
        <s v="P10532"/>
        <s v="P10533"/>
        <s v="P10534"/>
        <s v="P10535"/>
        <s v="P10536"/>
        <s v="P10537"/>
        <s v="P10538"/>
        <s v="P10539"/>
        <s v="P10540"/>
        <s v="P10541"/>
        <s v="P10542"/>
        <s v="P10543"/>
        <s v="P10544"/>
        <s v="P10545"/>
        <s v="P10546"/>
        <s v="P10547"/>
        <s v="P10945"/>
        <s v="P10946"/>
        <s v="P10947"/>
        <s v="P10948"/>
        <s v="P10949"/>
        <s v="P10950"/>
        <s v="P10951"/>
        <s v="P10952"/>
        <s v="P10953"/>
        <s v="P10954"/>
        <s v="P10955"/>
        <s v="P10956"/>
        <s v="P10957"/>
        <s v="P10958"/>
        <s v="P10959"/>
        <s v="P10960"/>
        <s v="P10961"/>
        <s v="P10962"/>
        <s v="P10963"/>
        <s v="P10964"/>
        <s v="P10965"/>
        <s v="P10966"/>
        <s v="P10967"/>
        <s v="P10968"/>
        <s v="P10969"/>
        <s v="P10970"/>
        <s v="P10971"/>
        <s v="P10972"/>
        <s v="P10973"/>
        <s v="P10974"/>
        <s v="P10573"/>
        <s v="P10574"/>
        <s v="P10575"/>
        <s v="P10576"/>
        <s v="P10577"/>
        <s v="P10578"/>
        <s v="P10579"/>
        <s v="P10580"/>
        <s v="P10581"/>
        <s v="P10582"/>
        <s v="P10583"/>
        <s v="P10584"/>
        <s v="P10585"/>
        <s v="P10586"/>
        <s v="P10587"/>
        <s v="P10588"/>
        <s v="P10589"/>
        <s v="P10590"/>
        <s v="P10591"/>
        <s v="P10592"/>
        <s v="P10593"/>
        <s v="P10594"/>
        <s v="P10608"/>
        <s v="P10617"/>
        <s v="P10618"/>
        <s v="P10619"/>
        <s v="P10620"/>
        <s v="P10621"/>
        <s v="P10622"/>
        <s v="P10623"/>
        <s v="P10624"/>
        <s v="P10751"/>
        <s v="P10752"/>
        <s v="P10753"/>
        <s v="P10754"/>
        <s v="P10755"/>
        <s v="P10756"/>
        <s v="P10757"/>
        <s v="P10758"/>
        <s v="P10759"/>
        <s v="P10760"/>
        <s v="P10761"/>
        <s v="P10762"/>
        <s v="P10763"/>
        <s v="P10764"/>
        <s v="P10765"/>
        <s v="P10766"/>
        <s v="P10767"/>
        <s v="P10768"/>
        <s v="P10769"/>
        <s v="P10770"/>
        <s v="P10771"/>
        <s v="P10772"/>
        <s v="P10773"/>
        <s v="P10774"/>
        <s v="P10775"/>
        <s v="P10776"/>
        <s v="P10777"/>
        <s v="P10778"/>
        <s v="P10779"/>
        <s v="P10780"/>
        <s v="P10781"/>
        <s v="P10782"/>
        <s v="P10783"/>
        <s v="P10784"/>
        <s v="P10785"/>
        <s v="P10786"/>
        <s v="P10787"/>
        <s v="P10788"/>
        <s v="P10789"/>
        <s v="P10790"/>
        <s v="P10791"/>
        <s v="P10792"/>
        <s v="P10793"/>
        <s v="P10794"/>
        <s v="P10795"/>
        <s v="P10796"/>
        <s v="P10797"/>
        <s v="P10798"/>
        <s v="P10799"/>
        <s v="P10800"/>
        <s v="P10801"/>
        <s v="P10802"/>
        <s v="P10803"/>
        <s v="P10804"/>
        <s v="P10805"/>
        <s v="P10806"/>
        <s v="P10807"/>
        <s v="P10808"/>
        <s v="P10809"/>
        <s v="P10810"/>
        <s v="P10811"/>
        <s v="P10812"/>
        <s v="P10813"/>
        <s v="P10814"/>
        <s v="P10815"/>
        <s v="P10816"/>
        <s v="P10817"/>
        <s v="P10818"/>
        <s v="P10819"/>
        <s v="P10820"/>
        <s v="P10821"/>
        <s v="P10822"/>
        <s v="P10823"/>
        <s v="P10824"/>
        <s v="P10825"/>
        <s v="P10826"/>
        <s v="P10827"/>
        <s v="P10828"/>
        <s v="P10829"/>
        <s v="P10830"/>
        <s v="P10831"/>
        <s v="P10832"/>
        <s v="P10833"/>
        <s v="P10834"/>
        <s v="P10835"/>
        <s v="P10836"/>
        <s v="P10837"/>
        <s v="P10838"/>
        <s v="P10839"/>
        <s v="P10840"/>
        <s v="P10841"/>
        <s v="P10842"/>
        <s v="P10843"/>
        <s v="P10844"/>
        <s v="P10845"/>
        <s v="P10846"/>
        <s v="P10847"/>
        <s v="P10848"/>
        <s v="P10849"/>
        <s v="P10850"/>
        <s v="P10851"/>
        <s v="P10852"/>
        <s v="P10853"/>
        <s v="P10854"/>
        <s v="P10855"/>
        <s v="P10856"/>
        <s v="P10857"/>
        <s v="P10858"/>
        <s v="P10859"/>
        <s v="P10860"/>
        <s v="P10861"/>
        <s v="P10862"/>
        <s v="P10863"/>
        <s v="P10864"/>
        <s v="P10865"/>
        <s v="P10866"/>
        <s v="P10867"/>
        <s v="P10868"/>
        <s v="P10869"/>
        <s v="P10870"/>
        <s v="P10871"/>
        <s v="P10872"/>
        <s v="P10873"/>
        <s v="P10874"/>
        <s v="P10875"/>
        <s v="P10876"/>
        <s v="P10877"/>
        <s v="P10878"/>
        <s v="P10879"/>
        <s v="P10880"/>
        <s v="P10881"/>
        <s v="P10882"/>
        <s v="P10883"/>
        <s v="P10884"/>
        <s v="P10885"/>
        <s v="P10886"/>
        <s v="P10887"/>
        <s v="P10001"/>
        <s v="P10003"/>
        <s v="P10005"/>
        <s v="P10006"/>
        <s v="P10009"/>
        <s v="P10011"/>
        <s v="P10015"/>
        <s v="P10022"/>
        <s v="P10023"/>
        <s v="P10024"/>
        <s v="P10025"/>
        <s v="P10030"/>
        <s v="P10032"/>
        <s v="P10034"/>
        <s v="P10035"/>
        <s v="P10036"/>
        <s v="P10037"/>
        <s v="P10038"/>
        <s v="P10041"/>
        <s v="P10045"/>
        <s v="P10049"/>
        <s v="P10055"/>
        <s v="P10057"/>
        <s v="P10059"/>
        <s v="P10063"/>
        <s v="P10064"/>
        <s v="P10065"/>
        <s v="P10066"/>
        <s v="P10072"/>
        <s v="P10083"/>
        <s v="P10449"/>
        <s v="P10084"/>
        <s v="P10085"/>
        <s v="P10091"/>
        <s v="P10096"/>
        <s v="P10098"/>
        <s v="P10101"/>
        <s v="P10105"/>
        <s v="P10115"/>
        <s v="P10119"/>
        <s v="P10121"/>
        <s v="P10123"/>
        <s v="P10125"/>
        <s v="P10135"/>
        <s v="P10146"/>
        <s v="P10148"/>
        <s v="P10149"/>
        <s v="P10150"/>
        <s v="P10158"/>
        <s v="P10160"/>
        <s v="P10165"/>
        <s v="P10166"/>
        <s v="P10170"/>
        <s v="P10175"/>
        <s v="P10178"/>
        <s v="P10180"/>
        <s v="P10184"/>
        <s v="P10188"/>
        <s v="P10189"/>
        <s v="P10190"/>
        <s v="P10192"/>
        <s v="P10194"/>
        <s v="P10196"/>
        <s v="P10199"/>
        <s v="P10201"/>
        <s v="P10203"/>
        <s v="P10204"/>
        <s v="P10216"/>
        <s v="P10217"/>
        <s v="P10234"/>
        <s v="P10235"/>
        <s v="P10236"/>
        <s v="P10237"/>
        <s v="P10240"/>
        <s v="P10247"/>
        <s v="P10253"/>
        <s v="P10260"/>
        <s v="P10265"/>
        <s v="P10266"/>
        <s v="P10268"/>
        <s v="P10269"/>
        <s v="P10276"/>
        <s v="P10277"/>
        <s v="P10288"/>
        <s v="P10289"/>
        <s v="P10290"/>
        <s v="P10292"/>
        <s v="P10295"/>
        <s v="P10296"/>
        <s v="P10301"/>
        <s v="P10302"/>
        <s v="P10304"/>
        <s v="P10305"/>
        <s v="P10306"/>
        <s v="P10307"/>
        <s v="P10308"/>
        <s v="P10347"/>
        <s v="P10348"/>
        <s v="P10365"/>
        <s v="P10366"/>
        <s v="P10367"/>
        <s v="P10368"/>
        <s v="P10369"/>
        <s v="P10370"/>
        <s v="P10371"/>
        <s v="P10373"/>
        <s v="P10374"/>
        <s v="P10375"/>
        <s v="P10376"/>
        <s v="P10378"/>
        <s v="P10401"/>
        <s v="P10402"/>
        <s v="P10406"/>
        <s v="P10420"/>
        <s v="P10422"/>
        <s v="P10424"/>
        <s v="P10426"/>
        <s v="P10442"/>
        <s v="P10443"/>
        <s v="P10444"/>
        <s v="P10446"/>
        <s v="P10447"/>
        <s v="P10448"/>
        <s v="P10450"/>
        <s v="P10452"/>
        <s v="P10454"/>
        <s v="P10455"/>
        <s v="P10456"/>
        <s v="P10457"/>
        <s v="P10458"/>
        <s v="P10459"/>
        <s v="P10465"/>
        <s v="P10469"/>
        <s v="P10479"/>
        <s v="P10480"/>
        <s v="P10481"/>
        <s v="P10482"/>
        <s v="P10483"/>
        <s v="P10484"/>
        <s v="P10485"/>
        <s v="P10486"/>
        <s v="P10487"/>
        <s v="P10488"/>
        <s v="P10491"/>
        <s v="P10492"/>
        <s v="P10975"/>
        <s v="P10976"/>
        <s v="P10977"/>
        <s v="P10978"/>
        <s v="P10979"/>
        <s v="P10980"/>
        <s v="P10981"/>
        <s v="P10982"/>
        <s v="P10983"/>
        <s v="P10984"/>
        <s v="P10985"/>
        <s v="P10986"/>
        <s v="P10987"/>
        <s v="P10988"/>
        <s v="P10989"/>
        <s v="P10990"/>
        <s v="P10991"/>
        <s v="P10992"/>
        <s v="P10993"/>
        <s v="P10994"/>
        <s v="P10995"/>
        <s v="P10996"/>
        <s v="P10997"/>
        <s v="P10998"/>
        <s v="P10999"/>
        <s v="P11000"/>
        <s v="P10567"/>
        <s v="P10595"/>
        <s v="P10596"/>
        <s v="P10597"/>
        <s v="P10598"/>
        <s v="P10599"/>
        <s v="P10600"/>
        <s v="P10601"/>
        <s v="P10602"/>
        <s v="P10603"/>
        <s v="P10604"/>
        <s v="P10605"/>
        <s v="P10606"/>
        <s v="P10607"/>
        <s v="P10609"/>
        <s v="P10610"/>
        <s v="P10611"/>
        <s v="P10612"/>
        <s v="P10613"/>
        <s v="P10614"/>
        <s v="P10625"/>
        <s v="P10626"/>
        <s v="P10627"/>
        <s v="P10628"/>
        <s v="P10629"/>
        <s v="P10630"/>
        <s v="P10631"/>
        <s v="P10632"/>
        <s v="P10633"/>
        <s v="P10634"/>
        <s v="P10635"/>
        <s v="P10636"/>
        <s v="P10637"/>
        <s v="P10638"/>
        <s v="P10639"/>
        <s v="P10640"/>
        <s v="P10641"/>
        <s v="P10642"/>
        <s v="P10643"/>
        <s v="P10644"/>
        <s v="P10645"/>
        <s v="P10646"/>
        <s v="P10647"/>
        <s v="P10648"/>
        <s v="P10649"/>
        <s v="P10650"/>
        <s v="P10651"/>
        <s v="P10652"/>
        <s v="P10718"/>
        <s v="P10719"/>
        <s v="P10720"/>
        <s v="P10721"/>
        <s v="P10722"/>
        <s v="P10723"/>
        <s v="P10724"/>
        <s v="P10725"/>
        <s v="P10726"/>
        <s v="P10727"/>
        <s v="P10728"/>
        <s v="P10729"/>
        <s v="P10730"/>
        <s v="P10731"/>
        <s v="P10732"/>
        <s v="P10733"/>
        <s v="P10734"/>
        <s v="P10735"/>
        <s v="P10736"/>
        <s v="P10737"/>
        <s v="P10738"/>
        <s v="P10739"/>
        <s v="P10740"/>
        <s v="P10741"/>
        <s v="P10742"/>
        <s v="P10743"/>
        <s v="P10744"/>
        <s v="P10745"/>
        <s v="P10746"/>
        <s v="P10747"/>
        <s v="P10748"/>
        <s v="P10749"/>
        <s v="P10750"/>
        <s v="P10888"/>
        <s v="P10889"/>
        <s v="P10890"/>
        <s v="P10891"/>
        <s v="P10892"/>
        <s v="P10893"/>
        <s v="P10894"/>
        <s v="P10895"/>
        <s v="P10896"/>
        <s v="P10897"/>
        <s v="P10898"/>
        <s v="P10899"/>
        <s v="P10900"/>
        <s v="P10901"/>
        <s v="P10902"/>
        <s v="P10903"/>
        <s v="P10904"/>
        <s v="P10007"/>
        <s v="P10017"/>
        <s v="P10019"/>
        <s v="P10020"/>
        <s v="P10026"/>
        <s v="P10027"/>
        <s v="P10031"/>
        <s v="P10033"/>
        <s v="P10042"/>
        <s v="P10044"/>
        <s v="P10048"/>
        <s v="P10050"/>
        <s v="P10054"/>
        <s v="P10056"/>
        <s v="P10058"/>
        <s v="P10060"/>
        <s v="P10061"/>
        <s v="P10062"/>
        <s v="P10068"/>
        <s v="P10069"/>
        <s v="P10073"/>
        <s v="P10075"/>
        <s v="P10077"/>
        <s v="P10079"/>
        <s v="P10082"/>
        <s v="P10086"/>
        <s v="P10088"/>
        <s v="P10090"/>
        <s v="P10093"/>
        <s v="P10095"/>
        <s v="P10097"/>
        <s v="P10099"/>
        <s v="P10103"/>
        <s v="P10107"/>
        <s v="P10109"/>
        <s v="P10111"/>
        <s v="P10112"/>
        <s v="P10114"/>
        <s v="P10116"/>
        <s v="P10118"/>
        <s v="P10120"/>
        <s v="P10122"/>
        <s v="P10124"/>
        <s v="P10126"/>
        <s v="P10127"/>
        <s v="P10129"/>
        <s v="P10130"/>
        <s v="P10133"/>
        <s v="P10134"/>
        <s v="P10136"/>
        <s v="P10138"/>
        <s v="P10139"/>
        <s v="P10141"/>
        <s v="P10142"/>
        <s v="P10144"/>
        <s v="P10145"/>
        <s v="P10147"/>
        <s v="P10152"/>
        <s v="P10154"/>
        <s v="P10156"/>
        <s v="P10157"/>
        <s v="P10161"/>
        <s v="P10162"/>
        <s v="P10164"/>
        <s v="P10167"/>
        <s v="P10169"/>
        <s v="P10171"/>
        <s v="P10173"/>
        <s v="P10176"/>
        <s v="P10177"/>
        <s v="P10179"/>
        <s v="P10181"/>
        <s v="P10185"/>
        <s v="P10186"/>
        <s v="P10187"/>
        <s v="P10191"/>
        <s v="P10193"/>
        <s v="P10195"/>
        <s v="P10197"/>
        <s v="P10198"/>
        <s v="P10200"/>
        <s v="P10202"/>
        <s v="P10205"/>
        <s v="P10208"/>
        <s v="P10210"/>
        <s v="P10211"/>
        <s v="P10213"/>
        <s v="P10215"/>
        <s v="P10218"/>
        <s v="P10221"/>
        <s v="P10223"/>
        <s v="P10225"/>
        <s v="P10227"/>
        <s v="P10230"/>
        <s v="P10231"/>
        <s v="P10232"/>
        <s v="P10233"/>
        <s v="P10238"/>
        <s v="P10239"/>
        <s v="P10241"/>
        <s v="P10243"/>
        <s v="P10245"/>
        <s v="P10246"/>
        <s v="P10248"/>
        <s v="P10251"/>
        <s v="P10252"/>
        <s v="P10258"/>
        <s v="P10259"/>
        <s v="P10261"/>
        <s v="P10262"/>
        <s v="P10270"/>
        <s v="P10271"/>
        <s v="P10273"/>
        <s v="P10274"/>
        <s v="P10275"/>
        <s v="P10279"/>
        <s v="P10282"/>
        <s v="P10284"/>
        <s v="P10285"/>
        <s v="P10291"/>
        <s v="P10293"/>
        <s v="P10294"/>
        <s v="P10297"/>
        <s v="P10299"/>
        <s v="P10300"/>
        <s v="P10303"/>
        <s v="P10309"/>
        <s v="P10311"/>
        <s v="P10312"/>
        <s v="P10315"/>
        <s v="P10316"/>
        <s v="P10322"/>
        <s v="P10323"/>
        <s v="P10324"/>
        <s v="P10327"/>
        <s v="P10328"/>
        <s v="P10331"/>
        <s v="P10332"/>
        <s v="P10333"/>
        <s v="P10338"/>
        <s v="P10339"/>
        <s v="P10340"/>
        <s v="P10341"/>
        <s v="P10342"/>
        <s v="P10343"/>
        <s v="P10346"/>
        <s v="P10349"/>
        <s v="P10350"/>
        <s v="P10351"/>
        <s v="P10352"/>
        <s v="P10354"/>
        <s v="P10355"/>
        <s v="P10362"/>
        <s v="P10363"/>
        <s v="P10372"/>
        <s v="P10380"/>
        <s v="P10382"/>
        <s v="P10384"/>
        <s v="P10385"/>
        <s v="P10388"/>
        <s v="P10389"/>
        <s v="P10390"/>
        <s v="P10393"/>
        <s v="P10395"/>
        <s v="P10396"/>
        <s v="P10398"/>
        <s v="P10399"/>
        <s v="P10400"/>
        <s v="P10403"/>
        <s v="P10404"/>
        <s v="P10405"/>
        <s v="P10407"/>
        <s v="P10414"/>
        <s v="P10418"/>
        <s v="P10428"/>
        <s v="P10429"/>
        <s v="P10430"/>
        <s v="P10431"/>
        <s v="P10432"/>
        <s v="P10433"/>
        <s v="P10434"/>
        <s v="P10435"/>
        <s v="P10436"/>
        <s v="P10437"/>
        <s v="P10438"/>
        <s v="P10439"/>
        <s v="P10440"/>
        <s v="P10441"/>
        <s v="P10470"/>
        <s v="P10471"/>
        <s v="P10472"/>
        <s v="P10473"/>
        <s v="P10474"/>
        <s v="P10475"/>
        <s v="P10476"/>
        <s v="P10477"/>
        <s v="P10478"/>
        <s v="P10489"/>
        <s v="P10490"/>
        <s v="P10507"/>
        <s v="P10508"/>
        <s v="P10509"/>
        <s v="P10510"/>
        <s v="P10511"/>
        <s v="P10512"/>
        <s v="P10513"/>
        <s v="P10514"/>
        <s v="P10515"/>
        <s v="P10516"/>
        <s v="P10517"/>
        <s v="P10518"/>
        <s v="P10519"/>
        <s v="P10520"/>
        <s v="P10521"/>
        <s v="P10522"/>
        <s v="P10548"/>
        <s v="P10549"/>
        <s v="P10550"/>
        <s v="P10551"/>
        <s v="P10552"/>
        <s v="P10553"/>
        <s v="P10554"/>
        <s v="P10555"/>
        <s v="P10556"/>
        <s v="P10557"/>
        <s v="P10558"/>
        <s v="P10559"/>
        <s v="P10560"/>
        <s v="P10561"/>
        <s v="P10562"/>
        <s v="P10563"/>
        <s v="P10564"/>
        <s v="P10565"/>
        <s v="P10566"/>
      </sharedItems>
    </cacheField>
    <cacheField name="AGE" numFmtId="0">
      <sharedItems containsSemiMixedTypes="0" containsString="0" containsNumber="1" containsInteger="1" minValue="3" maxValue="99" count="90">
        <n v="81"/>
        <n v="82"/>
        <n v="83"/>
        <n v="84"/>
        <n v="85"/>
        <n v="98"/>
        <n v="56"/>
        <n v="67"/>
        <n v="62"/>
        <n v="63"/>
        <n v="64"/>
        <n v="65"/>
        <n v="32"/>
        <n v="43"/>
        <n v="78"/>
        <n v="23"/>
        <n v="12"/>
        <n v="34"/>
        <n v="45"/>
        <n v="87"/>
        <n v="31"/>
        <n v="21"/>
        <n v="13"/>
        <n v="14"/>
        <n v="15"/>
        <n v="24"/>
        <n v="35"/>
        <n v="26"/>
        <n v="27"/>
        <n v="28"/>
        <n v="29"/>
        <n v="30"/>
        <n v="20"/>
        <n v="76"/>
        <n v="54"/>
        <n v="53"/>
        <n v="52"/>
        <n v="51"/>
        <n v="42"/>
        <n v="46"/>
        <n v="55"/>
        <n v="44"/>
        <n v="33"/>
        <n v="22"/>
        <n v="66"/>
        <n v="79"/>
        <n v="80"/>
        <n v="40"/>
        <n v="60"/>
        <n v="25"/>
        <n v="61"/>
        <n v="49"/>
        <n v="50"/>
        <n v="19"/>
        <n v="10"/>
        <n v="4"/>
        <n v="59"/>
        <n v="18"/>
        <n v="75"/>
        <n v="69"/>
        <n v="36"/>
        <n v="5"/>
        <n v="11"/>
        <n v="89"/>
        <n v="99"/>
        <n v="9"/>
        <n v="90"/>
        <n v="8"/>
        <n v="7"/>
        <n v="3"/>
        <n v="57"/>
        <n v="77"/>
        <n v="68"/>
        <n v="88"/>
        <n v="71"/>
        <n v="72"/>
        <n v="73"/>
        <n v="74"/>
        <n v="58"/>
        <n v="41"/>
        <n v="37"/>
        <n v="39"/>
        <n v="70"/>
        <n v="86"/>
        <n v="95"/>
        <n v="17"/>
        <n v="16"/>
        <n v="48"/>
        <n v="47"/>
        <n v="38"/>
      </sharedItems>
    </cacheField>
    <cacheField name="GENDER" numFmtId="0">
      <sharedItems/>
    </cacheField>
    <cacheField name="DEPARTMENT " numFmtId="0">
      <sharedItems count="11">
        <s v="Nephrology"/>
        <s v="Dermatology"/>
        <s v="Pulmonology"/>
        <s v="Neurology"/>
        <s v="Orthopedics"/>
        <s v="General Medicine"/>
        <s v="Gastroenterology"/>
        <s v="Cardiology"/>
        <s v="Oncology"/>
        <s v="Gyanecology"/>
        <s v="Gyneacology"/>
      </sharedItems>
    </cacheField>
    <cacheField name="DIAGNOSIS" numFmtId="0">
      <sharedItems count="114">
        <s v="Kidney Transplantation"/>
        <s v="skin infection"/>
        <s v="Rash"/>
        <s v="skin allegry"/>
        <s v="Psoariasis"/>
        <s v="Pneumonia"/>
        <s v="Kidney Stones"/>
        <s v="Stroke"/>
        <s v="Fracture"/>
        <s v="Diabetes"/>
        <s v="Gastritis"/>
        <s v="T.B"/>
        <s v="Hypertension"/>
        <s v="Breast Cancer"/>
        <s v="Femur Fracture"/>
        <s v="Tongue Cancer"/>
        <s v="Hernia"/>
        <s v="Malaria"/>
        <s v="Appenditis"/>
        <s v="Smallpox"/>
        <s v="Cardiac Arrest"/>
        <s v="Hydrocephalus"/>
        <s v="Cystic Fibroids"/>
        <s v="Headache"/>
        <s v="Bone Cancer"/>
        <s v="Ribs Fracture"/>
        <s v="Oral Cancer"/>
        <s v="Ovarian Cyst"/>
        <s v="Cardiomagaly"/>
        <s v="Ulnar fracture"/>
        <s v="vaginal infection"/>
        <s v="Skin rash"/>
        <s v="Migarine"/>
        <s v="Vaginal rash"/>
        <s v="Cerebral plasy"/>
        <s v="MCA Infract"/>
        <s v="Asthma"/>
        <s v="Stomach Ulcer"/>
        <s v="CVA"/>
        <s v="THR"/>
        <s v="Tetralogy Of Fallot"/>
        <s v="Vaginal Discharge"/>
        <s v="Vaginal cancer"/>
        <s v="TRA"/>
        <s v="ARF"/>
        <s v="Dengue Fever"/>
        <s v="CG Bleed"/>
        <s v="Empysema"/>
        <s v="Typhoid Fever"/>
        <s v="Brain Tumor"/>
        <s v="Chest Pain"/>
        <s v="UTI"/>
        <s v="AKF"/>
        <s v="Lt MCA infarct"/>
        <s v="Humerus Fracture"/>
        <s v="Polytrauma"/>
        <s v="Rt pelvis Fracture"/>
        <s v="Scapula Tumor"/>
        <s v="Blood Cancer"/>
        <s v="Rt leg  Fracture"/>
        <s v="Sepsis"/>
        <s v="Viral Fever"/>
        <s v="Cystic Fibrosis"/>
        <s v="CABG"/>
        <s v="CVA "/>
        <s v="COPD"/>
        <s v="Leg Fracture"/>
        <s v="TB"/>
        <s v="Malaria Fever"/>
        <s v="severe sepsis"/>
        <s v="Rt MCA infarct"/>
        <s v="GBS"/>
        <s v="Chicken Pox"/>
        <s v="Ventricular Failure"/>
        <s v="Hypotension"/>
        <s v="PCOS"/>
        <s v="TKR"/>
        <s v="Right Elbow Fracture"/>
        <s v="Heamothorax"/>
        <s v="Pigmentation"/>
        <s v="Ankle fracture"/>
        <s v="Claft Lips "/>
        <s v="Rashes"/>
        <s v="pelvis fracture"/>
        <s v="Pelvic fracture"/>
        <s v="Tibia Fracture"/>
        <s v="Ovarian cancer"/>
        <s v="Right MCA Infract"/>
        <s v="Elbow Fracture"/>
        <s v="Ulcer"/>
        <s v="Left MCA Infarct"/>
        <s v="cardiamagoly"/>
        <s v="spesis"/>
        <s v="Cancer"/>
        <s v="Right Wrist Fracture"/>
        <s v="Palate Cancer"/>
        <s v="stomach pain "/>
        <s v="Gallbladder removal"/>
        <s v="Clavical Fracture"/>
        <s v="Bronchitis"/>
        <s v="Hormonal Imbalance"/>
        <s v=" Vaginal Infection"/>
        <s v="Pulmonary Embolism"/>
        <s v="Cervical Cancer"/>
        <s v="Patella Fracture"/>
        <s v="RF"/>
        <s v="Rt Ventricular Failure"/>
        <s v="Knee Fracture"/>
        <s v="Cervical Surgery"/>
        <s v="Lt elbow fracture"/>
        <s v="RTA"/>
        <s v="Rt Radius Fracture"/>
        <s v="cervical rash"/>
        <s v="small pox"/>
      </sharedItems>
    </cacheField>
    <cacheField name="ADMISSION DATE" numFmtId="14">
      <sharedItems containsSemiMixedTypes="0" containsNonDate="0" containsDate="1" containsString="0" minDate="2023-01-01T00:00:00" maxDate="2026-09-01T00:00:00" count="994">
        <d v="2023-01-01T00:00:00"/>
        <d v="2023-01-02T00:00:00"/>
        <d v="2023-01-03T00:00:00"/>
        <d v="2023-01-04T00:00:00"/>
        <d v="2023-01-05T00:00:00"/>
        <d v="2023-01-06T00:00:00"/>
        <d v="2023-01-07T00:00:00"/>
        <d v="2023-01-08T00:00:00"/>
        <d v="2023-01-09T00:00:00"/>
        <d v="2023-01-10T00:00:00"/>
        <d v="2023-01-11T00:00:00"/>
        <d v="2023-01-12T00:00:00"/>
        <d v="2023-01-13T00:00:00"/>
        <d v="2024-01-03T00:00:00"/>
        <d v="2024-01-04T00:00:00"/>
        <d v="2024-01-05T00:00:00"/>
        <d v="2024-01-06T00:00:00"/>
        <d v="2024-01-07T00:00:00"/>
        <d v="2024-02-19T00:00:00"/>
        <d v="2024-02-20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10T00:00:00"/>
        <d v="2025-01-22T00:00:00"/>
        <d v="2025-01-25T00:00:00"/>
        <d v="2025-01-27T00:00:00"/>
        <d v="2025-01-29T00:00:00"/>
        <d v="2025-01-30T00:00:00"/>
        <d v="2025-02-04T00:00:00"/>
        <d v="2025-02-07T00:00:00"/>
        <d v="2025-02-14T00:00:00"/>
        <d v="2025-03-05T00:00:00"/>
        <d v="2025-03-09T00:00:00"/>
        <d v="2025-03-24T00:00:00"/>
        <d v="2025-03-26T00:00:00"/>
        <d v="2025-03-31T00:00:00"/>
        <d v="2025-04-03T00:00:00"/>
        <d v="2025-04-04T00:00:00"/>
        <d v="2025-04-08T00:00:00"/>
        <d v="2025-04-09T00:00:00"/>
        <d v="2025-04-10T00:00:00"/>
        <d v="2025-04-24T00:00:00"/>
        <d v="2025-04-27T00:00:00"/>
        <d v="2025-04-28T00:00:00"/>
        <d v="2025-05-01T00:00:00"/>
        <d v="2025-05-03T00:00:00"/>
        <d v="2025-05-05T00:00:00"/>
        <d v="2025-05-07T00:00:00"/>
        <d v="2025-05-08T00:00:00"/>
        <d v="2025-05-14T00:00:00"/>
        <d v="2025-05-16T00:00:00"/>
        <d v="2025-05-19T00:00:00"/>
        <d v="2025-05-21T00:00:00"/>
        <d v="2025-05-27T00:00:00"/>
        <d v="2025-05-29T00:00:00"/>
        <d v="2025-05-31T00:00:00"/>
        <d v="2025-06-02T00:00:00"/>
        <d v="2025-06-04T00:00:00"/>
        <d v="2025-06-06T00:00:00"/>
        <d v="2025-06-09T00:00:00"/>
        <d v="2025-06-13T00:00:00"/>
        <d v="2025-06-24T00:00:00"/>
        <d v="2025-06-27T00:00:00"/>
        <d v="2025-06-28T00:00:00"/>
        <d v="2025-07-03T00:00:00"/>
        <d v="2025-07-06T00:00:00"/>
        <d v="2025-07-09T00:00:00"/>
        <d v="2025-07-17T00:00:00"/>
        <d v="2025-07-19T00:00:00"/>
        <d v="2025-07-21T00:00:00"/>
        <d v="2025-07-25T00:00:00"/>
        <d v="2025-07-29T00:00:00"/>
        <d v="2025-08-03T00:00:00"/>
        <d v="2025-08-07T00:00:00"/>
        <d v="2025-08-09T00:00:00"/>
        <d v="2025-08-17T00:00:00"/>
        <d v="2025-08-18T00:00:00"/>
        <d v="2025-09-10T00:00:00"/>
        <d v="2025-09-11T00:00:00"/>
        <d v="2025-09-13T00:00:00"/>
        <d v="2025-09-16T00:00:00"/>
        <d v="2025-09-18T00:00:00"/>
        <d v="2025-09-23T00:00:00"/>
        <d v="2025-09-24T00:00:00"/>
        <d v="2025-09-26T00:00:00"/>
        <d v="2025-09-28T00:00:00"/>
        <d v="2025-09-30T00:00:00"/>
        <d v="2025-10-02T00:00:00"/>
        <d v="2025-10-03T00:00:00"/>
        <d v="2025-10-16T00:00:00"/>
        <d v="2025-10-18T00:00:00"/>
        <d v="2025-10-23T00:00:00"/>
        <d v="2025-10-24T00:00:00"/>
        <d v="2025-10-28T00:00:00"/>
        <d v="2025-10-29T00:00:00"/>
        <d v="2025-10-30T00:00:00"/>
        <d v="2025-10-31T00:00:00"/>
        <d v="2025-11-06T00:00:00"/>
        <d v="2025-11-07T00:00:00"/>
        <d v="2025-11-10T00:00:00"/>
        <d v="2025-11-15T00:00:00"/>
        <d v="2025-11-21T00:00:00"/>
        <d v="2025-11-23T00:00:00"/>
        <d v="2025-11-24T00:00:00"/>
        <d v="2025-11-26T00:00:00"/>
        <d v="2025-11-29T00:00:00"/>
        <d v="2025-11-30T00:00:00"/>
        <d v="2025-12-11T00:00:00"/>
        <d v="2025-12-22T00:00:00"/>
        <d v="2025-12-25T00:00:00"/>
        <d v="2025-12-26T00:00:00"/>
        <d v="2025-12-29T00:00:00"/>
        <d v="2025-12-30T00:00:00"/>
        <d v="2025-12-31T00:00:00"/>
        <d v="2026-01-01T00:00:00"/>
        <d v="2026-01-02T00:00:00"/>
        <d v="2026-01-06T00:00:00"/>
        <d v="2026-01-07T00:00:00"/>
        <d v="2026-01-10T00:00:00"/>
        <d v="2026-01-11T00:00:00"/>
        <d v="2026-01-15T00:00:00"/>
        <d v="2026-01-16T00:00:00"/>
        <d v="2026-01-17T00:00:00"/>
        <d v="2026-01-18T00:00:00"/>
        <d v="2026-01-25T00:00:00"/>
        <d v="2026-01-26T00:00:00"/>
        <d v="2026-02-03T00:00:00"/>
        <d v="2026-02-06T00:00:00"/>
        <d v="2026-02-08T00:00:00"/>
        <d v="2026-02-09T00:00:00"/>
        <d v="2026-02-10T00:00:00"/>
        <d v="2026-02-11T00:00:00"/>
        <d v="2026-02-14T00:00:00"/>
        <d v="2026-02-27T00:00:00"/>
        <d v="2026-03-01T00:00:00"/>
        <d v="2026-03-03T00:00:00"/>
        <d v="2026-03-05T00:00:00"/>
        <d v="2026-03-08T00:00:00"/>
        <d v="2026-03-09T00:00:00"/>
        <d v="2026-03-13T00:00:00"/>
        <d v="2026-03-14T00:00:00"/>
        <d v="2026-03-16T00:00:00"/>
        <d v="2026-03-19T00:00:00"/>
        <d v="2026-03-30T00:00:00"/>
        <d v="2026-03-31T00:00:00"/>
        <d v="2026-04-01T00:00:00"/>
        <d v="2026-04-02T00:00:00"/>
        <d v="2026-04-03T00:00:00"/>
        <d v="2026-04-04T00:00:00"/>
        <d v="2026-04-06T00:00:00"/>
        <d v="2026-04-07T00:00:00"/>
        <d v="2026-04-08T00:00:00"/>
        <d v="2026-04-10T00:00:00"/>
        <d v="2026-04-12T00:00:00"/>
        <d v="2026-04-14T00:00:00"/>
        <d v="2026-04-16T00:00:00"/>
        <d v="2026-04-18T00:00:00"/>
        <d v="2026-05-06T00:00:00"/>
        <d v="2026-05-12T00:00:00"/>
        <d v="2026-05-14T00:00:00"/>
        <d v="2026-05-18T00:00:00"/>
        <d v="2026-05-19T00:00:00"/>
        <d v="2026-05-20T00:00:00"/>
        <d v="2026-05-21T00:00:00"/>
        <d v="2026-05-22T00:00:00"/>
        <d v="2026-05-24T00:00:00"/>
        <d v="2026-05-25T00:00:00"/>
        <d v="2026-05-26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2-12T00:00:00"/>
        <d v="2024-02-21T00:00:00"/>
        <d v="2024-02-22T00:00:00"/>
        <d v="2024-02-23T00:00:00"/>
        <d v="2024-02-24T00:00:00"/>
        <d v="2024-02-25T00:00:00"/>
        <d v="2024-02-26T00:00:00"/>
        <d v="2024-02-27T00:00:00"/>
        <d v="2024-02-28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5-01-01T00:00:00"/>
        <d v="2025-01-04T00:00:00"/>
        <d v="2025-01-15T00:00:00"/>
        <d v="2025-01-18T00:00:00"/>
        <d v="2025-01-24T00:00:00"/>
        <d v="2025-01-26T00:00:00"/>
        <d v="2025-02-02T00:00:00"/>
        <d v="2025-02-15T00:00:00"/>
        <d v="2025-02-20T00:00:00"/>
        <d v="2025-02-22T00:00:00"/>
        <d v="2025-02-24T00:00:00"/>
        <d v="2025-03-10T00:00:00"/>
        <d v="2025-03-13T00:00:00"/>
        <d v="2025-03-16T00:00:00"/>
        <d v="2025-03-18T00:00:00"/>
        <d v="2025-03-19T00:00:00"/>
        <d v="2025-03-20T00:00:00"/>
        <d v="2025-03-22T00:00:00"/>
        <d v="2025-03-27T00:00:00"/>
        <d v="2025-04-02T00:00:00"/>
        <d v="2025-04-06T00:00:00"/>
        <d v="2025-04-12T00:00:00"/>
        <d v="2025-04-14T00:00:00"/>
        <d v="2025-04-16T00:00:00"/>
        <d v="2025-04-20T00:00:00"/>
        <d v="2025-04-21T00:00:00"/>
        <d v="2025-04-22T00:00:00"/>
        <d v="2025-04-23T00:00:00"/>
        <d v="2025-04-29T00:00:00"/>
        <d v="2025-05-10T00:00:00"/>
        <d v="2025-05-11T00:00:00"/>
        <d v="2025-05-12T00:00:00"/>
        <d v="2025-05-18T00:00:00"/>
        <d v="2025-05-23T00:00:00"/>
        <d v="2025-05-25T00:00:00"/>
        <d v="2025-05-28T00:00:00"/>
        <d v="2025-06-01T00:00:00"/>
        <d v="2025-06-11T00:00:00"/>
        <d v="2025-06-15T00:00:00"/>
        <d v="2025-06-17T00:00:00"/>
        <d v="2025-06-19T00:00:00"/>
        <d v="2025-06-21T00:00:00"/>
        <d v="2025-07-01T00:00:00"/>
        <d v="2025-07-12T00:00:00"/>
        <d v="2025-07-14T00:00:00"/>
        <d v="2025-07-15T00:00:00"/>
        <d v="2025-07-16T00:00:00"/>
        <d v="2025-07-24T00:00:00"/>
        <d v="2025-07-26T00:00:00"/>
        <d v="2025-07-31T00:00:00"/>
        <d v="2025-08-01T00:00:00"/>
        <d v="2025-08-05T00:00:00"/>
        <d v="2025-08-10T00:00:00"/>
        <d v="2025-08-13T00:00:00"/>
        <d v="2025-08-15T00:00:00"/>
        <d v="2025-08-19T00:00:00"/>
        <d v="2025-08-23T00:00:00"/>
        <d v="2025-08-24T00:00:00"/>
        <d v="2025-08-25T00:00:00"/>
        <d v="2025-08-27T00:00:00"/>
        <d v="2025-08-29T00:00:00"/>
        <d v="2025-08-31T00:00:00"/>
        <d v="2025-09-03T00:00:00"/>
        <d v="2025-09-05T00:00:00"/>
        <d v="2025-09-07T00:00:00"/>
        <d v="2025-09-08T00:00:00"/>
        <d v="2025-09-20T00:00:00"/>
        <d v="2025-09-21T00:00:00"/>
        <d v="2025-10-08T00:00:00"/>
        <d v="2025-10-09T00:00:00"/>
        <d v="2025-10-10T00:00:00"/>
        <d v="2025-10-11T00:00:00"/>
        <d v="2025-10-14T00:00:00"/>
        <d v="2025-10-21T00:00:00"/>
        <d v="2025-10-27T00:00:00"/>
        <d v="2025-11-03T00:00:00"/>
        <d v="2025-11-08T00:00:00"/>
        <d v="2025-11-09T00:00:00"/>
        <d v="2025-11-11T00:00:00"/>
        <d v="2025-11-12T00:00:00"/>
        <d v="2025-11-19T00:00:00"/>
        <d v="2025-11-20T00:00:00"/>
        <d v="2025-12-01T00:00:00"/>
        <d v="2025-12-02T00:00:00"/>
        <d v="2025-12-03T00:00:00"/>
        <d v="2025-12-05T00:00:00"/>
        <d v="2025-12-08T00:00:00"/>
        <d v="2025-12-09T00:00:00"/>
        <d v="2025-12-14T00:00:00"/>
        <d v="2025-12-15T00:00:00"/>
        <d v="2025-12-17T00:00:00"/>
        <d v="2025-12-18T00:00:00"/>
        <d v="2025-12-19T00:00:00"/>
        <d v="2025-12-20T00:00:00"/>
        <d v="2025-12-21T00:00:00"/>
        <d v="2026-01-28T00:00:00"/>
        <d v="2026-01-29T00:00:00"/>
        <d v="2026-02-15T00:00:00"/>
        <d v="2026-02-16T00:00:00"/>
        <d v="2026-02-17T00:00:00"/>
        <d v="2026-02-18T00:00:00"/>
        <d v="2026-02-19T00:00:00"/>
        <d v="2026-02-20T00:00:00"/>
        <d v="2026-02-21T00:00:00"/>
        <d v="2026-02-23T00:00:00"/>
        <d v="2026-02-24T00:00:00"/>
        <d v="2026-02-25T00:00:00"/>
        <d v="2026-02-26T00:00:00"/>
        <d v="2026-02-28T00:00:00"/>
        <d v="2026-03-23T00:00:00"/>
        <d v="2026-03-24T00:00:00"/>
        <d v="2026-03-28T00:00:00"/>
        <d v="2026-04-11T00:00:00"/>
        <d v="2026-04-13T00:00:00"/>
        <d v="2026-04-15T00:00:00"/>
        <d v="2026-04-17T00:00:00"/>
        <d v="2026-05-03T00:00:00"/>
        <d v="2026-05-04T00:00:00"/>
        <d v="2026-05-05T00:00:00"/>
        <d v="2026-05-07T00:00:00"/>
        <d v="2026-05-08T00:00:00"/>
        <d v="2026-05-09T00:00:00"/>
        <d v="2026-05-11T00:00:00"/>
        <d v="2026-05-13T00:00:00"/>
        <d v="2026-05-15T00:00:00"/>
        <d v="2026-05-16T00:00:00"/>
        <d v="2026-05-17T00:00:00"/>
        <d v="2026-05-23T00:00:00"/>
        <d v="2026-05-27T00:00:00"/>
        <d v="2026-06-06T00:00:00"/>
        <d v="2026-06-07T00:00:00"/>
        <d v="2026-06-08T00:00:00"/>
        <d v="2026-06-09T00:00:00"/>
        <d v="2026-06-10T00:00:00"/>
        <d v="2026-06-11T00:00:00"/>
        <d v="2026-06-12T00:00:00"/>
        <d v="2026-06-13T00:00:00"/>
        <d v="2026-06-14T00:00:00"/>
        <d v="2026-06-15T00:00:00"/>
        <d v="2026-06-18T00:00:00"/>
        <d v="2026-06-19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4-01-02T00:00:00"/>
        <d v="2024-01-30T00:00:00"/>
        <d v="2024-01-31T00:00:00"/>
        <d v="2024-02-01T00:00:00"/>
        <d v="2024-02-02T00:00:00"/>
        <d v="2024-02-03T00:00:00"/>
        <d v="2024-02-04T00:00:00"/>
        <d v="2024-02-05T00:00:00"/>
        <d v="2024-02-06T00:00:00"/>
        <d v="2024-02-07T00:00:00"/>
        <d v="2024-02-08T00:00:00"/>
        <d v="2024-02-09T00:00:00"/>
        <d v="2024-02-10T00:00:00"/>
        <d v="2024-02-11T00:00:00"/>
        <d v="2024-02-13T00:00:00"/>
        <d v="2024-02-14T00:00:00"/>
        <d v="2024-02-15T00:00:00"/>
        <d v="2024-02-16T00:00:00"/>
        <d v="2024-02-17T00:00:00"/>
        <d v="2024-02-1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5-01-20T00:00:00"/>
        <d v="2025-02-05T00:00:00"/>
        <d v="2025-02-10T00:00:00"/>
        <d v="2025-02-12T00:00:00"/>
        <d v="2025-02-28T00:00:00"/>
        <d v="2025-03-04T00:00:00"/>
        <d v="2025-03-12T00:00:00"/>
        <d v="2025-03-15T00:00:00"/>
        <d v="2025-03-28T00:00:00"/>
        <d v="2025-04-01T00:00:00"/>
        <d v="2025-04-05T00:00:00"/>
        <d v="2025-04-07T00:00:00"/>
        <d v="2025-04-11T00:00:00"/>
        <d v="2025-04-13T00:00:00"/>
        <d v="2025-04-15T00:00:00"/>
        <d v="2025-04-17T00:00:00"/>
        <d v="2025-04-18T00:00:00"/>
        <d v="2025-04-19T00:00:00"/>
        <d v="2025-04-25T00:00:00"/>
        <d v="2025-04-26T00:00:00"/>
        <d v="2025-04-30T00:00:00"/>
        <d v="2025-05-02T00:00:00"/>
        <d v="2025-05-04T00:00:00"/>
        <d v="2025-05-06T00:00:00"/>
        <d v="2025-05-09T00:00:00"/>
        <d v="2025-05-13T00:00:00"/>
        <d v="2025-05-15T00:00:00"/>
        <d v="2025-05-17T00:00:00"/>
        <d v="2025-05-20T00:00:00"/>
        <d v="2025-05-22T00:00:00"/>
        <d v="2025-05-24T00:00:00"/>
        <d v="2025-05-26T00:00:00"/>
        <d v="2025-05-30T00:00:00"/>
        <d v="2025-06-03T00:00:00"/>
        <d v="2025-06-05T00:00:00"/>
        <d v="2025-06-07T00:00:00"/>
        <d v="2025-06-08T00:00:00"/>
        <d v="2025-06-10T00:00:00"/>
        <d v="2025-06-12T00:00:00"/>
        <d v="2025-06-14T00:00:00"/>
        <d v="2025-06-16T00:00:00"/>
        <d v="2025-06-18T00:00:00"/>
        <d v="2025-06-20T00:00:00"/>
        <d v="2025-06-22T00:00:00"/>
        <d v="2025-06-23T00:00:00"/>
        <d v="2025-06-25T00:00:00"/>
        <d v="2025-06-26T00:00:00"/>
        <d v="2025-06-29T00:00:00"/>
        <d v="2025-06-30T00:00:00"/>
        <d v="2025-07-02T00:00:00"/>
        <d v="2025-07-04T00:00:00"/>
        <d v="2025-07-05T00:00:00"/>
        <d v="2025-07-07T00:00:00"/>
        <d v="2025-07-08T00:00:00"/>
        <d v="2025-07-10T00:00:00"/>
        <d v="2025-07-11T00:00:00"/>
        <d v="2025-07-13T00:00:00"/>
        <d v="2025-07-18T00:00:00"/>
        <d v="2025-07-20T00:00:00"/>
        <d v="2025-07-22T00:00:00"/>
        <d v="2025-07-23T00:00:00"/>
        <d v="2025-07-27T00:00:00"/>
        <d v="2025-07-28T00:00:00"/>
        <d v="2025-07-30T00:00:00"/>
        <d v="2025-08-02T00:00:00"/>
        <d v="2025-08-04T00:00:00"/>
        <d v="2025-08-06T00:00:00"/>
        <d v="2025-08-08T00:00:00"/>
        <d v="2025-08-11T00:00:00"/>
        <d v="2025-08-12T00:00:00"/>
        <d v="2025-08-14T00:00:00"/>
        <d v="2025-08-16T00:00:00"/>
        <d v="2025-08-20T00:00:00"/>
        <d v="2025-08-21T00:00:00"/>
        <d v="2025-08-22T00:00:00"/>
        <d v="2025-08-26T00:00:00"/>
        <d v="2025-08-28T00:00:00"/>
        <d v="2025-08-30T00:00:00"/>
        <d v="2025-09-01T00:00:00"/>
        <d v="2025-09-02T00:00:00"/>
        <d v="2025-09-04T00:00:00"/>
        <d v="2025-09-06T00:00:00"/>
        <d v="2025-09-09T00:00:00"/>
        <d v="2025-09-12T00:00:00"/>
        <d v="2025-09-14T00:00:00"/>
        <d v="2025-09-15T00:00:00"/>
        <d v="2025-09-17T00:00:00"/>
        <d v="2025-09-19T00:00:00"/>
        <d v="2025-09-22T00:00:00"/>
        <d v="2025-09-25T00:00:00"/>
        <d v="2025-09-27T00:00:00"/>
        <d v="2025-09-29T00:00:00"/>
        <d v="2025-10-01T00:00:00"/>
        <d v="2025-10-04T00:00:00"/>
        <d v="2025-10-05T00:00:00"/>
        <d v="2025-10-06T00:00:00"/>
        <d v="2025-10-07T00:00:00"/>
        <d v="2025-10-12T00:00:00"/>
        <d v="2025-10-13T00:00:00"/>
        <d v="2025-10-15T00:00:00"/>
        <d v="2025-10-17T00:00:00"/>
        <d v="2025-10-19T00:00:00"/>
        <d v="2025-10-20T00:00:00"/>
        <d v="2025-10-22T00:00:00"/>
        <d v="2025-10-25T00:00:00"/>
        <d v="2025-10-26T00:00:00"/>
        <d v="2025-11-01T00:00:00"/>
        <d v="2025-11-02T00:00:00"/>
        <d v="2025-11-04T00:00:00"/>
        <d v="2025-11-05T00:00:00"/>
        <d v="2025-11-13T00:00:00"/>
        <d v="2025-11-14T00:00:00"/>
        <d v="2025-11-16T00:00:00"/>
        <d v="2025-11-17T00:00:00"/>
        <d v="2025-11-18T00:00:00"/>
        <d v="2025-11-22T00:00:00"/>
        <d v="2025-11-25T00:00:00"/>
        <d v="2025-11-27T00:00:00"/>
        <d v="2025-11-28T00:00:00"/>
        <d v="2025-12-04T00:00:00"/>
        <d v="2025-12-06T00:00:00"/>
        <d v="2025-12-07T00:00:00"/>
        <d v="2025-12-10T00:00:00"/>
        <d v="2025-12-12T00:00:00"/>
        <d v="2025-12-13T00:00:00"/>
        <d v="2025-12-16T00:00:00"/>
        <d v="2025-12-23T00:00:00"/>
        <d v="2025-12-24T00:00:00"/>
        <d v="2025-12-27T00:00:00"/>
        <d v="2025-12-28T00:00:00"/>
        <d v="2026-01-03T00:00:00"/>
        <d v="2026-01-04T00:00:00"/>
        <d v="2026-01-05T00:00:00"/>
        <d v="2026-01-08T00:00:00"/>
        <d v="2026-01-09T00:00:00"/>
        <d v="2026-01-12T00:00:00"/>
        <d v="2026-01-13T00:00:00"/>
        <d v="2026-01-14T00:00:00"/>
        <d v="2026-01-19T00:00:00"/>
        <d v="2026-01-20T00:00:00"/>
        <d v="2026-01-21T00:00:00"/>
        <d v="2026-01-22T00:00:00"/>
        <d v="2026-01-23T00:00:00"/>
        <d v="2026-01-24T00:00:00"/>
        <d v="2026-01-27T00:00:00"/>
        <d v="2026-01-30T00:00:00"/>
        <d v="2026-01-31T00:00:00"/>
        <d v="2026-02-01T00:00:00"/>
        <d v="2026-02-02T00:00:00"/>
        <d v="2026-02-04T00:00:00"/>
        <d v="2026-02-05T00:00:00"/>
        <d v="2026-02-12T00:00:00"/>
        <d v="2026-02-13T00:00:00"/>
        <d v="2026-02-22T00:00:00"/>
        <d v="2026-03-02T00:00:00"/>
        <d v="2026-03-04T00:00:00"/>
        <d v="2026-03-06T00:00:00"/>
        <d v="2026-03-07T00:00:00"/>
        <d v="2026-03-10T00:00:00"/>
        <d v="2026-03-11T00:00:00"/>
        <d v="2026-03-12T00:00:00"/>
        <d v="2026-03-15T00:00:00"/>
        <d v="2026-03-17T00:00:00"/>
        <d v="2026-03-18T00:00:00"/>
        <d v="2026-03-20T00:00:00"/>
        <d v="2026-03-21T00:00:00"/>
        <d v="2026-03-22T00:00:00"/>
        <d v="2026-03-25T00:00:00"/>
        <d v="2026-03-26T00:00:00"/>
        <d v="2026-03-27T00:00:00"/>
        <d v="2026-03-29T00:00:00"/>
        <d v="2026-04-05T00:00:00"/>
        <d v="2026-04-09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28T00:00:00"/>
        <d v="2026-05-29T00:00:00"/>
        <d v="2026-05-30T00:00:00"/>
        <d v="2026-05-31T00:00:00"/>
        <d v="2026-06-01T00:00:00"/>
        <d v="2026-06-02T00:00:00"/>
        <d v="2026-06-03T00:00:00"/>
        <d v="2026-06-04T00:00:00"/>
        <d v="2026-06-05T00:00:00"/>
        <d v="2026-06-16T00:00:00"/>
        <d v="2026-06-17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4-01-01T00:00:00"/>
      </sharedItems>
      <fieldGroup par="16"/>
    </cacheField>
    <cacheField name="DISCHARGE DATE" numFmtId="0">
      <sharedItems containsSemiMixedTypes="0" containsNonDate="0" containsDate="1" containsString="0" minDate="2023-01-15T00:00:00" maxDate="2026-09-11T00:00:00"/>
    </cacheField>
    <cacheField name="LENGTH OF STAY" numFmtId="0">
      <sharedItems containsSemiMixedTypes="0" containsString="0" containsNumber="1" containsInteger="1" minValue="0" maxValue="22"/>
    </cacheField>
    <cacheField name="TREATMENT COST" numFmtId="0">
      <sharedItems containsSemiMixedTypes="0" containsString="0" containsNumber="1" containsInteger="1" minValue="1500" maxValue="2900000" count="214">
        <n v="120000"/>
        <n v="67000"/>
        <n v="76000"/>
        <n v="90000"/>
        <n v="98000"/>
        <n v="67700"/>
        <n v="56000"/>
        <n v="78000"/>
        <n v="77000"/>
        <n v="12345"/>
        <n v="23456"/>
        <n v="34567"/>
        <n v="45678"/>
        <n v="56789"/>
        <n v="67890"/>
        <n v="98765"/>
        <n v="87654"/>
        <n v="76543"/>
        <n v="76890"/>
        <n v="67800"/>
        <n v="12000"/>
        <n v="34000"/>
        <n v="45000"/>
        <n v="45690"/>
        <n v="98760"/>
        <n v="88888"/>
        <n v="99999"/>
        <n v="77777"/>
        <n v="66666"/>
        <n v="55555"/>
        <n v="56788"/>
        <n v="56790"/>
        <n v="78900"/>
        <n v="320000"/>
        <n v="29000"/>
        <n v="110000"/>
        <n v="100000"/>
        <n v="133000"/>
        <n v="144000"/>
        <n v="15500"/>
        <n v="87000"/>
        <n v="67990"/>
        <n v="23000"/>
        <n v="150000"/>
        <n v="145000"/>
        <n v="130000"/>
        <n v="156000"/>
        <n v="178000"/>
        <n v="198000"/>
        <n v="35000"/>
        <n v="65000"/>
        <n v="50000"/>
        <n v="80000"/>
        <n v="55000"/>
        <n v="75000"/>
        <n v="57000"/>
        <n v="84000"/>
        <n v="99000"/>
        <n v="39000"/>
        <n v="42000"/>
        <n v="190000"/>
        <n v="23790"/>
        <n v="13400"/>
        <n v="134000"/>
        <n v="230000"/>
        <n v="123000"/>
        <n v="250000"/>
        <n v="31000"/>
        <n v="28000"/>
        <n v="32000"/>
        <n v="46000"/>
        <n v="140000"/>
        <n v="64000"/>
        <n v="33000"/>
        <n v="14000"/>
        <n v="24000"/>
        <n v="245000"/>
        <n v="134500"/>
        <n v="156700"/>
        <n v="157900"/>
        <n v="17800"/>
        <n v="127000"/>
        <n v="119000"/>
        <n v="176000"/>
        <n v="19000"/>
        <n v="13000"/>
        <n v="11000"/>
        <n v="89000"/>
        <n v="18900"/>
        <n v="189000"/>
        <n v="10000"/>
        <n v="129000"/>
        <n v="156900"/>
        <n v="167000"/>
        <n v="15000"/>
        <n v="179000"/>
        <n v="187000"/>
        <n v="256789"/>
        <n v="156789"/>
        <n v="67899"/>
        <n v="134900"/>
        <n v="49000"/>
        <n v="21000"/>
        <n v="53000"/>
        <n v="78990"/>
        <n v="99900"/>
        <n v="54000"/>
        <n v="43222"/>
        <n v="83000"/>
        <n v="89900"/>
        <n v="59000"/>
        <n v="69000"/>
        <n v="79000"/>
        <n v="51000"/>
        <n v="52000"/>
        <n v="43000"/>
        <n v="47000"/>
        <n v="40000"/>
        <n v="56700"/>
        <n v="3400"/>
        <n v="167880"/>
        <n v="146700"/>
        <n v="56799"/>
        <n v="131000"/>
        <n v="141000"/>
        <n v="151000"/>
        <n v="161000"/>
        <n v="25000"/>
        <n v="20000"/>
        <n v="44000"/>
        <n v="60000"/>
        <n v="66000"/>
        <n v="134560"/>
        <n v="12800"/>
        <n v="240000"/>
        <n v="540000"/>
        <n v="15600"/>
        <n v="139000"/>
        <n v="14500"/>
        <n v="147000"/>
        <n v="350000"/>
        <n v="450000"/>
        <n v="156999"/>
        <n v="15899"/>
        <n v="22345"/>
        <n v="178900"/>
        <n v="245678"/>
        <n v="456789"/>
        <n v="870000"/>
        <n v="76990"/>
        <n v="145678"/>
        <n v="159000"/>
        <n v="154333"/>
        <n v="134567"/>
        <n v="45999"/>
        <n v="23999"/>
        <n v="48999"/>
        <n v="45600"/>
        <n v="33400"/>
        <n v="34500"/>
        <n v="12300"/>
        <n v="27000"/>
        <n v="48000"/>
        <n v="68000"/>
        <n v="5600"/>
        <n v="171000"/>
        <n v="191000"/>
        <n v="129900"/>
        <n v="143000"/>
        <n v="155000"/>
        <n v="112000"/>
        <n v="160000"/>
        <n v="199000"/>
        <n v="89590"/>
        <n v="123456"/>
        <n v="125000"/>
        <n v="192000"/>
        <n v="123300"/>
        <n v="200000"/>
        <n v="41000"/>
        <n v="210000"/>
        <n v="12500"/>
        <n v="310000"/>
        <n v="70000"/>
        <n v="11100"/>
        <n v="67900"/>
        <n v="15678"/>
        <n v="14890"/>
        <n v="1500"/>
        <n v="280000"/>
        <n v="170000"/>
        <n v="56990"/>
        <n v="2900000"/>
        <n v="14599"/>
        <n v="270000"/>
        <n v="278000"/>
        <n v="398000"/>
        <n v="340000"/>
        <n v="14899"/>
        <n v="14567"/>
        <n v="156888"/>
        <n v="260000"/>
        <n v="560000"/>
        <n v="678000"/>
        <n v="345678"/>
        <n v="234567"/>
        <n v="154890"/>
        <n v="167890"/>
        <n v="13456"/>
        <n v="154321"/>
        <n v="12900"/>
        <n v="30000"/>
        <n v="98990"/>
        <n v="87600"/>
      </sharedItems>
    </cacheField>
    <cacheField name="INSURANCE TYPE" numFmtId="0">
      <sharedItems count="3">
        <s v="Self-payed"/>
        <s v="Government"/>
        <s v="Private"/>
      </sharedItems>
    </cacheField>
    <cacheField name="DOCTOR" numFmtId="0">
      <sharedItems count="14">
        <s v="Dr.Sai"/>
        <s v="Dr.Lalitha"/>
        <s v="Dr.Somesh"/>
        <s v="Dr.Krishnan"/>
        <s v="Dr.Shiva"/>
        <s v="Dr.Ganesh"/>
        <s v="Dr.Ramu"/>
        <s v="Dr.Rani"/>
        <s v="Dr.Sree"/>
        <s v="Dr.Seetha"/>
        <s v="Dr.Somesg"/>
        <s v="Dr.Ramulu"/>
        <s v="Dr.Benson"/>
        <s v="Dr"/>
      </sharedItems>
    </cacheField>
    <cacheField name="READMISSION" numFmtId="0">
      <sharedItems containsBlank="1"/>
    </cacheField>
    <cacheField name="OUTCOME" numFmtId="0">
      <sharedItems/>
    </cacheField>
    <cacheField name="SATISFACTION" numFmtId="0">
      <sharedItems containsString="0" containsBlank="1" containsNumber="1" minValue="1" maxValue="43"/>
    </cacheField>
    <cacheField name="Months (ADMISSION DATE)" numFmtId="0" databaseField="0">
      <fieldGroup base="5">
        <rangePr groupBy="months" startDate="2023-01-01T00:00:00" endDate="2026-09-01T00:00:00"/>
        <groupItems count="14">
          <s v="&lt;01-01-2023"/>
          <s v="Jan"/>
          <s v="Feb"/>
          <s v="Mar"/>
          <s v="Apr"/>
          <s v="May"/>
          <s v="Jun"/>
          <s v="Jul"/>
          <s v="Aug"/>
          <s v="Sep"/>
          <s v="Oct"/>
          <s v="Nov"/>
          <s v="Dec"/>
          <s v="&gt;01-09-2026"/>
        </groupItems>
      </fieldGroup>
    </cacheField>
    <cacheField name="Quarters (ADMISSION DATE)" numFmtId="0" databaseField="0">
      <fieldGroup base="5">
        <rangePr groupBy="quarters" startDate="2023-01-01T00:00:00" endDate="2026-09-01T00:00:00"/>
        <groupItems count="6">
          <s v="&lt;01-01-2023"/>
          <s v="Qtr1"/>
          <s v="Qtr2"/>
          <s v="Qtr3"/>
          <s v="Qtr4"/>
          <s v="&gt;01-09-2026"/>
        </groupItems>
      </fieldGroup>
    </cacheField>
    <cacheField name="Years (ADMISSION DATE)" numFmtId="0" databaseField="0">
      <fieldGroup base="5">
        <rangePr groupBy="years" startDate="2023-01-01T00:00:00" endDate="2026-09-01T00:00:00"/>
        <groupItems count="6">
          <s v="&lt;01-01-2023"/>
          <s v="2023"/>
          <s v="2024"/>
          <s v="2025"/>
          <s v="2026"/>
          <s v="&gt;01-09-2026"/>
        </groupItems>
      </fieldGroup>
    </cacheField>
  </cacheFields>
  <extLst>
    <ext xmlns:x14="http://schemas.microsoft.com/office/spreadsheetml/2009/9/main" uri="{725AE2AE-9491-48be-B2B4-4EB974FC3084}">
      <x14:pivotCacheDefinition pivotCacheId="6128630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Male"/>
    <x v="0"/>
    <x v="0"/>
    <x v="0"/>
    <d v="2023-01-15T00:00:00"/>
    <n v="14"/>
    <x v="0"/>
    <x v="0"/>
    <x v="0"/>
    <s v="Yes"/>
    <s v="Improved"/>
    <n v="3.6"/>
  </r>
  <r>
    <x v="1"/>
    <x v="1"/>
    <s v="Male"/>
    <x v="0"/>
    <x v="0"/>
    <x v="1"/>
    <d v="2023-01-16T00:00:00"/>
    <n v="14"/>
    <x v="0"/>
    <x v="0"/>
    <x v="0"/>
    <s v="Yes"/>
    <s v="Improved"/>
    <n v="3.6"/>
  </r>
  <r>
    <x v="2"/>
    <x v="2"/>
    <s v="Male"/>
    <x v="0"/>
    <x v="0"/>
    <x v="2"/>
    <d v="2023-01-17T00:00:00"/>
    <n v="14"/>
    <x v="0"/>
    <x v="0"/>
    <x v="0"/>
    <s v="No"/>
    <s v="Improved"/>
    <n v="3.6"/>
  </r>
  <r>
    <x v="3"/>
    <x v="3"/>
    <s v="Male"/>
    <x v="0"/>
    <x v="0"/>
    <x v="3"/>
    <d v="2023-01-18T00:00:00"/>
    <n v="14"/>
    <x v="0"/>
    <x v="0"/>
    <x v="0"/>
    <s v="No"/>
    <s v="Improved"/>
    <n v="3.6"/>
  </r>
  <r>
    <x v="4"/>
    <x v="4"/>
    <s v="Male"/>
    <x v="0"/>
    <x v="0"/>
    <x v="4"/>
    <d v="2023-01-19T00:00:00"/>
    <n v="14"/>
    <x v="0"/>
    <x v="0"/>
    <x v="0"/>
    <s v="Yes"/>
    <s v="Improved"/>
    <n v="3.6"/>
  </r>
  <r>
    <x v="5"/>
    <x v="5"/>
    <s v="Male"/>
    <x v="0"/>
    <x v="0"/>
    <x v="5"/>
    <d v="2023-01-20T00:00:00"/>
    <n v="14"/>
    <x v="0"/>
    <x v="0"/>
    <x v="0"/>
    <s v="No"/>
    <s v="Improved"/>
    <n v="3.6"/>
  </r>
  <r>
    <x v="6"/>
    <x v="6"/>
    <s v="Male"/>
    <x v="0"/>
    <x v="0"/>
    <x v="6"/>
    <d v="2023-01-21T00:00:00"/>
    <n v="14"/>
    <x v="0"/>
    <x v="0"/>
    <x v="0"/>
    <s v="Yes"/>
    <s v="Improved"/>
    <n v="3.6"/>
  </r>
  <r>
    <x v="7"/>
    <x v="7"/>
    <s v="Male"/>
    <x v="0"/>
    <x v="0"/>
    <x v="7"/>
    <d v="2023-01-22T00:00:00"/>
    <n v="14"/>
    <x v="0"/>
    <x v="0"/>
    <x v="0"/>
    <m/>
    <s v="Improved"/>
    <n v="3.6"/>
  </r>
  <r>
    <x v="8"/>
    <x v="8"/>
    <s v="Male"/>
    <x v="0"/>
    <x v="0"/>
    <x v="8"/>
    <d v="2023-01-23T00:00:00"/>
    <n v="14"/>
    <x v="0"/>
    <x v="0"/>
    <x v="0"/>
    <s v="No"/>
    <s v="Improved"/>
    <n v="3.6"/>
  </r>
  <r>
    <x v="9"/>
    <x v="9"/>
    <s v="Male"/>
    <x v="0"/>
    <x v="0"/>
    <x v="9"/>
    <d v="2023-01-24T00:00:00"/>
    <n v="14"/>
    <x v="0"/>
    <x v="0"/>
    <x v="0"/>
    <s v="No"/>
    <s v="Improved"/>
    <n v="3.6"/>
  </r>
  <r>
    <x v="10"/>
    <x v="10"/>
    <s v="Male"/>
    <x v="0"/>
    <x v="0"/>
    <x v="10"/>
    <d v="2023-01-25T00:00:00"/>
    <n v="14"/>
    <x v="0"/>
    <x v="0"/>
    <x v="0"/>
    <s v="Yes"/>
    <s v="Improved"/>
    <n v="3.6"/>
  </r>
  <r>
    <x v="11"/>
    <x v="11"/>
    <s v="Male"/>
    <x v="0"/>
    <x v="0"/>
    <x v="11"/>
    <d v="2023-01-26T00:00:00"/>
    <n v="14"/>
    <x v="0"/>
    <x v="0"/>
    <x v="0"/>
    <s v="No"/>
    <s v="Improved"/>
    <n v="3.6"/>
  </r>
  <r>
    <x v="12"/>
    <x v="7"/>
    <s v="Male"/>
    <x v="0"/>
    <x v="0"/>
    <x v="12"/>
    <d v="2023-01-27T00:00:00"/>
    <n v="14"/>
    <x v="0"/>
    <x v="0"/>
    <x v="0"/>
    <s v="Yes"/>
    <s v="Improved"/>
    <n v="3.6"/>
  </r>
  <r>
    <x v="13"/>
    <x v="12"/>
    <s v="Female"/>
    <x v="1"/>
    <x v="1"/>
    <x v="13"/>
    <d v="2024-01-13T00:00:00"/>
    <n v="10"/>
    <x v="1"/>
    <x v="1"/>
    <x v="1"/>
    <s v="No"/>
    <s v="Improved"/>
    <n v="4"/>
  </r>
  <r>
    <x v="14"/>
    <x v="12"/>
    <s v="Female"/>
    <x v="1"/>
    <x v="1"/>
    <x v="14"/>
    <d v="2024-01-14T00:00:00"/>
    <n v="10"/>
    <x v="2"/>
    <x v="1"/>
    <x v="1"/>
    <s v="Yes"/>
    <s v="Improved"/>
    <n v="4"/>
  </r>
  <r>
    <x v="15"/>
    <x v="13"/>
    <s v="Female"/>
    <x v="1"/>
    <x v="1"/>
    <x v="15"/>
    <d v="2024-01-15T00:00:00"/>
    <n v="10"/>
    <x v="3"/>
    <x v="1"/>
    <x v="1"/>
    <s v="No"/>
    <s v="Improved"/>
    <n v="5"/>
  </r>
  <r>
    <x v="16"/>
    <x v="6"/>
    <s v="Female"/>
    <x v="1"/>
    <x v="1"/>
    <x v="16"/>
    <d v="2024-01-16T00:00:00"/>
    <n v="10"/>
    <x v="4"/>
    <x v="1"/>
    <x v="1"/>
    <s v="Yes"/>
    <s v="Improved"/>
    <n v="5"/>
  </r>
  <r>
    <x v="17"/>
    <x v="14"/>
    <s v="Female"/>
    <x v="1"/>
    <x v="1"/>
    <x v="17"/>
    <d v="2024-01-17T00:00:00"/>
    <n v="10"/>
    <x v="5"/>
    <x v="1"/>
    <x v="1"/>
    <s v="Yes"/>
    <s v="Improved"/>
    <n v="5"/>
  </r>
  <r>
    <x v="18"/>
    <x v="15"/>
    <s v="Male"/>
    <x v="1"/>
    <x v="2"/>
    <x v="18"/>
    <d v="2024-02-29T00:00:00"/>
    <n v="10"/>
    <x v="6"/>
    <x v="2"/>
    <x v="1"/>
    <s v="No"/>
    <s v="Improved"/>
    <n v="5"/>
  </r>
  <r>
    <x v="19"/>
    <x v="15"/>
    <s v="Male"/>
    <x v="1"/>
    <x v="2"/>
    <x v="19"/>
    <d v="2024-03-01T00:00:00"/>
    <n v="10"/>
    <x v="7"/>
    <x v="2"/>
    <x v="1"/>
    <s v="Yes"/>
    <s v="Improved"/>
    <n v="5"/>
  </r>
  <r>
    <x v="20"/>
    <x v="16"/>
    <s v="Male"/>
    <x v="1"/>
    <x v="3"/>
    <x v="20"/>
    <d v="2024-04-07T00:00:00"/>
    <n v="10"/>
    <x v="6"/>
    <x v="1"/>
    <x v="1"/>
    <s v="Yes"/>
    <s v="Improved"/>
    <n v="5"/>
  </r>
  <r>
    <x v="21"/>
    <x v="17"/>
    <s v="Male"/>
    <x v="1"/>
    <x v="3"/>
    <x v="21"/>
    <d v="2024-04-08T00:00:00"/>
    <n v="10"/>
    <x v="8"/>
    <x v="1"/>
    <x v="1"/>
    <s v="No"/>
    <s v="Improved"/>
    <n v="5"/>
  </r>
  <r>
    <x v="22"/>
    <x v="6"/>
    <s v="Male"/>
    <x v="1"/>
    <x v="3"/>
    <x v="22"/>
    <d v="2024-04-09T00:00:00"/>
    <n v="10"/>
    <x v="9"/>
    <x v="1"/>
    <x v="1"/>
    <s v="No"/>
    <s v="Improved"/>
    <n v="5"/>
  </r>
  <r>
    <x v="23"/>
    <x v="17"/>
    <s v="Male"/>
    <x v="1"/>
    <x v="3"/>
    <x v="23"/>
    <d v="2024-04-10T00:00:00"/>
    <n v="10"/>
    <x v="10"/>
    <x v="1"/>
    <x v="1"/>
    <s v="No"/>
    <s v="Improved"/>
    <n v="5"/>
  </r>
  <r>
    <x v="24"/>
    <x v="16"/>
    <s v="Male"/>
    <x v="1"/>
    <x v="3"/>
    <x v="24"/>
    <d v="2024-04-11T00:00:00"/>
    <n v="10"/>
    <x v="11"/>
    <x v="1"/>
    <x v="1"/>
    <s v="Yes"/>
    <s v="Improved"/>
    <n v="5"/>
  </r>
  <r>
    <x v="25"/>
    <x v="17"/>
    <s v="Male"/>
    <x v="1"/>
    <x v="3"/>
    <x v="25"/>
    <d v="2024-04-12T00:00:00"/>
    <n v="10"/>
    <x v="12"/>
    <x v="1"/>
    <x v="1"/>
    <s v="No"/>
    <s v="Improved"/>
    <n v="5"/>
  </r>
  <r>
    <x v="26"/>
    <x v="16"/>
    <s v="Male"/>
    <x v="1"/>
    <x v="3"/>
    <x v="26"/>
    <d v="2024-04-13T00:00:00"/>
    <n v="10"/>
    <x v="13"/>
    <x v="1"/>
    <x v="1"/>
    <s v="Yes"/>
    <s v="Improved"/>
    <n v="5"/>
  </r>
  <r>
    <x v="27"/>
    <x v="17"/>
    <s v="Male"/>
    <x v="1"/>
    <x v="3"/>
    <x v="27"/>
    <d v="2024-04-14T00:00:00"/>
    <n v="10"/>
    <x v="14"/>
    <x v="1"/>
    <x v="1"/>
    <s v="No"/>
    <s v="Improved"/>
    <n v="5"/>
  </r>
  <r>
    <x v="28"/>
    <x v="18"/>
    <s v="Male"/>
    <x v="1"/>
    <x v="3"/>
    <x v="28"/>
    <d v="2024-04-15T00:00:00"/>
    <n v="10"/>
    <x v="15"/>
    <x v="1"/>
    <x v="1"/>
    <s v="Yes"/>
    <s v="Improved"/>
    <n v="5"/>
  </r>
  <r>
    <x v="29"/>
    <x v="7"/>
    <s v="Male"/>
    <x v="1"/>
    <x v="3"/>
    <x v="29"/>
    <d v="2024-04-16T00:00:00"/>
    <n v="10"/>
    <x v="16"/>
    <x v="1"/>
    <x v="1"/>
    <s v="Yes"/>
    <s v="Improved"/>
    <n v="5"/>
  </r>
  <r>
    <x v="30"/>
    <x v="14"/>
    <s v="Male"/>
    <x v="1"/>
    <x v="3"/>
    <x v="30"/>
    <d v="2024-04-17T00:00:00"/>
    <n v="10"/>
    <x v="17"/>
    <x v="1"/>
    <x v="1"/>
    <s v="Yes"/>
    <s v="Improved"/>
    <n v="5"/>
  </r>
  <r>
    <x v="31"/>
    <x v="19"/>
    <s v="Male"/>
    <x v="1"/>
    <x v="3"/>
    <x v="31"/>
    <d v="2024-04-18T00:00:00"/>
    <n v="10"/>
    <x v="18"/>
    <x v="1"/>
    <x v="1"/>
    <s v="No"/>
    <s v="Improved"/>
    <n v="5"/>
  </r>
  <r>
    <x v="32"/>
    <x v="15"/>
    <s v="Male"/>
    <x v="1"/>
    <x v="3"/>
    <x v="32"/>
    <d v="2024-04-19T00:00:00"/>
    <n v="10"/>
    <x v="4"/>
    <x v="1"/>
    <x v="1"/>
    <s v="No"/>
    <s v="Improved"/>
    <n v="5"/>
  </r>
  <r>
    <x v="33"/>
    <x v="18"/>
    <s v="Male"/>
    <x v="1"/>
    <x v="3"/>
    <x v="33"/>
    <d v="2024-04-20T00:00:00"/>
    <n v="10"/>
    <x v="7"/>
    <x v="1"/>
    <x v="1"/>
    <s v="Yes"/>
    <s v="Improved"/>
    <n v="5"/>
  </r>
  <r>
    <x v="34"/>
    <x v="16"/>
    <s v="Male"/>
    <x v="1"/>
    <x v="3"/>
    <x v="34"/>
    <d v="2024-04-15T00:00:00"/>
    <n v="4"/>
    <x v="19"/>
    <x v="1"/>
    <x v="1"/>
    <s v="No"/>
    <s v="Improved"/>
    <n v="5"/>
  </r>
  <r>
    <x v="35"/>
    <x v="15"/>
    <s v="Female"/>
    <x v="1"/>
    <x v="4"/>
    <x v="35"/>
    <d v="2024-04-16T00:00:00"/>
    <n v="4"/>
    <x v="7"/>
    <x v="1"/>
    <x v="1"/>
    <s v="Yes"/>
    <s v="Improved"/>
    <n v="3.6"/>
  </r>
  <r>
    <x v="36"/>
    <x v="18"/>
    <s v="Female"/>
    <x v="1"/>
    <x v="4"/>
    <x v="36"/>
    <d v="2024-04-17T00:00:00"/>
    <n v="4"/>
    <x v="4"/>
    <x v="1"/>
    <x v="1"/>
    <s v="No"/>
    <s v="Improved"/>
    <n v="3.6"/>
  </r>
  <r>
    <x v="37"/>
    <x v="12"/>
    <s v="Female"/>
    <x v="1"/>
    <x v="4"/>
    <x v="37"/>
    <d v="2024-04-18T00:00:00"/>
    <n v="4"/>
    <x v="20"/>
    <x v="1"/>
    <x v="1"/>
    <s v="No"/>
    <s v="Improved"/>
    <n v="3.6"/>
  </r>
  <r>
    <x v="38"/>
    <x v="18"/>
    <s v="Female"/>
    <x v="1"/>
    <x v="4"/>
    <x v="38"/>
    <d v="2024-04-19T00:00:00"/>
    <n v="4"/>
    <x v="21"/>
    <x v="1"/>
    <x v="1"/>
    <s v="No"/>
    <s v="Improved"/>
    <n v="3.6"/>
  </r>
  <r>
    <x v="39"/>
    <x v="12"/>
    <s v="Female"/>
    <x v="1"/>
    <x v="4"/>
    <x v="39"/>
    <d v="2024-04-20T00:00:00"/>
    <n v="4"/>
    <x v="22"/>
    <x v="1"/>
    <x v="1"/>
    <s v="Yes"/>
    <s v="Improved"/>
    <n v="3.6"/>
  </r>
  <r>
    <x v="40"/>
    <x v="18"/>
    <s v="Female"/>
    <x v="1"/>
    <x v="4"/>
    <x v="40"/>
    <d v="2024-04-21T00:00:00"/>
    <n v="4"/>
    <x v="6"/>
    <x v="1"/>
    <x v="1"/>
    <s v="No"/>
    <s v="Improved"/>
    <n v="3.6"/>
  </r>
  <r>
    <x v="41"/>
    <x v="7"/>
    <s v="Female"/>
    <x v="1"/>
    <x v="4"/>
    <x v="41"/>
    <d v="2024-04-22T00:00:00"/>
    <n v="4"/>
    <x v="20"/>
    <x v="1"/>
    <x v="1"/>
    <s v="Yes"/>
    <s v="Improved"/>
    <n v="3.6"/>
  </r>
  <r>
    <x v="42"/>
    <x v="11"/>
    <s v="Female"/>
    <x v="1"/>
    <x v="4"/>
    <x v="42"/>
    <d v="2024-04-23T00:00:00"/>
    <n v="4"/>
    <x v="22"/>
    <x v="1"/>
    <x v="1"/>
    <s v="No"/>
    <s v="Improved"/>
    <n v="3.6"/>
  </r>
  <r>
    <x v="43"/>
    <x v="18"/>
    <s v="Female"/>
    <x v="1"/>
    <x v="4"/>
    <x v="43"/>
    <d v="2024-04-24T00:00:00"/>
    <n v="4"/>
    <x v="6"/>
    <x v="1"/>
    <x v="1"/>
    <s v="Yes"/>
    <s v="Improved"/>
    <n v="3.6"/>
  </r>
  <r>
    <x v="44"/>
    <x v="17"/>
    <s v="Female"/>
    <x v="1"/>
    <x v="4"/>
    <x v="44"/>
    <d v="2024-04-26T00:00:00"/>
    <n v="5"/>
    <x v="1"/>
    <x v="1"/>
    <x v="1"/>
    <s v="Yes"/>
    <s v="Improved"/>
    <n v="3.6"/>
  </r>
  <r>
    <x v="45"/>
    <x v="12"/>
    <s v="Female"/>
    <x v="2"/>
    <x v="5"/>
    <x v="45"/>
    <d v="2024-04-27T00:00:00"/>
    <n v="5"/>
    <x v="7"/>
    <x v="1"/>
    <x v="2"/>
    <s v="Yes"/>
    <s v="Improved"/>
    <n v="3.6"/>
  </r>
  <r>
    <x v="46"/>
    <x v="20"/>
    <s v="Female"/>
    <x v="2"/>
    <x v="5"/>
    <x v="46"/>
    <d v="2024-04-28T00:00:00"/>
    <n v="5"/>
    <x v="23"/>
    <x v="1"/>
    <x v="2"/>
    <s v="No"/>
    <s v="Improved"/>
    <n v="3.6"/>
  </r>
  <r>
    <x v="47"/>
    <x v="18"/>
    <s v="Female"/>
    <x v="2"/>
    <x v="5"/>
    <x v="47"/>
    <d v="2024-04-29T00:00:00"/>
    <n v="5"/>
    <x v="13"/>
    <x v="0"/>
    <x v="2"/>
    <s v="No"/>
    <s v="Improved"/>
    <n v="3.6"/>
  </r>
  <r>
    <x v="48"/>
    <x v="13"/>
    <s v="Female"/>
    <x v="2"/>
    <x v="5"/>
    <x v="48"/>
    <d v="2024-04-30T00:00:00"/>
    <n v="5"/>
    <x v="24"/>
    <x v="0"/>
    <x v="2"/>
    <s v="Yes"/>
    <s v="Improved"/>
    <n v="3.6"/>
  </r>
  <r>
    <x v="49"/>
    <x v="21"/>
    <s v="Female"/>
    <x v="2"/>
    <x v="5"/>
    <x v="49"/>
    <d v="2024-05-01T00:00:00"/>
    <n v="5"/>
    <x v="25"/>
    <x v="0"/>
    <x v="2"/>
    <s v="No"/>
    <s v="Improved"/>
    <n v="3.6"/>
  </r>
  <r>
    <x v="50"/>
    <x v="18"/>
    <s v="Female"/>
    <x v="2"/>
    <x v="5"/>
    <x v="50"/>
    <d v="2024-05-02T00:00:00"/>
    <n v="5"/>
    <x v="26"/>
    <x v="0"/>
    <x v="2"/>
    <s v="Yes"/>
    <s v="Improved"/>
    <n v="3.6"/>
  </r>
  <r>
    <x v="51"/>
    <x v="16"/>
    <s v="Female"/>
    <x v="2"/>
    <x v="5"/>
    <x v="51"/>
    <d v="2024-05-03T00:00:00"/>
    <n v="5"/>
    <x v="27"/>
    <x v="0"/>
    <x v="2"/>
    <s v="No"/>
    <s v="Improved"/>
    <n v="3.6"/>
  </r>
  <r>
    <x v="52"/>
    <x v="22"/>
    <s v="Female"/>
    <x v="2"/>
    <x v="5"/>
    <x v="52"/>
    <d v="2024-05-04T00:00:00"/>
    <n v="5"/>
    <x v="28"/>
    <x v="0"/>
    <x v="2"/>
    <s v="No"/>
    <s v="Improved"/>
    <n v="3.6"/>
  </r>
  <r>
    <x v="53"/>
    <x v="23"/>
    <s v="Female"/>
    <x v="2"/>
    <x v="5"/>
    <x v="53"/>
    <d v="2024-05-05T00:00:00"/>
    <n v="5"/>
    <x v="29"/>
    <x v="0"/>
    <x v="2"/>
    <s v="No"/>
    <s v="Improved"/>
    <n v="3.6"/>
  </r>
  <r>
    <x v="54"/>
    <x v="24"/>
    <s v="Female"/>
    <x v="2"/>
    <x v="5"/>
    <x v="54"/>
    <d v="2024-05-06T00:00:00"/>
    <n v="5"/>
    <x v="30"/>
    <x v="0"/>
    <x v="2"/>
    <s v="Yes"/>
    <s v="Improved"/>
    <n v="3.6"/>
  </r>
  <r>
    <x v="55"/>
    <x v="25"/>
    <s v="Female"/>
    <x v="2"/>
    <x v="5"/>
    <x v="55"/>
    <d v="2024-05-07T00:00:00"/>
    <n v="5"/>
    <x v="31"/>
    <x v="0"/>
    <x v="2"/>
    <s v="No"/>
    <s v="Improved"/>
    <n v="3.6"/>
  </r>
  <r>
    <x v="56"/>
    <x v="26"/>
    <s v="Female"/>
    <x v="2"/>
    <x v="5"/>
    <x v="56"/>
    <d v="2024-05-08T00:00:00"/>
    <n v="5"/>
    <x v="32"/>
    <x v="0"/>
    <x v="2"/>
    <s v="Yes"/>
    <s v="Improved"/>
    <n v="3.6"/>
  </r>
  <r>
    <x v="57"/>
    <x v="27"/>
    <s v="Female"/>
    <x v="2"/>
    <x v="5"/>
    <x v="57"/>
    <d v="2024-05-09T00:00:00"/>
    <n v="5"/>
    <x v="0"/>
    <x v="0"/>
    <x v="2"/>
    <s v="No"/>
    <s v="Improved"/>
    <n v="3.6"/>
  </r>
  <r>
    <x v="58"/>
    <x v="28"/>
    <s v="Female"/>
    <x v="2"/>
    <x v="5"/>
    <x v="58"/>
    <d v="2024-05-10T00:00:00"/>
    <n v="5"/>
    <x v="33"/>
    <x v="0"/>
    <x v="2"/>
    <s v="Yes"/>
    <s v="Improved"/>
    <n v="3.6"/>
  </r>
  <r>
    <x v="59"/>
    <x v="29"/>
    <s v="Female"/>
    <x v="2"/>
    <x v="5"/>
    <x v="59"/>
    <d v="2024-05-11T00:00:00"/>
    <n v="5"/>
    <x v="34"/>
    <x v="0"/>
    <x v="2"/>
    <s v="Yes"/>
    <s v="Improved"/>
    <n v="3.6"/>
  </r>
  <r>
    <x v="60"/>
    <x v="30"/>
    <s v="Female"/>
    <x v="2"/>
    <x v="5"/>
    <x v="60"/>
    <d v="2024-05-12T00:00:00"/>
    <n v="5"/>
    <x v="35"/>
    <x v="0"/>
    <x v="2"/>
    <s v="Yes"/>
    <s v="Improved"/>
    <n v="3.6"/>
  </r>
  <r>
    <x v="61"/>
    <x v="31"/>
    <s v="Female"/>
    <x v="2"/>
    <x v="5"/>
    <x v="61"/>
    <d v="2024-05-13T00:00:00"/>
    <n v="5"/>
    <x v="0"/>
    <x v="0"/>
    <x v="2"/>
    <s v="No"/>
    <s v="Improved"/>
    <n v="3.6"/>
  </r>
  <r>
    <x v="62"/>
    <x v="32"/>
    <s v="Female"/>
    <x v="2"/>
    <x v="5"/>
    <x v="62"/>
    <d v="2024-05-14T00:00:00"/>
    <n v="5"/>
    <x v="4"/>
    <x v="0"/>
    <x v="2"/>
    <s v="No"/>
    <s v="Improved"/>
    <n v="3.6"/>
  </r>
  <r>
    <x v="63"/>
    <x v="15"/>
    <s v="Female"/>
    <x v="2"/>
    <x v="5"/>
    <x v="63"/>
    <d v="2024-05-15T00:00:00"/>
    <n v="5"/>
    <x v="36"/>
    <x v="0"/>
    <x v="2"/>
    <s v="Yes"/>
    <s v="Improved"/>
    <n v="3.6"/>
  </r>
  <r>
    <x v="64"/>
    <x v="19"/>
    <s v="Female"/>
    <x v="2"/>
    <x v="5"/>
    <x v="64"/>
    <d v="2024-05-16T00:00:00"/>
    <n v="5"/>
    <x v="0"/>
    <x v="0"/>
    <x v="2"/>
    <s v="No"/>
    <s v="Improved"/>
    <n v="3.6"/>
  </r>
  <r>
    <x v="65"/>
    <x v="33"/>
    <s v="Female"/>
    <x v="2"/>
    <x v="5"/>
    <x v="65"/>
    <d v="2024-05-17T00:00:00"/>
    <n v="5"/>
    <x v="37"/>
    <x v="0"/>
    <x v="2"/>
    <s v="Yes"/>
    <s v="Improved"/>
    <n v="3.6"/>
  </r>
  <r>
    <x v="66"/>
    <x v="11"/>
    <s v="Female"/>
    <x v="2"/>
    <x v="5"/>
    <x v="66"/>
    <d v="2024-05-18T00:00:00"/>
    <n v="5"/>
    <x v="38"/>
    <x v="0"/>
    <x v="2"/>
    <s v="No"/>
    <s v="Improved"/>
    <n v="3.6"/>
  </r>
  <r>
    <x v="67"/>
    <x v="34"/>
    <s v="Female"/>
    <x v="2"/>
    <x v="5"/>
    <x v="67"/>
    <d v="2024-05-19T00:00:00"/>
    <n v="5"/>
    <x v="39"/>
    <x v="0"/>
    <x v="2"/>
    <s v="No"/>
    <s v="Improved"/>
    <n v="3.6"/>
  </r>
  <r>
    <x v="68"/>
    <x v="35"/>
    <s v="Female"/>
    <x v="2"/>
    <x v="5"/>
    <x v="68"/>
    <d v="2024-05-20T00:00:00"/>
    <n v="5"/>
    <x v="6"/>
    <x v="0"/>
    <x v="2"/>
    <s v="No"/>
    <s v="Improved"/>
    <n v="3.6"/>
  </r>
  <r>
    <x v="69"/>
    <x v="36"/>
    <s v="Female"/>
    <x v="2"/>
    <x v="5"/>
    <x v="69"/>
    <d v="2024-05-21T00:00:00"/>
    <n v="5"/>
    <x v="4"/>
    <x v="0"/>
    <x v="2"/>
    <s v="Yes"/>
    <s v="Improved"/>
    <n v="3.6"/>
  </r>
  <r>
    <x v="70"/>
    <x v="37"/>
    <s v="Female"/>
    <x v="2"/>
    <x v="5"/>
    <x v="70"/>
    <d v="2024-05-22T00:00:00"/>
    <n v="5"/>
    <x v="7"/>
    <x v="0"/>
    <x v="2"/>
    <s v="No"/>
    <s v="Improved"/>
    <n v="3.6"/>
  </r>
  <r>
    <x v="71"/>
    <x v="15"/>
    <s v="Female"/>
    <x v="2"/>
    <x v="5"/>
    <x v="71"/>
    <d v="2024-05-23T00:00:00"/>
    <n v="5"/>
    <x v="40"/>
    <x v="0"/>
    <x v="2"/>
    <s v="Yes"/>
    <s v="Improved"/>
    <n v="3.6"/>
  </r>
  <r>
    <x v="72"/>
    <x v="18"/>
    <s v="Female"/>
    <x v="2"/>
    <x v="5"/>
    <x v="72"/>
    <d v="2024-05-31T00:00:00"/>
    <n v="12"/>
    <x v="41"/>
    <x v="0"/>
    <x v="2"/>
    <s v="No"/>
    <s v="Improved"/>
    <n v="3.6"/>
  </r>
  <r>
    <x v="73"/>
    <x v="6"/>
    <s v="Female"/>
    <x v="2"/>
    <x v="5"/>
    <x v="73"/>
    <d v="2024-06-01T00:00:00"/>
    <n v="12"/>
    <x v="4"/>
    <x v="0"/>
    <x v="2"/>
    <s v="Yes"/>
    <s v="Improved"/>
    <n v="3.6"/>
  </r>
  <r>
    <x v="74"/>
    <x v="34"/>
    <s v="Female"/>
    <x v="2"/>
    <x v="5"/>
    <x v="74"/>
    <d v="2024-06-02T00:00:00"/>
    <n v="12"/>
    <x v="20"/>
    <x v="0"/>
    <x v="2"/>
    <s v="Yes"/>
    <s v="Improved"/>
    <n v="3.6"/>
  </r>
  <r>
    <x v="75"/>
    <x v="37"/>
    <s v="Female"/>
    <x v="2"/>
    <x v="5"/>
    <x v="75"/>
    <d v="2024-06-03T00:00:00"/>
    <n v="12"/>
    <x v="42"/>
    <x v="0"/>
    <x v="2"/>
    <s v="Yes"/>
    <s v="Improved"/>
    <n v="3.6"/>
  </r>
  <r>
    <x v="76"/>
    <x v="34"/>
    <s v="Female"/>
    <x v="2"/>
    <x v="5"/>
    <x v="76"/>
    <d v="2024-06-04T00:00:00"/>
    <n v="12"/>
    <x v="21"/>
    <x v="0"/>
    <x v="2"/>
    <s v="No"/>
    <s v="Improved"/>
    <n v="3.6"/>
  </r>
  <r>
    <x v="77"/>
    <x v="35"/>
    <s v="Female"/>
    <x v="2"/>
    <x v="5"/>
    <x v="77"/>
    <d v="2024-06-05T00:00:00"/>
    <n v="12"/>
    <x v="22"/>
    <x v="0"/>
    <x v="2"/>
    <s v="No"/>
    <s v="Improved"/>
    <n v="3.6"/>
  </r>
  <r>
    <x v="78"/>
    <x v="36"/>
    <s v="Female"/>
    <x v="2"/>
    <x v="5"/>
    <x v="78"/>
    <d v="2024-06-06T00:00:00"/>
    <n v="12"/>
    <x v="43"/>
    <x v="0"/>
    <x v="2"/>
    <s v="Yes"/>
    <s v="Improved"/>
    <n v="3.6"/>
  </r>
  <r>
    <x v="79"/>
    <x v="13"/>
    <s v="Female"/>
    <x v="2"/>
    <x v="5"/>
    <x v="79"/>
    <d v="2024-06-07T00:00:00"/>
    <n v="12"/>
    <x v="44"/>
    <x v="0"/>
    <x v="2"/>
    <s v="No"/>
    <s v="Improved"/>
    <n v="3.6"/>
  </r>
  <r>
    <x v="80"/>
    <x v="38"/>
    <s v="Female"/>
    <x v="2"/>
    <x v="5"/>
    <x v="80"/>
    <d v="2024-06-08T00:00:00"/>
    <n v="12"/>
    <x v="0"/>
    <x v="0"/>
    <x v="2"/>
    <s v="Yes"/>
    <s v="Improved"/>
    <n v="3.6"/>
  </r>
  <r>
    <x v="81"/>
    <x v="13"/>
    <s v="Female"/>
    <x v="2"/>
    <x v="5"/>
    <x v="81"/>
    <d v="2024-06-09T00:00:00"/>
    <n v="12"/>
    <x v="45"/>
    <x v="0"/>
    <x v="2"/>
    <s v="No"/>
    <s v="Improved"/>
    <n v="3.6"/>
  </r>
  <r>
    <x v="82"/>
    <x v="18"/>
    <s v="Female"/>
    <x v="2"/>
    <x v="5"/>
    <x v="82"/>
    <d v="2024-06-10T00:00:00"/>
    <n v="12"/>
    <x v="46"/>
    <x v="0"/>
    <x v="2"/>
    <s v="No"/>
    <s v="Improved"/>
    <n v="3.6"/>
  </r>
  <r>
    <x v="83"/>
    <x v="39"/>
    <s v="Female"/>
    <x v="2"/>
    <x v="5"/>
    <x v="83"/>
    <d v="2024-06-14T00:00:00"/>
    <n v="15"/>
    <x v="47"/>
    <x v="0"/>
    <x v="2"/>
    <s v="No"/>
    <s v="Improved"/>
    <n v="3.6"/>
  </r>
  <r>
    <x v="84"/>
    <x v="34"/>
    <s v="Female"/>
    <x v="2"/>
    <x v="5"/>
    <x v="84"/>
    <d v="2024-06-15T00:00:00"/>
    <n v="15"/>
    <x v="48"/>
    <x v="0"/>
    <x v="2"/>
    <s v="Yes"/>
    <s v="Improved"/>
    <n v="3.6"/>
  </r>
  <r>
    <x v="85"/>
    <x v="33"/>
    <s v="Male"/>
    <x v="0"/>
    <x v="6"/>
    <x v="85"/>
    <d v="2024-12-19T00:00:00"/>
    <n v="14"/>
    <x v="0"/>
    <x v="0"/>
    <x v="0"/>
    <s v="No"/>
    <s v="Improved"/>
    <n v="3.6"/>
  </r>
  <r>
    <x v="86"/>
    <x v="6"/>
    <s v="Male"/>
    <x v="0"/>
    <x v="6"/>
    <x v="86"/>
    <d v="2024-12-20T00:00:00"/>
    <n v="14"/>
    <x v="0"/>
    <x v="0"/>
    <x v="0"/>
    <s v="Yes"/>
    <s v="Improved"/>
    <n v="3.6"/>
  </r>
  <r>
    <x v="87"/>
    <x v="34"/>
    <s v="Male"/>
    <x v="0"/>
    <x v="6"/>
    <x v="87"/>
    <d v="2024-12-21T00:00:00"/>
    <n v="14"/>
    <x v="0"/>
    <x v="0"/>
    <x v="0"/>
    <s v="No"/>
    <s v="Improved"/>
    <n v="3.6"/>
  </r>
  <r>
    <x v="88"/>
    <x v="40"/>
    <s v="Male"/>
    <x v="0"/>
    <x v="6"/>
    <x v="88"/>
    <d v="2024-12-22T00:00:00"/>
    <n v="14"/>
    <x v="0"/>
    <x v="0"/>
    <x v="0"/>
    <s v="Yes"/>
    <s v="Improved"/>
    <n v="3.6"/>
  </r>
  <r>
    <x v="89"/>
    <x v="40"/>
    <s v="Male"/>
    <x v="0"/>
    <x v="6"/>
    <x v="89"/>
    <d v="2024-12-23T00:00:00"/>
    <n v="14"/>
    <x v="0"/>
    <x v="0"/>
    <x v="0"/>
    <s v="No"/>
    <s v="Improved"/>
    <n v="3.6"/>
  </r>
  <r>
    <x v="90"/>
    <x v="40"/>
    <s v="Male"/>
    <x v="0"/>
    <x v="6"/>
    <x v="90"/>
    <d v="2024-12-24T00:00:00"/>
    <n v="14"/>
    <x v="0"/>
    <x v="0"/>
    <x v="0"/>
    <s v="No"/>
    <s v="Improved"/>
    <n v="3.6"/>
  </r>
  <r>
    <x v="91"/>
    <x v="40"/>
    <s v="Male"/>
    <x v="0"/>
    <x v="6"/>
    <x v="91"/>
    <d v="2024-12-25T00:00:00"/>
    <n v="14"/>
    <x v="0"/>
    <x v="0"/>
    <x v="0"/>
    <s v="No"/>
    <s v="Improved"/>
    <n v="3.6"/>
  </r>
  <r>
    <x v="92"/>
    <x v="40"/>
    <s v="Male"/>
    <x v="0"/>
    <x v="6"/>
    <x v="92"/>
    <d v="2024-12-26T00:00:00"/>
    <n v="14"/>
    <x v="0"/>
    <x v="0"/>
    <x v="0"/>
    <s v="Yes"/>
    <s v="Improved"/>
    <n v="3.6"/>
  </r>
  <r>
    <x v="93"/>
    <x v="40"/>
    <s v="Male"/>
    <x v="0"/>
    <x v="0"/>
    <x v="93"/>
    <d v="2024-12-27T00:00:00"/>
    <n v="14"/>
    <x v="0"/>
    <x v="0"/>
    <x v="0"/>
    <s v="No"/>
    <s v="Improved"/>
    <n v="3.6"/>
  </r>
  <r>
    <x v="94"/>
    <x v="41"/>
    <s v="Male"/>
    <x v="0"/>
    <x v="0"/>
    <x v="94"/>
    <d v="2024-12-28T00:00:00"/>
    <n v="14"/>
    <x v="0"/>
    <x v="0"/>
    <x v="0"/>
    <s v="Yes"/>
    <s v="Improved"/>
    <n v="3.6"/>
  </r>
  <r>
    <x v="95"/>
    <x v="42"/>
    <s v="Male"/>
    <x v="0"/>
    <x v="0"/>
    <x v="95"/>
    <d v="2024-12-29T00:00:00"/>
    <n v="14"/>
    <x v="0"/>
    <x v="0"/>
    <x v="0"/>
    <s v="No"/>
    <s v="Improved"/>
    <n v="3.6"/>
  </r>
  <r>
    <x v="96"/>
    <x v="42"/>
    <s v="Male"/>
    <x v="0"/>
    <x v="0"/>
    <x v="96"/>
    <d v="2024-12-30T00:00:00"/>
    <n v="14"/>
    <x v="0"/>
    <x v="0"/>
    <x v="0"/>
    <s v="Yes"/>
    <s v="Improved"/>
    <n v="3.6"/>
  </r>
  <r>
    <x v="97"/>
    <x v="41"/>
    <s v="Male"/>
    <x v="0"/>
    <x v="0"/>
    <x v="97"/>
    <d v="2024-12-31T00:00:00"/>
    <n v="14"/>
    <x v="0"/>
    <x v="0"/>
    <x v="0"/>
    <s v="Yes"/>
    <s v="Improved"/>
    <n v="3.6"/>
  </r>
  <r>
    <x v="98"/>
    <x v="43"/>
    <s v="Male"/>
    <x v="0"/>
    <x v="0"/>
    <x v="98"/>
    <d v="2025-01-01T00:00:00"/>
    <n v="14"/>
    <x v="0"/>
    <x v="0"/>
    <x v="0"/>
    <s v="Yes"/>
    <s v="Improved"/>
    <n v="3.6"/>
  </r>
  <r>
    <x v="99"/>
    <x v="42"/>
    <s v="Male"/>
    <x v="0"/>
    <x v="0"/>
    <x v="99"/>
    <d v="2025-01-02T00:00:00"/>
    <n v="14"/>
    <x v="0"/>
    <x v="0"/>
    <x v="0"/>
    <s v="No"/>
    <s v="Improved"/>
    <n v="3.6"/>
  </r>
  <r>
    <x v="100"/>
    <x v="40"/>
    <s v="Male"/>
    <x v="0"/>
    <x v="0"/>
    <x v="100"/>
    <d v="2025-01-03T00:00:00"/>
    <n v="14"/>
    <x v="0"/>
    <x v="0"/>
    <x v="0"/>
    <s v="No"/>
    <s v="Improved"/>
    <n v="3.6"/>
  </r>
  <r>
    <x v="101"/>
    <x v="44"/>
    <s v="Male"/>
    <x v="0"/>
    <x v="0"/>
    <x v="101"/>
    <d v="2025-01-04T00:00:00"/>
    <n v="14"/>
    <x v="0"/>
    <x v="0"/>
    <x v="0"/>
    <s v="Yes"/>
    <s v="Improved"/>
    <n v="3.6"/>
  </r>
  <r>
    <x v="102"/>
    <x v="11"/>
    <s v="Male"/>
    <x v="0"/>
    <x v="0"/>
    <x v="102"/>
    <d v="2025-01-05T00:00:00"/>
    <n v="14"/>
    <x v="0"/>
    <x v="0"/>
    <x v="0"/>
    <s v="No"/>
    <s v="Improved"/>
    <n v="3.6"/>
  </r>
  <r>
    <x v="103"/>
    <x v="7"/>
    <s v="Male"/>
    <x v="0"/>
    <x v="0"/>
    <x v="103"/>
    <d v="2025-01-06T00:00:00"/>
    <n v="14"/>
    <x v="0"/>
    <x v="0"/>
    <x v="0"/>
    <s v="Yes"/>
    <s v="Improved"/>
    <n v="3.6"/>
  </r>
  <r>
    <x v="104"/>
    <x v="7"/>
    <s v="Male"/>
    <x v="0"/>
    <x v="0"/>
    <x v="104"/>
    <d v="2025-01-07T00:00:00"/>
    <n v="14"/>
    <x v="0"/>
    <x v="0"/>
    <x v="0"/>
    <s v="No"/>
    <s v="Improved"/>
    <n v="3.6"/>
  </r>
  <r>
    <x v="105"/>
    <x v="33"/>
    <s v="Male"/>
    <x v="0"/>
    <x v="0"/>
    <x v="105"/>
    <d v="2025-01-08T00:00:00"/>
    <n v="14"/>
    <x v="0"/>
    <x v="0"/>
    <x v="0"/>
    <s v="No"/>
    <s v="Improved"/>
    <n v="3.6"/>
  </r>
  <r>
    <x v="106"/>
    <x v="33"/>
    <s v="Male"/>
    <x v="0"/>
    <x v="0"/>
    <x v="106"/>
    <d v="2025-01-09T00:00:00"/>
    <n v="14"/>
    <x v="0"/>
    <x v="0"/>
    <x v="0"/>
    <s v="No"/>
    <s v="Improved"/>
    <n v="3.6"/>
  </r>
  <r>
    <x v="107"/>
    <x v="14"/>
    <s v="Male"/>
    <x v="0"/>
    <x v="0"/>
    <x v="107"/>
    <d v="2025-01-10T00:00:00"/>
    <n v="14"/>
    <x v="0"/>
    <x v="0"/>
    <x v="0"/>
    <s v="Yes"/>
    <s v="Improved"/>
    <n v="3.6"/>
  </r>
  <r>
    <x v="108"/>
    <x v="33"/>
    <s v="Male"/>
    <x v="0"/>
    <x v="0"/>
    <x v="108"/>
    <d v="2025-01-11T00:00:00"/>
    <n v="14"/>
    <x v="0"/>
    <x v="0"/>
    <x v="0"/>
    <s v="No"/>
    <s v="Improved"/>
    <n v="3.6"/>
  </r>
  <r>
    <x v="109"/>
    <x v="45"/>
    <s v="Male"/>
    <x v="0"/>
    <x v="0"/>
    <x v="109"/>
    <d v="2025-01-12T00:00:00"/>
    <n v="14"/>
    <x v="0"/>
    <x v="0"/>
    <x v="0"/>
    <s v="Yes"/>
    <s v="Improved"/>
    <n v="3.6"/>
  </r>
  <r>
    <x v="110"/>
    <x v="46"/>
    <s v="Male"/>
    <x v="0"/>
    <x v="0"/>
    <x v="110"/>
    <d v="2025-01-13T00:00:00"/>
    <n v="14"/>
    <x v="0"/>
    <x v="0"/>
    <x v="0"/>
    <s v="No"/>
    <s v="Improved"/>
    <n v="3.6"/>
  </r>
  <r>
    <x v="111"/>
    <x v="19"/>
    <s v="Male"/>
    <x v="0"/>
    <x v="0"/>
    <x v="111"/>
    <d v="2025-01-14T00:00:00"/>
    <n v="14"/>
    <x v="0"/>
    <x v="0"/>
    <x v="0"/>
    <s v="Yes"/>
    <s v="Improved"/>
    <n v="3.6"/>
  </r>
  <r>
    <x v="112"/>
    <x v="47"/>
    <s v="Female"/>
    <x v="3"/>
    <x v="7"/>
    <x v="112"/>
    <d v="2025-01-12T00:00:00"/>
    <n v="10"/>
    <x v="49"/>
    <x v="1"/>
    <x v="3"/>
    <s v="No"/>
    <s v="Improved"/>
    <n v="4.5"/>
  </r>
  <r>
    <x v="113"/>
    <x v="31"/>
    <s v="Female"/>
    <x v="4"/>
    <x v="8"/>
    <x v="113"/>
    <d v="2025-01-15T00:00:00"/>
    <n v="5"/>
    <x v="49"/>
    <x v="1"/>
    <x v="4"/>
    <s v="No"/>
    <s v="Improved"/>
    <n v="4"/>
  </r>
  <r>
    <x v="114"/>
    <x v="37"/>
    <s v="Male"/>
    <x v="5"/>
    <x v="9"/>
    <x v="114"/>
    <d v="2025-01-30T00:00:00"/>
    <n v="8"/>
    <x v="50"/>
    <x v="0"/>
    <x v="5"/>
    <s v="No"/>
    <s v="Improved"/>
    <n v="3.5"/>
  </r>
  <r>
    <x v="115"/>
    <x v="48"/>
    <s v="Male"/>
    <x v="6"/>
    <x v="10"/>
    <x v="115"/>
    <d v="2025-01-25T00:00:00"/>
    <n v="0"/>
    <x v="51"/>
    <x v="0"/>
    <x v="6"/>
    <s v="No"/>
    <s v="Improved"/>
    <n v="3.3"/>
  </r>
  <r>
    <x v="116"/>
    <x v="49"/>
    <s v="Female"/>
    <x v="2"/>
    <x v="11"/>
    <x v="116"/>
    <d v="2025-02-10T00:00:00"/>
    <n v="14"/>
    <x v="52"/>
    <x v="1"/>
    <x v="2"/>
    <s v="Yes"/>
    <s v="Improved"/>
    <n v="3.1"/>
  </r>
  <r>
    <x v="117"/>
    <x v="29"/>
    <s v="Male"/>
    <x v="7"/>
    <x v="12"/>
    <x v="117"/>
    <d v="2025-01-31T00:00:00"/>
    <n v="2"/>
    <x v="53"/>
    <x v="2"/>
    <x v="7"/>
    <s v="No"/>
    <s v="Improved"/>
    <n v="3"/>
  </r>
  <r>
    <x v="118"/>
    <x v="12"/>
    <s v="Female"/>
    <x v="8"/>
    <x v="13"/>
    <x v="118"/>
    <d v="2025-02-12T00:00:00"/>
    <n v="13"/>
    <x v="54"/>
    <x v="1"/>
    <x v="8"/>
    <s v="Yes"/>
    <s v="Improved"/>
    <n v="2.9"/>
  </r>
  <r>
    <x v="119"/>
    <x v="50"/>
    <s v="Female"/>
    <x v="7"/>
    <x v="12"/>
    <x v="119"/>
    <d v="2025-02-09T00:00:00"/>
    <n v="5"/>
    <x v="55"/>
    <x v="1"/>
    <x v="7"/>
    <s v="Yes"/>
    <s v="Improved"/>
    <n v="2.7"/>
  </r>
  <r>
    <x v="120"/>
    <x v="51"/>
    <s v="Male"/>
    <x v="4"/>
    <x v="14"/>
    <x v="120"/>
    <d v="2025-02-20T00:00:00"/>
    <n v="13"/>
    <x v="3"/>
    <x v="1"/>
    <x v="4"/>
    <s v="Yes"/>
    <s v="Improved"/>
    <n v="2.5"/>
  </r>
  <r>
    <x v="121"/>
    <x v="18"/>
    <s v="Male"/>
    <x v="8"/>
    <x v="15"/>
    <x v="120"/>
    <d v="2026-02-19T00:00:00"/>
    <n v="12"/>
    <x v="7"/>
    <x v="1"/>
    <x v="8"/>
    <s v="Yes"/>
    <s v="Improved"/>
    <n v="3.8"/>
  </r>
  <r>
    <x v="122"/>
    <x v="52"/>
    <s v="Female"/>
    <x v="6"/>
    <x v="16"/>
    <x v="121"/>
    <d v="2025-02-20T00:00:00"/>
    <n v="6"/>
    <x v="53"/>
    <x v="1"/>
    <x v="6"/>
    <s v="Yes"/>
    <s v="Improved"/>
    <n v="2.2000000000000002"/>
  </r>
  <r>
    <x v="123"/>
    <x v="11"/>
    <s v="Male"/>
    <x v="4"/>
    <x v="8"/>
    <x v="122"/>
    <d v="2025-03-10T00:00:00"/>
    <n v="5"/>
    <x v="56"/>
    <x v="0"/>
    <x v="4"/>
    <s v="No"/>
    <s v="Improved"/>
    <n v="4"/>
  </r>
  <r>
    <x v="124"/>
    <x v="42"/>
    <s v="Female"/>
    <x v="5"/>
    <x v="17"/>
    <x v="123"/>
    <d v="2025-03-12T00:00:00"/>
    <n v="3"/>
    <x v="3"/>
    <x v="1"/>
    <x v="5"/>
    <s v="Yes"/>
    <s v="Improved"/>
    <n v="4"/>
  </r>
  <r>
    <x v="125"/>
    <x v="49"/>
    <s v="Male"/>
    <x v="6"/>
    <x v="18"/>
    <x v="124"/>
    <d v="2025-03-27T00:00:00"/>
    <n v="3"/>
    <x v="34"/>
    <x v="0"/>
    <x v="6"/>
    <s v="No"/>
    <s v="Improved"/>
    <n v="3"/>
  </r>
  <r>
    <x v="126"/>
    <x v="44"/>
    <s v="Male"/>
    <x v="5"/>
    <x v="19"/>
    <x v="125"/>
    <d v="2025-03-30T00:00:00"/>
    <n v="4"/>
    <x v="49"/>
    <x v="2"/>
    <x v="5"/>
    <s v="No"/>
    <s v="Improved"/>
    <n v="5"/>
  </r>
  <r>
    <x v="127"/>
    <x v="41"/>
    <s v="Female"/>
    <x v="7"/>
    <x v="20"/>
    <x v="126"/>
    <d v="2025-04-04T00:00:00"/>
    <n v="4"/>
    <x v="57"/>
    <x v="0"/>
    <x v="7"/>
    <s v="No"/>
    <s v="Improved"/>
    <n v="4"/>
  </r>
  <r>
    <x v="128"/>
    <x v="16"/>
    <s v="Male"/>
    <x v="3"/>
    <x v="21"/>
    <x v="127"/>
    <d v="2025-04-09T00:00:00"/>
    <n v="6"/>
    <x v="58"/>
    <x v="2"/>
    <x v="3"/>
    <s v="Yes"/>
    <s v="Improved"/>
    <n v="4"/>
  </r>
  <r>
    <x v="129"/>
    <x v="25"/>
    <s v="Female"/>
    <x v="9"/>
    <x v="22"/>
    <x v="128"/>
    <d v="2025-04-09T00:00:00"/>
    <n v="5"/>
    <x v="59"/>
    <x v="0"/>
    <x v="9"/>
    <s v="Yes"/>
    <s v="Improved"/>
    <n v="4"/>
  </r>
  <r>
    <x v="130"/>
    <x v="22"/>
    <s v="Female"/>
    <x v="3"/>
    <x v="23"/>
    <x v="129"/>
    <d v="2025-04-12T00:00:00"/>
    <n v="4"/>
    <x v="42"/>
    <x v="0"/>
    <x v="3"/>
    <s v="Yes"/>
    <s v="Improved"/>
    <n v="5"/>
  </r>
  <r>
    <x v="131"/>
    <x v="25"/>
    <s v="Male"/>
    <x v="8"/>
    <x v="24"/>
    <x v="130"/>
    <d v="2025-04-16T00:00:00"/>
    <n v="7"/>
    <x v="60"/>
    <x v="1"/>
    <x v="8"/>
    <s v="No"/>
    <s v="Improved"/>
    <n v="4"/>
  </r>
  <r>
    <x v="132"/>
    <x v="15"/>
    <s v="Female"/>
    <x v="4"/>
    <x v="25"/>
    <x v="131"/>
    <d v="2025-04-20T00:00:00"/>
    <n v="10"/>
    <x v="61"/>
    <x v="0"/>
    <x v="4"/>
    <s v="Yes"/>
    <s v="Improved"/>
    <n v="3"/>
  </r>
  <r>
    <x v="133"/>
    <x v="31"/>
    <s v="Female"/>
    <x v="8"/>
    <x v="26"/>
    <x v="132"/>
    <d v="2025-05-01T00:00:00"/>
    <n v="7"/>
    <x v="43"/>
    <x v="0"/>
    <x v="8"/>
    <s v="No"/>
    <s v="Improved"/>
    <n v="4.5"/>
  </r>
  <r>
    <x v="134"/>
    <x v="53"/>
    <s v="Female"/>
    <x v="9"/>
    <x v="27"/>
    <x v="133"/>
    <d v="2025-05-03T00:00:00"/>
    <n v="6"/>
    <x v="62"/>
    <x v="0"/>
    <x v="9"/>
    <s v="No"/>
    <s v="Improved"/>
    <n v="4.8"/>
  </r>
  <r>
    <x v="135"/>
    <x v="21"/>
    <s v="Male"/>
    <x v="7"/>
    <x v="28"/>
    <x v="134"/>
    <d v="2025-05-04T00:00:00"/>
    <n v="6"/>
    <x v="44"/>
    <x v="2"/>
    <x v="7"/>
    <s v="Yes"/>
    <s v="Improved"/>
    <n v="5"/>
  </r>
  <r>
    <x v="136"/>
    <x v="29"/>
    <s v="Male"/>
    <x v="4"/>
    <x v="29"/>
    <x v="135"/>
    <d v="2025-05-10T00:00:00"/>
    <n v="9"/>
    <x v="63"/>
    <x v="1"/>
    <x v="4"/>
    <s v="Yes"/>
    <s v="Improved"/>
    <n v="4.5"/>
  </r>
  <r>
    <x v="137"/>
    <x v="32"/>
    <s v="Female"/>
    <x v="9"/>
    <x v="30"/>
    <x v="136"/>
    <d v="2025-05-05T00:00:00"/>
    <n v="2"/>
    <x v="62"/>
    <x v="0"/>
    <x v="9"/>
    <s v="Yes"/>
    <s v="Improved"/>
    <n v="4"/>
  </r>
  <r>
    <x v="138"/>
    <x v="25"/>
    <s v="Male"/>
    <x v="3"/>
    <x v="12"/>
    <x v="137"/>
    <d v="2025-05-08T00:00:00"/>
    <n v="3"/>
    <x v="20"/>
    <x v="0"/>
    <x v="3"/>
    <s v="Yes"/>
    <s v="Improved"/>
    <n v="4"/>
  </r>
  <r>
    <x v="139"/>
    <x v="21"/>
    <s v="Female"/>
    <x v="1"/>
    <x v="31"/>
    <x v="138"/>
    <d v="2025-05-18T00:00:00"/>
    <n v="11"/>
    <x v="34"/>
    <x v="0"/>
    <x v="1"/>
    <s v="No"/>
    <s v="Improved"/>
    <n v="4.3"/>
  </r>
  <r>
    <x v="140"/>
    <x v="25"/>
    <s v="Female"/>
    <x v="3"/>
    <x v="32"/>
    <x v="139"/>
    <d v="2025-05-19T00:00:00"/>
    <n v="11"/>
    <x v="21"/>
    <x v="2"/>
    <x v="3"/>
    <s v="Yes"/>
    <s v="Improved"/>
    <n v="4.4000000000000004"/>
  </r>
  <r>
    <x v="141"/>
    <x v="23"/>
    <s v="Female"/>
    <x v="9"/>
    <x v="33"/>
    <x v="140"/>
    <d v="2025-05-20T00:00:00"/>
    <n v="6"/>
    <x v="7"/>
    <x v="0"/>
    <x v="9"/>
    <s v="Yes"/>
    <s v="Improved"/>
    <n v="4"/>
  </r>
  <r>
    <x v="142"/>
    <x v="15"/>
    <s v="Male"/>
    <x v="3"/>
    <x v="34"/>
    <x v="141"/>
    <d v="2025-05-30T00:00:00"/>
    <n v="16"/>
    <x v="64"/>
    <x v="2"/>
    <x v="3"/>
    <s v="Yes"/>
    <s v="Improved"/>
    <n v="3"/>
  </r>
  <r>
    <x v="143"/>
    <x v="25"/>
    <s v="Female"/>
    <x v="2"/>
    <x v="5"/>
    <x v="142"/>
    <d v="2025-05-28T00:00:00"/>
    <n v="9"/>
    <x v="65"/>
    <x v="0"/>
    <x v="2"/>
    <s v="Yes"/>
    <s v="Improved"/>
    <n v="3"/>
  </r>
  <r>
    <x v="144"/>
    <x v="24"/>
    <s v="Female"/>
    <x v="8"/>
    <x v="13"/>
    <x v="143"/>
    <d v="2025-05-28T00:00:00"/>
    <n v="7"/>
    <x v="20"/>
    <x v="1"/>
    <x v="8"/>
    <s v="No"/>
    <s v="Improved"/>
    <n v="4"/>
  </r>
  <r>
    <x v="145"/>
    <x v="40"/>
    <s v="Male"/>
    <x v="3"/>
    <x v="35"/>
    <x v="144"/>
    <d v="2025-06-03T00:00:00"/>
    <n v="7"/>
    <x v="57"/>
    <x v="1"/>
    <x v="3"/>
    <s v="No"/>
    <s v="Improved"/>
    <n v="2"/>
  </r>
  <r>
    <x v="146"/>
    <x v="25"/>
    <s v="Female"/>
    <x v="3"/>
    <x v="12"/>
    <x v="145"/>
    <d v="2025-06-01T00:00:00"/>
    <n v="3"/>
    <x v="43"/>
    <x v="1"/>
    <x v="3"/>
    <s v="Yes"/>
    <s v="Improved"/>
    <n v="3"/>
  </r>
  <r>
    <x v="147"/>
    <x v="25"/>
    <s v="Male"/>
    <x v="2"/>
    <x v="36"/>
    <x v="146"/>
    <d v="2026-06-05T00:00:00"/>
    <n v="5"/>
    <x v="36"/>
    <x v="2"/>
    <x v="2"/>
    <s v="Yes"/>
    <s v="Improved"/>
    <n v="5"/>
  </r>
  <r>
    <x v="148"/>
    <x v="54"/>
    <s v="Female"/>
    <x v="3"/>
    <x v="21"/>
    <x v="147"/>
    <d v="2025-06-09T00:00:00"/>
    <n v="8"/>
    <x v="45"/>
    <x v="0"/>
    <x v="3"/>
    <s v="Yes"/>
    <s v="Improved"/>
    <n v="4"/>
  </r>
  <r>
    <x v="149"/>
    <x v="42"/>
    <s v="Female"/>
    <x v="6"/>
    <x v="37"/>
    <x v="148"/>
    <d v="2025-06-05T00:00:00"/>
    <n v="1"/>
    <x v="20"/>
    <x v="1"/>
    <x v="6"/>
    <s v="Yes"/>
    <s v="Improved"/>
    <n v="4"/>
  </r>
  <r>
    <x v="150"/>
    <x v="25"/>
    <s v="Male"/>
    <x v="7"/>
    <x v="28"/>
    <x v="149"/>
    <d v="2025-06-08T00:00:00"/>
    <n v="2"/>
    <x v="7"/>
    <x v="2"/>
    <x v="7"/>
    <s v="No"/>
    <s v="Improved"/>
    <n v="4"/>
  </r>
  <r>
    <x v="151"/>
    <x v="11"/>
    <s v="Female"/>
    <x v="3"/>
    <x v="38"/>
    <x v="150"/>
    <d v="2025-06-20T00:00:00"/>
    <n v="11"/>
    <x v="66"/>
    <x v="1"/>
    <x v="3"/>
    <s v="Yes"/>
    <s v="Improved"/>
    <n v="3"/>
  </r>
  <r>
    <x v="152"/>
    <x v="7"/>
    <s v="Male"/>
    <x v="4"/>
    <x v="39"/>
    <x v="151"/>
    <d v="2025-06-20T00:00:00"/>
    <n v="7"/>
    <x v="0"/>
    <x v="1"/>
    <x v="4"/>
    <s v="Yes"/>
    <s v="Improved"/>
    <n v="4"/>
  </r>
  <r>
    <x v="153"/>
    <x v="25"/>
    <s v="Female"/>
    <x v="2"/>
    <x v="36"/>
    <x v="152"/>
    <d v="2025-06-30T00:00:00"/>
    <n v="6"/>
    <x v="67"/>
    <x v="2"/>
    <x v="2"/>
    <s v="Yes"/>
    <s v="Improved"/>
    <n v="5"/>
  </r>
  <r>
    <x v="154"/>
    <x v="55"/>
    <s v="Female"/>
    <x v="7"/>
    <x v="40"/>
    <x v="153"/>
    <d v="2025-06-30T00:00:00"/>
    <n v="2"/>
    <x v="68"/>
    <x v="0"/>
    <x v="7"/>
    <s v="No"/>
    <s v="Improved"/>
    <n v="4"/>
  </r>
  <r>
    <x v="155"/>
    <x v="18"/>
    <s v="Female"/>
    <x v="9"/>
    <x v="41"/>
    <x v="154"/>
    <d v="2025-07-03T00:00:00"/>
    <n v="5"/>
    <x v="69"/>
    <x v="1"/>
    <x v="9"/>
    <s v="Yes"/>
    <s v="Improved"/>
    <n v="4"/>
  </r>
  <r>
    <x v="156"/>
    <x v="25"/>
    <s v="Female"/>
    <x v="8"/>
    <x v="42"/>
    <x v="155"/>
    <d v="2025-07-11T00:00:00"/>
    <n v="7"/>
    <x v="57"/>
    <x v="2"/>
    <x v="8"/>
    <s v="Yes"/>
    <s v="Improved"/>
    <n v="3"/>
  </r>
  <r>
    <x v="157"/>
    <x v="17"/>
    <s v="Male"/>
    <x v="3"/>
    <x v="43"/>
    <x v="156"/>
    <d v="2025-07-13T00:00:00"/>
    <n v="7"/>
    <x v="43"/>
    <x v="1"/>
    <x v="3"/>
    <s v="No"/>
    <s v="Improved"/>
    <n v="4"/>
  </r>
  <r>
    <x v="158"/>
    <x v="56"/>
    <s v="Male"/>
    <x v="7"/>
    <x v="20"/>
    <x v="157"/>
    <d v="2025-07-20T00:00:00"/>
    <n v="11"/>
    <x v="44"/>
    <x v="1"/>
    <x v="7"/>
    <s v="Yes"/>
    <s v="Improved"/>
    <n v="3"/>
  </r>
  <r>
    <x v="159"/>
    <x v="46"/>
    <s v="Female"/>
    <x v="2"/>
    <x v="44"/>
    <x v="158"/>
    <d v="2025-07-27T00:00:00"/>
    <n v="10"/>
    <x v="0"/>
    <x v="0"/>
    <x v="2"/>
    <s v="Yes"/>
    <s v="Improved"/>
    <n v="3"/>
  </r>
  <r>
    <x v="160"/>
    <x v="25"/>
    <s v="Male"/>
    <x v="1"/>
    <x v="31"/>
    <x v="159"/>
    <d v="2025-07-25T00:00:00"/>
    <n v="6"/>
    <x v="59"/>
    <x v="0"/>
    <x v="1"/>
    <s v="Yes"/>
    <s v="Improved"/>
    <n v="5"/>
  </r>
  <r>
    <x v="161"/>
    <x v="25"/>
    <s v="Male"/>
    <x v="5"/>
    <x v="45"/>
    <x v="160"/>
    <d v="2025-07-30T00:00:00"/>
    <n v="9"/>
    <x v="50"/>
    <x v="0"/>
    <x v="5"/>
    <s v="No"/>
    <s v="Improved"/>
    <n v="3"/>
  </r>
  <r>
    <x v="162"/>
    <x v="11"/>
    <s v="Female"/>
    <x v="7"/>
    <x v="20"/>
    <x v="161"/>
    <d v="2025-07-31T00:00:00"/>
    <n v="7"/>
    <x v="70"/>
    <x v="0"/>
    <x v="7"/>
    <s v="Yes"/>
    <s v="Improved"/>
    <n v="3"/>
  </r>
  <r>
    <x v="163"/>
    <x v="17"/>
    <s v="Male"/>
    <x v="3"/>
    <x v="46"/>
    <x v="162"/>
    <d v="2025-08-06T00:00:00"/>
    <n v="9"/>
    <x v="3"/>
    <x v="0"/>
    <x v="3"/>
    <s v="No"/>
    <s v="Improved"/>
    <n v="4"/>
  </r>
  <r>
    <x v="164"/>
    <x v="15"/>
    <s v="Male"/>
    <x v="2"/>
    <x v="47"/>
    <x v="163"/>
    <d v="2025-08-10T00:00:00"/>
    <n v="7"/>
    <x v="45"/>
    <x v="2"/>
    <x v="2"/>
    <s v="Yes"/>
    <s v="Improved"/>
    <n v="4"/>
  </r>
  <r>
    <x v="165"/>
    <x v="25"/>
    <s v="Female"/>
    <x v="2"/>
    <x v="5"/>
    <x v="164"/>
    <d v="2025-08-10T00:00:00"/>
    <n v="3"/>
    <x v="45"/>
    <x v="2"/>
    <x v="2"/>
    <s v="No"/>
    <s v="Improved"/>
    <n v="3"/>
  </r>
  <r>
    <x v="166"/>
    <x v="6"/>
    <s v="Male"/>
    <x v="5"/>
    <x v="48"/>
    <x v="165"/>
    <d v="2025-08-20T00:00:00"/>
    <n v="11"/>
    <x v="44"/>
    <x v="1"/>
    <x v="5"/>
    <s v="No"/>
    <s v="Improved"/>
    <n v="4"/>
  </r>
  <r>
    <x v="167"/>
    <x v="24"/>
    <s v="Female"/>
    <x v="9"/>
    <x v="41"/>
    <x v="166"/>
    <d v="2025-08-28T00:00:00"/>
    <n v="11"/>
    <x v="63"/>
    <x v="1"/>
    <x v="9"/>
    <s v="Yes"/>
    <s v="Improved"/>
    <n v="3"/>
  </r>
  <r>
    <x v="168"/>
    <x v="57"/>
    <s v="Female"/>
    <x v="8"/>
    <x v="49"/>
    <x v="167"/>
    <d v="2025-08-25T00:00:00"/>
    <n v="7"/>
    <x v="71"/>
    <x v="0"/>
    <x v="8"/>
    <s v="Yes"/>
    <s v="Improved"/>
    <n v="4"/>
  </r>
  <r>
    <x v="169"/>
    <x v="25"/>
    <s v="Female"/>
    <x v="7"/>
    <x v="50"/>
    <x v="168"/>
    <d v="2025-09-15T00:00:00"/>
    <n v="5"/>
    <x v="53"/>
    <x v="1"/>
    <x v="7"/>
    <s v="No"/>
    <s v="Improved"/>
    <n v="3"/>
  </r>
  <r>
    <x v="170"/>
    <x v="15"/>
    <s v="Male"/>
    <x v="3"/>
    <x v="21"/>
    <x v="169"/>
    <d v="2025-09-20T00:00:00"/>
    <n v="9"/>
    <x v="72"/>
    <x v="2"/>
    <x v="3"/>
    <s v="Yes"/>
    <s v="Improved"/>
    <n v="4"/>
  </r>
  <r>
    <x v="171"/>
    <x v="4"/>
    <s v="Male"/>
    <x v="3"/>
    <x v="7"/>
    <x v="170"/>
    <d v="2025-09-29T00:00:00"/>
    <n v="13"/>
    <x v="63"/>
    <x v="1"/>
    <x v="3"/>
    <s v="Yes"/>
    <s v="Improved"/>
    <n v="3"/>
  </r>
  <r>
    <x v="172"/>
    <x v="25"/>
    <s v="Female"/>
    <x v="7"/>
    <x v="12"/>
    <x v="171"/>
    <d v="2025-09-24T00:00:00"/>
    <n v="8"/>
    <x v="0"/>
    <x v="0"/>
    <x v="7"/>
    <s v="Yes"/>
    <s v="Improved"/>
    <n v="4"/>
  </r>
  <r>
    <x v="173"/>
    <x v="22"/>
    <s v="Female"/>
    <x v="9"/>
    <x v="51"/>
    <x v="172"/>
    <d v="2025-09-25T00:00:00"/>
    <n v="7"/>
    <x v="53"/>
    <x v="0"/>
    <x v="9"/>
    <s v="No"/>
    <s v="Improved"/>
    <n v="4"/>
  </r>
  <r>
    <x v="174"/>
    <x v="58"/>
    <s v="Female"/>
    <x v="0"/>
    <x v="52"/>
    <x v="173"/>
    <d v="2025-10-02T00:00:00"/>
    <n v="9"/>
    <x v="7"/>
    <x v="1"/>
    <x v="0"/>
    <s v="No"/>
    <s v="Improved"/>
    <n v="4"/>
  </r>
  <r>
    <x v="175"/>
    <x v="25"/>
    <s v="Female"/>
    <x v="1"/>
    <x v="3"/>
    <x v="174"/>
    <d v="2025-09-30T00:00:00"/>
    <n v="6"/>
    <x v="4"/>
    <x v="2"/>
    <x v="1"/>
    <s v="No"/>
    <s v="Improved"/>
    <n v="5"/>
  </r>
  <r>
    <x v="176"/>
    <x v="53"/>
    <s v="Female"/>
    <x v="9"/>
    <x v="30"/>
    <x v="175"/>
    <d v="2025-10-03T00:00:00"/>
    <n v="7"/>
    <x v="4"/>
    <x v="1"/>
    <x v="9"/>
    <s v="Yes"/>
    <s v="Improved"/>
    <n v="3"/>
  </r>
  <r>
    <x v="177"/>
    <x v="7"/>
    <s v="Male"/>
    <x v="5"/>
    <x v="9"/>
    <x v="176"/>
    <d v="2025-10-03T00:00:00"/>
    <n v="2"/>
    <x v="73"/>
    <x v="1"/>
    <x v="5"/>
    <s v="Yes"/>
    <s v="Improved"/>
    <n v="3"/>
  </r>
  <r>
    <x v="178"/>
    <x v="59"/>
    <s v="Male"/>
    <x v="3"/>
    <x v="53"/>
    <x v="177"/>
    <d v="2025-10-10T00:00:00"/>
    <n v="10"/>
    <x v="46"/>
    <x v="2"/>
    <x v="3"/>
    <s v="Yes"/>
    <s v="Improved"/>
    <n v="4"/>
  </r>
  <r>
    <x v="179"/>
    <x v="53"/>
    <s v="Female"/>
    <x v="9"/>
    <x v="30"/>
    <x v="178"/>
    <d v="2025-10-09T00:00:00"/>
    <n v="7"/>
    <x v="74"/>
    <x v="2"/>
    <x v="9"/>
    <s v="Yes"/>
    <s v="Improved"/>
    <n v="5"/>
  </r>
  <r>
    <x v="180"/>
    <x v="16"/>
    <s v="Male"/>
    <x v="4"/>
    <x v="54"/>
    <x v="179"/>
    <d v="2025-10-12T00:00:00"/>
    <n v="9"/>
    <x v="75"/>
    <x v="0"/>
    <x v="4"/>
    <s v="No"/>
    <s v="Improved"/>
    <n v="4"/>
  </r>
  <r>
    <x v="181"/>
    <x v="18"/>
    <s v="Male"/>
    <x v="3"/>
    <x v="55"/>
    <x v="180"/>
    <d v="2025-10-26T00:00:00"/>
    <n v="10"/>
    <x v="76"/>
    <x v="1"/>
    <x v="3"/>
    <s v="Yes"/>
    <s v="Improved"/>
    <n v="4"/>
  </r>
  <r>
    <x v="182"/>
    <x v="25"/>
    <s v="Female"/>
    <x v="4"/>
    <x v="56"/>
    <x v="181"/>
    <d v="2025-10-25T00:00:00"/>
    <n v="7"/>
    <x v="4"/>
    <x v="2"/>
    <x v="4"/>
    <s v="No"/>
    <s v="Improved"/>
    <n v="5"/>
  </r>
  <r>
    <x v="183"/>
    <x v="53"/>
    <s v="Male"/>
    <x v="2"/>
    <x v="5"/>
    <x v="182"/>
    <d v="2025-10-25T00:00:00"/>
    <n v="2"/>
    <x v="77"/>
    <x v="2"/>
    <x v="2"/>
    <s v="No"/>
    <s v="Improved"/>
    <n v="4"/>
  </r>
  <r>
    <x v="184"/>
    <x v="32"/>
    <s v="Male"/>
    <x v="8"/>
    <x v="57"/>
    <x v="183"/>
    <d v="2025-10-31T00:00:00"/>
    <n v="7"/>
    <x v="78"/>
    <x v="2"/>
    <x v="8"/>
    <s v="No"/>
    <s v="Improved"/>
    <n v="3"/>
  </r>
  <r>
    <x v="185"/>
    <x v="25"/>
    <s v="Male"/>
    <x v="8"/>
    <x v="24"/>
    <x v="184"/>
    <d v="2025-11-01T00:00:00"/>
    <n v="4"/>
    <x v="46"/>
    <x v="0"/>
    <x v="8"/>
    <s v="Yes"/>
    <s v="Improved"/>
    <n v="4.9000000000000004"/>
  </r>
  <r>
    <x v="186"/>
    <x v="31"/>
    <s v="Male"/>
    <x v="0"/>
    <x v="6"/>
    <x v="185"/>
    <d v="2025-11-02T00:00:00"/>
    <n v="4"/>
    <x v="79"/>
    <x v="1"/>
    <x v="0"/>
    <s v="No"/>
    <s v="Improved"/>
    <n v="4.8"/>
  </r>
  <r>
    <x v="187"/>
    <x v="17"/>
    <s v="Female"/>
    <x v="8"/>
    <x v="13"/>
    <x v="186"/>
    <d v="2025-11-05T00:00:00"/>
    <n v="6"/>
    <x v="80"/>
    <x v="1"/>
    <x v="8"/>
    <s v="Yes"/>
    <s v="Improved"/>
    <n v="4.7"/>
  </r>
  <r>
    <x v="188"/>
    <x v="60"/>
    <s v="Female"/>
    <x v="9"/>
    <x v="30"/>
    <x v="187"/>
    <d v="2025-11-09T00:00:00"/>
    <n v="10"/>
    <x v="81"/>
    <x v="1"/>
    <x v="9"/>
    <s v="Yes"/>
    <s v="Improved"/>
    <n v="4.5999999999999996"/>
  </r>
  <r>
    <x v="189"/>
    <x v="25"/>
    <s v="Female"/>
    <x v="8"/>
    <x v="58"/>
    <x v="188"/>
    <d v="2025-11-19T00:00:00"/>
    <n v="14"/>
    <x v="82"/>
    <x v="2"/>
    <x v="8"/>
    <s v="Yes"/>
    <s v="Improved"/>
    <n v="3.6"/>
  </r>
  <r>
    <x v="190"/>
    <x v="41"/>
    <s v="Male"/>
    <x v="4"/>
    <x v="59"/>
    <x v="189"/>
    <d v="2025-11-10T00:00:00"/>
    <n v="3"/>
    <x v="0"/>
    <x v="2"/>
    <x v="4"/>
    <s v="No"/>
    <s v="Improved"/>
    <n v="3.7"/>
  </r>
  <r>
    <x v="191"/>
    <x v="25"/>
    <s v="Male"/>
    <x v="0"/>
    <x v="6"/>
    <x v="190"/>
    <d v="2025-11-20T00:00:00"/>
    <n v="10"/>
    <x v="83"/>
    <x v="2"/>
    <x v="0"/>
    <s v="Yes"/>
    <s v="Improved"/>
    <n v="3"/>
  </r>
  <r>
    <x v="192"/>
    <x v="17"/>
    <s v="Female"/>
    <x v="9"/>
    <x v="30"/>
    <x v="191"/>
    <d v="2025-11-24T00:00:00"/>
    <n v="9"/>
    <x v="84"/>
    <x v="0"/>
    <x v="9"/>
    <s v="Yes"/>
    <s v="Improved"/>
    <n v="3"/>
  </r>
  <r>
    <x v="193"/>
    <x v="16"/>
    <s v="Male"/>
    <x v="4"/>
    <x v="8"/>
    <x v="192"/>
    <d v="2025-11-25T00:00:00"/>
    <n v="4"/>
    <x v="85"/>
    <x v="2"/>
    <x v="4"/>
    <s v="Yes"/>
    <s v="Improved"/>
    <n v="3"/>
  </r>
  <r>
    <x v="194"/>
    <x v="61"/>
    <s v="Female"/>
    <x v="4"/>
    <x v="8"/>
    <x v="193"/>
    <d v="2025-11-27T00:00:00"/>
    <n v="4"/>
    <x v="0"/>
    <x v="1"/>
    <x v="4"/>
    <s v="No"/>
    <s v="Improved"/>
    <n v="5"/>
  </r>
  <r>
    <x v="195"/>
    <x v="25"/>
    <s v="Male"/>
    <x v="2"/>
    <x v="5"/>
    <x v="194"/>
    <d v="2025-12-01T00:00:00"/>
    <n v="7"/>
    <x v="45"/>
    <x v="0"/>
    <x v="2"/>
    <s v="No"/>
    <s v="Improved"/>
    <n v="5"/>
  </r>
  <r>
    <x v="196"/>
    <x v="62"/>
    <s v="Female"/>
    <x v="4"/>
    <x v="8"/>
    <x v="195"/>
    <d v="2025-12-04T00:00:00"/>
    <n v="8"/>
    <x v="86"/>
    <x v="0"/>
    <x v="4"/>
    <s v="No"/>
    <s v="Improved"/>
    <n v="4"/>
  </r>
  <r>
    <x v="197"/>
    <x v="14"/>
    <s v="Female"/>
    <x v="2"/>
    <x v="60"/>
    <x v="196"/>
    <d v="2025-12-15T00:00:00"/>
    <n v="16"/>
    <x v="64"/>
    <x v="1"/>
    <x v="8"/>
    <s v="Yes"/>
    <s v="Improved"/>
    <n v="4"/>
  </r>
  <r>
    <x v="198"/>
    <x v="25"/>
    <s v="Male"/>
    <x v="5"/>
    <x v="61"/>
    <x v="197"/>
    <d v="2025-12-10T00:00:00"/>
    <n v="10"/>
    <x v="60"/>
    <x v="1"/>
    <x v="5"/>
    <s v="Yes"/>
    <s v="Improved"/>
    <n v="2"/>
  </r>
  <r>
    <x v="199"/>
    <x v="14"/>
    <s v="Male"/>
    <x v="7"/>
    <x v="12"/>
    <x v="198"/>
    <d v="2025-12-20T00:00:00"/>
    <n v="9"/>
    <x v="45"/>
    <x v="1"/>
    <x v="7"/>
    <s v="No"/>
    <s v="Improved"/>
    <n v="1"/>
  </r>
  <r>
    <x v="200"/>
    <x v="63"/>
    <s v="Female"/>
    <x v="1"/>
    <x v="4"/>
    <x v="199"/>
    <d v="2025-12-26T00:00:00"/>
    <n v="4"/>
    <x v="87"/>
    <x v="1"/>
    <x v="3"/>
    <s v="No"/>
    <s v="Improved"/>
    <n v="3"/>
  </r>
  <r>
    <x v="201"/>
    <x v="25"/>
    <s v="Male"/>
    <x v="3"/>
    <x v="7"/>
    <x v="200"/>
    <d v="2025-12-29T00:00:00"/>
    <n v="4"/>
    <x v="6"/>
    <x v="0"/>
    <x v="3"/>
    <s v="No"/>
    <s v="Improved"/>
    <n v="4.0999999999999996"/>
  </r>
  <r>
    <x v="202"/>
    <x v="14"/>
    <s v="Male"/>
    <x v="2"/>
    <x v="36"/>
    <x v="201"/>
    <d v="2025-12-31T00:00:00"/>
    <n v="5"/>
    <x v="22"/>
    <x v="1"/>
    <x v="2"/>
    <s v="Yes"/>
    <s v="Improved"/>
    <n v="4.2"/>
  </r>
  <r>
    <x v="203"/>
    <x v="44"/>
    <s v="Female"/>
    <x v="4"/>
    <x v="8"/>
    <x v="202"/>
    <d v="2026-01-05T00:00:00"/>
    <n v="6"/>
    <x v="6"/>
    <x v="0"/>
    <x v="4"/>
    <s v="Yes"/>
    <s v="Improved"/>
    <n v="5"/>
  </r>
  <r>
    <x v="204"/>
    <x v="63"/>
    <s v="Female"/>
    <x v="3"/>
    <x v="7"/>
    <x v="203"/>
    <d v="2026-01-10T00:00:00"/>
    <n v="11"/>
    <x v="43"/>
    <x v="0"/>
    <x v="3"/>
    <s v="Yes"/>
    <s v="Improved"/>
    <n v="4.5999999999999996"/>
  </r>
  <r>
    <x v="205"/>
    <x v="64"/>
    <s v="Female"/>
    <x v="2"/>
    <x v="62"/>
    <x v="204"/>
    <d v="2026-01-15T00:00:00"/>
    <n v="15"/>
    <x v="48"/>
    <x v="1"/>
    <x v="2"/>
    <s v="No"/>
    <s v="Improved"/>
    <n v="4.7"/>
  </r>
  <r>
    <x v="206"/>
    <x v="25"/>
    <s v="Female"/>
    <x v="4"/>
    <x v="8"/>
    <x v="205"/>
    <d v="2026-01-13T00:00:00"/>
    <n v="12"/>
    <x v="47"/>
    <x v="2"/>
    <x v="4"/>
    <s v="No"/>
    <s v="Improved"/>
    <n v="4"/>
  </r>
  <r>
    <x v="207"/>
    <x v="19"/>
    <s v="Male"/>
    <x v="7"/>
    <x v="63"/>
    <x v="206"/>
    <d v="2026-01-20T00:00:00"/>
    <n v="18"/>
    <x v="88"/>
    <x v="2"/>
    <x v="7"/>
    <s v="Yes"/>
    <s v="Improved"/>
    <n v="3"/>
  </r>
  <r>
    <x v="208"/>
    <x v="25"/>
    <s v="Female"/>
    <x v="2"/>
    <x v="60"/>
    <x v="207"/>
    <d v="2026-01-20T00:00:00"/>
    <n v="14"/>
    <x v="4"/>
    <x v="2"/>
    <x v="2"/>
    <s v="No"/>
    <s v="Improved"/>
    <n v="2.5"/>
  </r>
  <r>
    <x v="209"/>
    <x v="41"/>
    <s v="Female"/>
    <x v="3"/>
    <x v="64"/>
    <x v="208"/>
    <d v="2026-01-11T00:00:00"/>
    <n v="4"/>
    <x v="40"/>
    <x v="2"/>
    <x v="3"/>
    <s v="No"/>
    <s v="Improved"/>
    <n v="2.9"/>
  </r>
  <r>
    <x v="210"/>
    <x v="33"/>
    <s v="Female"/>
    <x v="4"/>
    <x v="8"/>
    <x v="209"/>
    <d v="2026-01-12T00:00:00"/>
    <n v="2"/>
    <x v="4"/>
    <x v="0"/>
    <x v="4"/>
    <s v="Yes"/>
    <s v="Improved"/>
    <n v="3"/>
  </r>
  <r>
    <x v="211"/>
    <x v="25"/>
    <s v="Male"/>
    <x v="5"/>
    <x v="48"/>
    <x v="210"/>
    <d v="2026-01-24T00:00:00"/>
    <n v="13"/>
    <x v="47"/>
    <x v="0"/>
    <x v="5"/>
    <s v="No"/>
    <s v="Improved"/>
    <n v="3"/>
  </r>
  <r>
    <x v="212"/>
    <x v="25"/>
    <s v="Female"/>
    <x v="9"/>
    <x v="30"/>
    <x v="211"/>
    <d v="2026-01-20T00:00:00"/>
    <n v="5"/>
    <x v="44"/>
    <x v="0"/>
    <x v="9"/>
    <s v="No"/>
    <s v="Improved"/>
    <n v="3"/>
  </r>
  <r>
    <x v="213"/>
    <x v="6"/>
    <s v="Female"/>
    <x v="2"/>
    <x v="65"/>
    <x v="212"/>
    <d v="2026-01-21T00:00:00"/>
    <n v="5"/>
    <x v="87"/>
    <x v="0"/>
    <x v="2"/>
    <s v="No"/>
    <s v="Improved"/>
    <n v="4"/>
  </r>
  <r>
    <x v="214"/>
    <x v="5"/>
    <s v="Female"/>
    <x v="2"/>
    <x v="60"/>
    <x v="213"/>
    <d v="2026-01-29T00:00:00"/>
    <n v="12"/>
    <x v="47"/>
    <x v="0"/>
    <x v="2"/>
    <s v="Yes"/>
    <s v="Improved"/>
    <n v="5"/>
  </r>
  <r>
    <x v="215"/>
    <x v="19"/>
    <s v="Male"/>
    <x v="3"/>
    <x v="7"/>
    <x v="214"/>
    <d v="2026-01-26T00:00:00"/>
    <n v="8"/>
    <x v="46"/>
    <x v="0"/>
    <x v="3"/>
    <s v="No"/>
    <s v="Improved"/>
    <n v="5"/>
  </r>
  <r>
    <x v="216"/>
    <x v="44"/>
    <s v="Male"/>
    <x v="3"/>
    <x v="7"/>
    <x v="215"/>
    <d v="2026-02-05T00:00:00"/>
    <n v="11"/>
    <x v="40"/>
    <x v="1"/>
    <x v="3"/>
    <s v="Yes"/>
    <s v="Improved"/>
    <n v="4.5"/>
  </r>
  <r>
    <x v="217"/>
    <x v="25"/>
    <s v="Male"/>
    <x v="4"/>
    <x v="8"/>
    <x v="216"/>
    <d v="2026-02-10T00:00:00"/>
    <n v="15"/>
    <x v="48"/>
    <x v="1"/>
    <x v="4"/>
    <s v="No"/>
    <s v="Improved"/>
    <n v="4.5999999999999996"/>
  </r>
  <r>
    <x v="218"/>
    <x v="25"/>
    <s v="Male"/>
    <x v="4"/>
    <x v="66"/>
    <x v="217"/>
    <d v="2026-02-16T00:00:00"/>
    <n v="13"/>
    <x v="0"/>
    <x v="1"/>
    <x v="4"/>
    <s v="Yes"/>
    <s v="Improved"/>
    <n v="3.4"/>
  </r>
  <r>
    <x v="219"/>
    <x v="25"/>
    <s v="Female"/>
    <x v="3"/>
    <x v="7"/>
    <x v="218"/>
    <d v="2026-02-15T00:00:00"/>
    <n v="9"/>
    <x v="45"/>
    <x v="0"/>
    <x v="3"/>
    <s v="No"/>
    <s v="Improved"/>
    <n v="3.7"/>
  </r>
  <r>
    <x v="220"/>
    <x v="7"/>
    <s v="Male"/>
    <x v="2"/>
    <x v="62"/>
    <x v="219"/>
    <d v="2026-02-20T00:00:00"/>
    <n v="12"/>
    <x v="4"/>
    <x v="1"/>
    <x v="2"/>
    <s v="No"/>
    <s v="Improved"/>
    <n v="3.9"/>
  </r>
  <r>
    <x v="221"/>
    <x v="25"/>
    <s v="Male"/>
    <x v="5"/>
    <x v="45"/>
    <x v="220"/>
    <d v="2026-02-19T00:00:00"/>
    <n v="10"/>
    <x v="36"/>
    <x v="1"/>
    <x v="5"/>
    <s v="Yes"/>
    <s v="Improved"/>
    <n v="2.4"/>
  </r>
  <r>
    <x v="222"/>
    <x v="40"/>
    <s v="Female"/>
    <x v="2"/>
    <x v="67"/>
    <x v="221"/>
    <d v="2026-02-20T00:00:00"/>
    <n v="10"/>
    <x v="0"/>
    <x v="1"/>
    <x v="2"/>
    <s v="No"/>
    <s v="Improved"/>
    <n v="3"/>
  </r>
  <r>
    <x v="223"/>
    <x v="25"/>
    <s v="Female"/>
    <x v="5"/>
    <x v="68"/>
    <x v="222"/>
    <d v="2026-02-21T00:00:00"/>
    <n v="10"/>
    <x v="45"/>
    <x v="1"/>
    <x v="5"/>
    <s v="Yes"/>
    <s v="Improved"/>
    <n v="3"/>
  </r>
  <r>
    <x v="224"/>
    <x v="63"/>
    <s v="Male"/>
    <x v="8"/>
    <x v="58"/>
    <x v="223"/>
    <d v="2026-02-24T00:00:00"/>
    <n v="10"/>
    <x v="89"/>
    <x v="2"/>
    <x v="8"/>
    <s v="No"/>
    <s v="Improved"/>
    <n v="5"/>
  </r>
  <r>
    <x v="225"/>
    <x v="25"/>
    <s v="Male"/>
    <x v="2"/>
    <x v="36"/>
    <x v="224"/>
    <d v="2026-03-01T00:00:00"/>
    <n v="2"/>
    <x v="90"/>
    <x v="0"/>
    <x v="2"/>
    <s v="Yes"/>
    <s v="Improved"/>
    <n v="4"/>
  </r>
  <r>
    <x v="226"/>
    <x v="11"/>
    <s v="Male"/>
    <x v="0"/>
    <x v="52"/>
    <x v="225"/>
    <d v="2026-03-09T00:00:00"/>
    <n v="8"/>
    <x v="50"/>
    <x v="0"/>
    <x v="0"/>
    <s v="No"/>
    <s v="Improved"/>
    <n v="4"/>
  </r>
  <r>
    <x v="227"/>
    <x v="42"/>
    <s v="Female"/>
    <x v="3"/>
    <x v="21"/>
    <x v="226"/>
    <d v="2026-03-10T00:00:00"/>
    <n v="7"/>
    <x v="4"/>
    <x v="1"/>
    <x v="3"/>
    <s v="Yes"/>
    <s v="Improved"/>
    <n v="2"/>
  </r>
  <r>
    <x v="228"/>
    <x v="33"/>
    <s v="Male"/>
    <x v="2"/>
    <x v="65"/>
    <x v="227"/>
    <d v="2026-03-20T00:00:00"/>
    <n v="15"/>
    <x v="66"/>
    <x v="0"/>
    <x v="2"/>
    <s v="Yes"/>
    <s v="Improved"/>
    <n v="2"/>
  </r>
  <r>
    <x v="229"/>
    <x v="25"/>
    <s v="Female"/>
    <x v="0"/>
    <x v="6"/>
    <x v="228"/>
    <d v="2026-03-19T00:00:00"/>
    <n v="11"/>
    <x v="71"/>
    <x v="2"/>
    <x v="0"/>
    <s v="No"/>
    <s v="Improved"/>
    <n v="5"/>
  </r>
  <r>
    <x v="230"/>
    <x v="34"/>
    <s v="Female"/>
    <x v="7"/>
    <x v="12"/>
    <x v="229"/>
    <d v="2026-03-15T00:00:00"/>
    <n v="6"/>
    <x v="0"/>
    <x v="2"/>
    <x v="7"/>
    <s v="Yes"/>
    <s v="Improved"/>
    <n v="4"/>
  </r>
  <r>
    <x v="231"/>
    <x v="21"/>
    <s v="Male"/>
    <x v="7"/>
    <x v="12"/>
    <x v="230"/>
    <d v="2026-03-20T00:00:00"/>
    <n v="7"/>
    <x v="2"/>
    <x v="0"/>
    <x v="7"/>
    <s v="Yes"/>
    <s v="Improved"/>
    <n v="2"/>
  </r>
  <r>
    <x v="232"/>
    <x v="5"/>
    <s v="Female"/>
    <x v="2"/>
    <x v="62"/>
    <x v="231"/>
    <d v="2026-03-25T00:00:00"/>
    <n v="11"/>
    <x v="57"/>
    <x v="0"/>
    <x v="2"/>
    <s v="Yes"/>
    <s v="Improved"/>
    <n v="3"/>
  </r>
  <r>
    <x v="233"/>
    <x v="25"/>
    <s v="Male"/>
    <x v="4"/>
    <x v="8"/>
    <x v="232"/>
    <d v="2026-03-21T00:00:00"/>
    <n v="5"/>
    <x v="4"/>
    <x v="0"/>
    <x v="4"/>
    <s v="No"/>
    <s v="Improved"/>
    <n v="5"/>
  </r>
  <r>
    <x v="234"/>
    <x v="11"/>
    <s v="Male"/>
    <x v="4"/>
    <x v="8"/>
    <x v="233"/>
    <d v="2026-03-25T00:00:00"/>
    <n v="6"/>
    <x v="43"/>
    <x v="1"/>
    <x v="4"/>
    <s v="No"/>
    <s v="Improved"/>
    <n v="5"/>
  </r>
  <r>
    <x v="235"/>
    <x v="7"/>
    <s v="Female"/>
    <x v="7"/>
    <x v="63"/>
    <x v="234"/>
    <d v="2026-04-10T00:00:00"/>
    <n v="11"/>
    <x v="13"/>
    <x v="0"/>
    <x v="7"/>
    <s v="Yes"/>
    <s v="Improved"/>
    <n v="3.5"/>
  </r>
  <r>
    <x v="236"/>
    <x v="14"/>
    <s v="Female"/>
    <x v="2"/>
    <x v="62"/>
    <x v="235"/>
    <d v="2026-04-11T00:00:00"/>
    <n v="11"/>
    <x v="91"/>
    <x v="0"/>
    <x v="2"/>
    <s v="No"/>
    <s v="Improved"/>
    <n v="3.6"/>
  </r>
  <r>
    <x v="237"/>
    <x v="63"/>
    <s v="Male"/>
    <x v="3"/>
    <x v="64"/>
    <x v="236"/>
    <d v="2026-04-10T00:00:00"/>
    <n v="10"/>
    <x v="92"/>
    <x v="0"/>
    <x v="3"/>
    <s v="No"/>
    <s v="Improved"/>
    <n v="3.5"/>
  </r>
  <r>
    <x v="238"/>
    <x v="65"/>
    <s v="Male"/>
    <x v="5"/>
    <x v="61"/>
    <x v="237"/>
    <d v="2026-04-15T00:00:00"/>
    <n v="13"/>
    <x v="43"/>
    <x v="2"/>
    <x v="5"/>
    <s v="Yes"/>
    <s v="Improved"/>
    <n v="1"/>
  </r>
  <r>
    <x v="239"/>
    <x v="66"/>
    <s v="Female"/>
    <x v="2"/>
    <x v="69"/>
    <x v="238"/>
    <d v="2026-04-20T00:00:00"/>
    <n v="17"/>
    <x v="93"/>
    <x v="2"/>
    <x v="2"/>
    <s v="No"/>
    <s v="Improved"/>
    <n v="3.7"/>
  </r>
  <r>
    <x v="240"/>
    <x v="67"/>
    <s v="Male"/>
    <x v="1"/>
    <x v="3"/>
    <x v="239"/>
    <d v="2026-04-08T00:00:00"/>
    <n v="4"/>
    <x v="94"/>
    <x v="0"/>
    <x v="1"/>
    <s v="Yes"/>
    <s v="Improved"/>
    <n v="3"/>
  </r>
  <r>
    <x v="241"/>
    <x v="68"/>
    <s v="Female"/>
    <x v="7"/>
    <x v="40"/>
    <x v="240"/>
    <d v="2026-04-10T00:00:00"/>
    <n v="4"/>
    <x v="47"/>
    <x v="2"/>
    <x v="7"/>
    <s v="No"/>
    <s v="Improved"/>
    <n v="5"/>
  </r>
  <r>
    <x v="242"/>
    <x v="33"/>
    <s v="Female"/>
    <x v="3"/>
    <x v="35"/>
    <x v="241"/>
    <d v="2026-04-15T00:00:00"/>
    <n v="8"/>
    <x v="89"/>
    <x v="2"/>
    <x v="3"/>
    <s v="No"/>
    <s v="Improved"/>
    <n v="4"/>
  </r>
  <r>
    <x v="243"/>
    <x v="7"/>
    <s v="Female"/>
    <x v="3"/>
    <x v="70"/>
    <x v="242"/>
    <d v="2026-04-20T00:00:00"/>
    <n v="12"/>
    <x v="95"/>
    <x v="2"/>
    <x v="3"/>
    <s v="Yes"/>
    <s v="Improved"/>
    <n v="5"/>
  </r>
  <r>
    <x v="244"/>
    <x v="11"/>
    <s v="Female"/>
    <x v="4"/>
    <x v="8"/>
    <x v="243"/>
    <d v="2026-04-15T00:00:00"/>
    <n v="5"/>
    <x v="93"/>
    <x v="2"/>
    <x v="4"/>
    <s v="Yes"/>
    <s v="Improved"/>
    <n v="4"/>
  </r>
  <r>
    <x v="245"/>
    <x v="34"/>
    <s v="Female"/>
    <x v="3"/>
    <x v="7"/>
    <x v="244"/>
    <d v="2026-04-19T00:00:00"/>
    <n v="7"/>
    <x v="46"/>
    <x v="2"/>
    <x v="3"/>
    <s v="Yes"/>
    <s v="Improved"/>
    <n v="2"/>
  </r>
  <r>
    <x v="246"/>
    <x v="12"/>
    <s v="Male"/>
    <x v="3"/>
    <x v="70"/>
    <x v="245"/>
    <d v="2026-04-20T00:00:00"/>
    <n v="6"/>
    <x v="47"/>
    <x v="2"/>
    <x v="3"/>
    <s v="Yes"/>
    <s v="Improved"/>
    <n v="4"/>
  </r>
  <r>
    <x v="247"/>
    <x v="6"/>
    <s v="Male"/>
    <x v="3"/>
    <x v="46"/>
    <x v="246"/>
    <d v="2026-04-27T00:00:00"/>
    <n v="11"/>
    <x v="96"/>
    <x v="2"/>
    <x v="3"/>
    <s v="No"/>
    <s v="Improved"/>
    <n v="4"/>
  </r>
  <r>
    <x v="248"/>
    <x v="19"/>
    <s v="Female"/>
    <x v="3"/>
    <x v="53"/>
    <x v="247"/>
    <d v="2026-04-29T00:00:00"/>
    <n v="11"/>
    <x v="97"/>
    <x v="2"/>
    <x v="3"/>
    <s v="No"/>
    <s v="Improved"/>
    <n v="4"/>
  </r>
  <r>
    <x v="249"/>
    <x v="19"/>
    <s v="Male"/>
    <x v="3"/>
    <x v="71"/>
    <x v="248"/>
    <d v="2026-05-10T00:00:00"/>
    <n v="4"/>
    <x v="7"/>
    <x v="0"/>
    <x v="3"/>
    <s v="No"/>
    <s v="Improved"/>
    <n v="4.3"/>
  </r>
  <r>
    <x v="250"/>
    <x v="18"/>
    <s v="Female"/>
    <x v="5"/>
    <x v="45"/>
    <x v="249"/>
    <d v="2026-05-20T00:00:00"/>
    <n v="8"/>
    <x v="98"/>
    <x v="0"/>
    <x v="5"/>
    <s v="Yes"/>
    <s v="Improved"/>
    <n v="5"/>
  </r>
  <r>
    <x v="251"/>
    <x v="6"/>
    <s v="Female"/>
    <x v="5"/>
    <x v="45"/>
    <x v="250"/>
    <d v="2026-05-20T00:00:00"/>
    <n v="5"/>
    <x v="44"/>
    <x v="0"/>
    <x v="5"/>
    <s v="Yes"/>
    <s v="Improved"/>
    <n v="4"/>
  </r>
  <r>
    <x v="252"/>
    <x v="14"/>
    <s v="Male"/>
    <x v="5"/>
    <x v="72"/>
    <x v="251"/>
    <d v="2026-05-29T00:00:00"/>
    <n v="11"/>
    <x v="46"/>
    <x v="0"/>
    <x v="5"/>
    <s v="No"/>
    <s v="Improved"/>
    <n v="2"/>
  </r>
  <r>
    <x v="253"/>
    <x v="7"/>
    <s v="Male"/>
    <x v="5"/>
    <x v="45"/>
    <x v="252"/>
    <d v="2026-05-20T00:00:00"/>
    <n v="1"/>
    <x v="99"/>
    <x v="0"/>
    <x v="5"/>
    <s v="No"/>
    <s v="Improved"/>
    <n v="3"/>
  </r>
  <r>
    <x v="254"/>
    <x v="6"/>
    <s v="Male"/>
    <x v="5"/>
    <x v="61"/>
    <x v="253"/>
    <d v="2026-05-30T00:00:00"/>
    <n v="10"/>
    <x v="32"/>
    <x v="0"/>
    <x v="5"/>
    <s v="Yes"/>
    <s v="Improved"/>
    <n v="4"/>
  </r>
  <r>
    <x v="255"/>
    <x v="34"/>
    <s v="Female"/>
    <x v="5"/>
    <x v="48"/>
    <x v="254"/>
    <d v="2026-05-30T00:00:00"/>
    <n v="9"/>
    <x v="100"/>
    <x v="0"/>
    <x v="5"/>
    <s v="No"/>
    <s v="Improved"/>
    <n v="5"/>
  </r>
  <r>
    <x v="256"/>
    <x v="40"/>
    <s v="Female"/>
    <x v="5"/>
    <x v="45"/>
    <x v="255"/>
    <d v="2026-05-31T00:00:00"/>
    <n v="9"/>
    <x v="43"/>
    <x v="0"/>
    <x v="5"/>
    <s v="Yes"/>
    <s v="Improved"/>
    <n v="5"/>
  </r>
  <r>
    <x v="257"/>
    <x v="11"/>
    <s v="Female"/>
    <x v="5"/>
    <x v="45"/>
    <x v="256"/>
    <d v="2026-05-28T00:00:00"/>
    <n v="4"/>
    <x v="0"/>
    <x v="0"/>
    <x v="5"/>
    <s v="Yes"/>
    <s v="Improved"/>
    <n v="4"/>
  </r>
  <r>
    <x v="258"/>
    <x v="17"/>
    <s v="Female"/>
    <x v="5"/>
    <x v="45"/>
    <x v="257"/>
    <d v="2025-06-01T00:00:00"/>
    <n v="7"/>
    <x v="43"/>
    <x v="0"/>
    <x v="5"/>
    <s v="Yes"/>
    <s v="Improved"/>
    <n v="4"/>
  </r>
  <r>
    <x v="259"/>
    <x v="18"/>
    <s v="Female"/>
    <x v="5"/>
    <x v="48"/>
    <x v="258"/>
    <d v="2025-06-02T00:00:00"/>
    <n v="7"/>
    <x v="101"/>
    <x v="0"/>
    <x v="5"/>
    <s v="Yes"/>
    <s v="Improved"/>
    <n v="4"/>
  </r>
  <r>
    <x v="260"/>
    <x v="25"/>
    <s v="Female"/>
    <x v="1"/>
    <x v="3"/>
    <x v="259"/>
    <d v="2026-07-09T00:00:00"/>
    <n v="19"/>
    <x v="36"/>
    <x v="0"/>
    <x v="1"/>
    <s v="No"/>
    <s v="Improved"/>
    <n v="5"/>
  </r>
  <r>
    <x v="261"/>
    <x v="34"/>
    <s v="Female"/>
    <x v="1"/>
    <x v="2"/>
    <x v="260"/>
    <d v="2026-07-10T00:00:00"/>
    <n v="19"/>
    <x v="85"/>
    <x v="0"/>
    <x v="1"/>
    <s v="Yes"/>
    <s v="Improved"/>
    <n v="4"/>
  </r>
  <r>
    <x v="262"/>
    <x v="69"/>
    <s v="Female"/>
    <x v="1"/>
    <x v="3"/>
    <x v="261"/>
    <d v="2026-07-11T00:00:00"/>
    <n v="19"/>
    <x v="102"/>
    <x v="0"/>
    <x v="1"/>
    <s v="No"/>
    <s v="Improved"/>
    <m/>
  </r>
  <r>
    <x v="263"/>
    <x v="18"/>
    <s v="Female"/>
    <x v="1"/>
    <x v="4"/>
    <x v="262"/>
    <d v="2026-07-12T00:00:00"/>
    <n v="19"/>
    <x v="69"/>
    <x v="0"/>
    <x v="1"/>
    <s v="Yes"/>
    <s v="Improved"/>
    <n v="5"/>
  </r>
  <r>
    <x v="264"/>
    <x v="41"/>
    <s v="Male"/>
    <x v="1"/>
    <x v="1"/>
    <x v="263"/>
    <d v="2026-07-13T00:00:00"/>
    <n v="19"/>
    <x v="59"/>
    <x v="0"/>
    <x v="1"/>
    <s v="Yes"/>
    <s v="Improved"/>
    <n v="3"/>
  </r>
  <r>
    <x v="265"/>
    <x v="17"/>
    <s v="Male"/>
    <x v="1"/>
    <x v="3"/>
    <x v="264"/>
    <d v="2026-07-14T00:00:00"/>
    <n v="19"/>
    <x v="103"/>
    <x v="0"/>
    <x v="1"/>
    <s v="Yes"/>
    <s v="Improved"/>
    <n v="5"/>
  </r>
  <r>
    <x v="266"/>
    <x v="21"/>
    <s v="Female"/>
    <x v="1"/>
    <x v="1"/>
    <x v="265"/>
    <d v="2026-07-15T00:00:00"/>
    <n v="19"/>
    <x v="6"/>
    <x v="0"/>
    <x v="1"/>
    <s v="No"/>
    <s v="Improved"/>
    <n v="4"/>
  </r>
  <r>
    <x v="267"/>
    <x v="18"/>
    <s v="Male"/>
    <x v="1"/>
    <x v="3"/>
    <x v="266"/>
    <d v="2026-07-16T00:00:00"/>
    <n v="19"/>
    <x v="4"/>
    <x v="0"/>
    <x v="1"/>
    <s v="No"/>
    <s v="Improved"/>
    <n v="5"/>
  </r>
  <r>
    <x v="268"/>
    <x v="41"/>
    <s v="Female"/>
    <x v="1"/>
    <x v="3"/>
    <x v="267"/>
    <d v="2026-07-17T00:00:00"/>
    <n v="19"/>
    <x v="104"/>
    <x v="0"/>
    <x v="1"/>
    <s v="Yes"/>
    <s v="Improved"/>
    <n v="4"/>
  </r>
  <r>
    <x v="269"/>
    <x v="18"/>
    <s v="Female"/>
    <x v="1"/>
    <x v="3"/>
    <x v="268"/>
    <d v="2026-07-18T00:00:00"/>
    <n v="19"/>
    <x v="105"/>
    <x v="0"/>
    <x v="1"/>
    <s v="No"/>
    <s v="Improved"/>
    <n v="33"/>
  </r>
  <r>
    <x v="270"/>
    <x v="39"/>
    <s v="Female"/>
    <x v="1"/>
    <x v="3"/>
    <x v="269"/>
    <d v="2026-07-19T00:00:00"/>
    <n v="19"/>
    <x v="42"/>
    <x v="0"/>
    <x v="1"/>
    <s v="Yes"/>
    <s v="Improved"/>
    <n v="2"/>
  </r>
  <r>
    <x v="271"/>
    <x v="70"/>
    <s v="Female"/>
    <x v="1"/>
    <x v="3"/>
    <x v="270"/>
    <d v="2026-07-20T00:00:00"/>
    <n v="19"/>
    <x v="22"/>
    <x v="0"/>
    <x v="1"/>
    <s v="Yes"/>
    <s v="Improved"/>
    <m/>
  </r>
  <r>
    <x v="272"/>
    <x v="14"/>
    <s v="Female"/>
    <x v="1"/>
    <x v="3"/>
    <x v="271"/>
    <d v="2026-07-21T00:00:00"/>
    <n v="19"/>
    <x v="106"/>
    <x v="0"/>
    <x v="1"/>
    <s v="No"/>
    <s v="Improved"/>
    <n v="3"/>
  </r>
  <r>
    <x v="273"/>
    <x v="7"/>
    <s v="Female"/>
    <x v="1"/>
    <x v="3"/>
    <x v="272"/>
    <d v="2026-07-22T00:00:00"/>
    <n v="19"/>
    <x v="107"/>
    <x v="0"/>
    <x v="1"/>
    <s v="No"/>
    <s v="Improved"/>
    <n v="4"/>
  </r>
  <r>
    <x v="274"/>
    <x v="14"/>
    <s v="Female"/>
    <x v="1"/>
    <x v="1"/>
    <x v="273"/>
    <d v="2026-08-08T00:00:00"/>
    <n v="19"/>
    <x v="108"/>
    <x v="1"/>
    <x v="1"/>
    <s v="No"/>
    <s v="Improved"/>
    <n v="3"/>
  </r>
  <r>
    <x v="275"/>
    <x v="14"/>
    <s v="Female"/>
    <x v="1"/>
    <x v="1"/>
    <x v="274"/>
    <d v="2026-08-09T00:00:00"/>
    <n v="19"/>
    <x v="20"/>
    <x v="1"/>
    <x v="1"/>
    <s v="Yes"/>
    <s v="Improved"/>
    <n v="4"/>
  </r>
  <r>
    <x v="276"/>
    <x v="33"/>
    <s v="Female"/>
    <x v="1"/>
    <x v="1"/>
    <x v="275"/>
    <d v="2026-08-10T00:00:00"/>
    <n v="19"/>
    <x v="85"/>
    <x v="1"/>
    <x v="1"/>
    <s v="No"/>
    <s v="Improved"/>
    <n v="4"/>
  </r>
  <r>
    <x v="277"/>
    <x v="34"/>
    <s v="Female"/>
    <x v="1"/>
    <x v="1"/>
    <x v="276"/>
    <d v="2026-08-11T00:00:00"/>
    <n v="19"/>
    <x v="1"/>
    <x v="1"/>
    <x v="1"/>
    <s v="Yes"/>
    <s v="Improved"/>
    <n v="4"/>
  </r>
  <r>
    <x v="278"/>
    <x v="13"/>
    <s v="Female"/>
    <x v="1"/>
    <x v="1"/>
    <x v="277"/>
    <d v="2026-08-12T00:00:00"/>
    <n v="19"/>
    <x v="87"/>
    <x v="1"/>
    <x v="1"/>
    <s v="Yes"/>
    <s v="Improved"/>
    <n v="4"/>
  </r>
  <r>
    <x v="279"/>
    <x v="12"/>
    <s v="Female"/>
    <x v="1"/>
    <x v="1"/>
    <x v="278"/>
    <d v="2026-08-13T00:00:00"/>
    <n v="19"/>
    <x v="40"/>
    <x v="1"/>
    <x v="1"/>
    <s v="Yes"/>
    <s v="Improved"/>
    <n v="4"/>
  </r>
  <r>
    <x v="280"/>
    <x v="16"/>
    <s v="Female"/>
    <x v="1"/>
    <x v="1"/>
    <x v="279"/>
    <d v="2026-08-14T00:00:00"/>
    <n v="19"/>
    <x v="109"/>
    <x v="1"/>
    <x v="1"/>
    <s v="No"/>
    <s v="Improved"/>
    <n v="4"/>
  </r>
  <r>
    <x v="281"/>
    <x v="18"/>
    <s v="Female"/>
    <x v="1"/>
    <x v="1"/>
    <x v="280"/>
    <d v="2026-08-15T00:00:00"/>
    <n v="19"/>
    <x v="4"/>
    <x v="1"/>
    <x v="1"/>
    <s v="No"/>
    <s v="Improved"/>
    <n v="4"/>
  </r>
  <r>
    <x v="282"/>
    <x v="7"/>
    <s v="Female"/>
    <x v="1"/>
    <x v="1"/>
    <x v="281"/>
    <d v="2026-08-16T00:00:00"/>
    <n v="19"/>
    <x v="0"/>
    <x v="1"/>
    <x v="1"/>
    <s v="Yes"/>
    <s v="Improved"/>
    <n v="4"/>
  </r>
  <r>
    <x v="283"/>
    <x v="11"/>
    <s v="Female"/>
    <x v="1"/>
    <x v="1"/>
    <x v="282"/>
    <d v="2026-08-17T00:00:00"/>
    <n v="19"/>
    <x v="58"/>
    <x v="1"/>
    <x v="1"/>
    <s v="No"/>
    <s v="Improved"/>
    <n v="4"/>
  </r>
  <r>
    <x v="284"/>
    <x v="34"/>
    <s v="Female"/>
    <x v="1"/>
    <x v="1"/>
    <x v="283"/>
    <d v="2026-08-18T00:00:00"/>
    <n v="19"/>
    <x v="101"/>
    <x v="1"/>
    <x v="1"/>
    <s v="Yes"/>
    <s v="Improved"/>
    <n v="4"/>
  </r>
  <r>
    <x v="285"/>
    <x v="13"/>
    <s v="Female"/>
    <x v="1"/>
    <x v="1"/>
    <x v="284"/>
    <d v="2026-08-19T00:00:00"/>
    <n v="19"/>
    <x v="110"/>
    <x v="1"/>
    <x v="1"/>
    <s v="Yes"/>
    <s v="Improved"/>
    <n v="4"/>
  </r>
  <r>
    <x v="286"/>
    <x v="15"/>
    <s v="Female"/>
    <x v="1"/>
    <x v="1"/>
    <x v="285"/>
    <d v="2026-08-20T00:00:00"/>
    <n v="19"/>
    <x v="111"/>
    <x v="1"/>
    <x v="1"/>
    <s v="No"/>
    <s v="Improved"/>
    <n v="4"/>
  </r>
  <r>
    <x v="287"/>
    <x v="17"/>
    <s v="Female"/>
    <x v="1"/>
    <x v="1"/>
    <x v="286"/>
    <d v="2026-08-21T00:00:00"/>
    <n v="19"/>
    <x v="112"/>
    <x v="1"/>
    <x v="1"/>
    <s v="No"/>
    <s v="Improved"/>
    <n v="4"/>
  </r>
  <r>
    <x v="288"/>
    <x v="6"/>
    <s v="Female"/>
    <x v="1"/>
    <x v="1"/>
    <x v="287"/>
    <d v="2026-08-22T00:00:00"/>
    <n v="19"/>
    <x v="87"/>
    <x v="1"/>
    <x v="1"/>
    <s v="Yes"/>
    <s v="Improved"/>
    <n v="4"/>
  </r>
  <r>
    <x v="289"/>
    <x v="40"/>
    <s v="Female"/>
    <x v="1"/>
    <x v="1"/>
    <x v="288"/>
    <d v="2026-08-23T00:00:00"/>
    <n v="19"/>
    <x v="7"/>
    <x v="1"/>
    <x v="1"/>
    <s v="No"/>
    <s v="Improved"/>
    <n v="4"/>
  </r>
  <r>
    <x v="290"/>
    <x v="41"/>
    <s v="Female"/>
    <x v="1"/>
    <x v="1"/>
    <x v="289"/>
    <d v="2026-08-24T00:00:00"/>
    <n v="19"/>
    <x v="85"/>
    <x v="1"/>
    <x v="1"/>
    <s v="Yes"/>
    <s v="Improved"/>
    <n v="4"/>
  </r>
  <r>
    <x v="291"/>
    <x v="42"/>
    <s v="Female"/>
    <x v="1"/>
    <x v="1"/>
    <x v="290"/>
    <d v="2026-08-25T00:00:00"/>
    <n v="19"/>
    <x v="113"/>
    <x v="1"/>
    <x v="1"/>
    <s v="No"/>
    <s v="Improved"/>
    <n v="4"/>
  </r>
  <r>
    <x v="292"/>
    <x v="43"/>
    <s v="Female"/>
    <x v="1"/>
    <x v="1"/>
    <x v="291"/>
    <d v="2026-08-26T00:00:00"/>
    <n v="19"/>
    <x v="114"/>
    <x v="1"/>
    <x v="1"/>
    <s v="Yes"/>
    <s v="Improved"/>
    <n v="4"/>
  </r>
  <r>
    <x v="293"/>
    <x v="42"/>
    <s v="Female"/>
    <x v="1"/>
    <x v="1"/>
    <x v="292"/>
    <d v="2026-08-27T00:00:00"/>
    <n v="19"/>
    <x v="67"/>
    <x v="1"/>
    <x v="1"/>
    <s v="Yes"/>
    <s v="Improved"/>
    <n v="4"/>
  </r>
  <r>
    <x v="294"/>
    <x v="41"/>
    <s v="Female"/>
    <x v="1"/>
    <x v="1"/>
    <x v="293"/>
    <d v="2026-08-28T00:00:00"/>
    <n v="19"/>
    <x v="115"/>
    <x v="1"/>
    <x v="1"/>
    <s v="Yes"/>
    <s v="Improved"/>
    <n v="4"/>
  </r>
  <r>
    <x v="295"/>
    <x v="44"/>
    <s v="Female"/>
    <x v="1"/>
    <x v="1"/>
    <x v="294"/>
    <d v="2026-08-29T00:00:00"/>
    <n v="19"/>
    <x v="106"/>
    <x v="1"/>
    <x v="1"/>
    <s v="No"/>
    <s v="Improved"/>
    <n v="4"/>
  </r>
  <r>
    <x v="296"/>
    <x v="55"/>
    <s v="Female"/>
    <x v="1"/>
    <x v="1"/>
    <x v="295"/>
    <d v="2026-08-21T00:00:00"/>
    <n v="10"/>
    <x v="72"/>
    <x v="1"/>
    <x v="1"/>
    <s v="No"/>
    <s v="Improved"/>
    <n v="4"/>
  </r>
  <r>
    <x v="297"/>
    <x v="71"/>
    <s v="Female"/>
    <x v="1"/>
    <x v="1"/>
    <x v="296"/>
    <d v="2026-08-22T00:00:00"/>
    <n v="10"/>
    <x v="116"/>
    <x v="1"/>
    <x v="1"/>
    <s v="Yes"/>
    <s v="Improved"/>
    <n v="4"/>
  </r>
  <r>
    <x v="298"/>
    <x v="61"/>
    <s v="Female"/>
    <x v="1"/>
    <x v="1"/>
    <x v="297"/>
    <d v="2026-08-23T00:00:00"/>
    <n v="10"/>
    <x v="7"/>
    <x v="1"/>
    <x v="1"/>
    <s v="No"/>
    <s v="Improved"/>
    <n v="4"/>
  </r>
  <r>
    <x v="299"/>
    <x v="72"/>
    <s v="Male"/>
    <x v="0"/>
    <x v="0"/>
    <x v="298"/>
    <d v="2023-01-19T00:00:00"/>
    <n v="5"/>
    <x v="0"/>
    <x v="0"/>
    <x v="0"/>
    <s v="No"/>
    <s v="Recovered"/>
    <n v="3.6"/>
  </r>
  <r>
    <x v="300"/>
    <x v="71"/>
    <s v="Male"/>
    <x v="0"/>
    <x v="0"/>
    <x v="299"/>
    <d v="2023-01-20T00:00:00"/>
    <n v="5"/>
    <x v="82"/>
    <x v="0"/>
    <x v="0"/>
    <s v="Yes"/>
    <s v="Recovered"/>
    <n v="3.6"/>
  </r>
  <r>
    <x v="301"/>
    <x v="44"/>
    <s v="Male"/>
    <x v="0"/>
    <x v="0"/>
    <x v="300"/>
    <d v="2023-01-21T00:00:00"/>
    <n v="5"/>
    <x v="82"/>
    <x v="0"/>
    <x v="0"/>
    <s v="Yes"/>
    <s v="Recovered"/>
    <n v="3.6"/>
  </r>
  <r>
    <x v="302"/>
    <x v="73"/>
    <s v="Male"/>
    <x v="0"/>
    <x v="0"/>
    <x v="301"/>
    <d v="2023-01-22T00:00:00"/>
    <n v="5"/>
    <x v="82"/>
    <x v="0"/>
    <x v="0"/>
    <s v="Yes"/>
    <s v="Recovered"/>
    <n v="3.6"/>
  </r>
  <r>
    <x v="303"/>
    <x v="71"/>
    <s v="Male"/>
    <x v="0"/>
    <x v="0"/>
    <x v="302"/>
    <d v="2023-01-23T00:00:00"/>
    <n v="5"/>
    <x v="82"/>
    <x v="0"/>
    <x v="0"/>
    <s v="No"/>
    <s v="Recovered"/>
    <n v="3.6"/>
  </r>
  <r>
    <x v="304"/>
    <x v="74"/>
    <s v="Male"/>
    <x v="0"/>
    <x v="0"/>
    <x v="303"/>
    <d v="2023-01-24T00:00:00"/>
    <n v="5"/>
    <x v="82"/>
    <x v="0"/>
    <x v="0"/>
    <s v="No"/>
    <s v="Recovered"/>
    <n v="3.6"/>
  </r>
  <r>
    <x v="305"/>
    <x v="75"/>
    <s v="Male"/>
    <x v="0"/>
    <x v="0"/>
    <x v="304"/>
    <d v="2023-01-25T00:00:00"/>
    <n v="5"/>
    <x v="82"/>
    <x v="0"/>
    <x v="0"/>
    <s v="Yes"/>
    <s v="Recovered"/>
    <n v="3.6"/>
  </r>
  <r>
    <x v="306"/>
    <x v="76"/>
    <s v="Male"/>
    <x v="0"/>
    <x v="0"/>
    <x v="305"/>
    <d v="2023-01-26T00:00:00"/>
    <n v="5"/>
    <x v="82"/>
    <x v="0"/>
    <x v="0"/>
    <s v="No"/>
    <s v="Recovered"/>
    <n v="3.6"/>
  </r>
  <r>
    <x v="307"/>
    <x v="77"/>
    <s v="Male"/>
    <x v="0"/>
    <x v="0"/>
    <x v="306"/>
    <d v="2023-01-27T00:00:00"/>
    <n v="5"/>
    <x v="82"/>
    <x v="0"/>
    <x v="0"/>
    <s v="Yes"/>
    <s v="Recovered"/>
    <n v="3.6"/>
  </r>
  <r>
    <x v="308"/>
    <x v="58"/>
    <s v="Male"/>
    <x v="0"/>
    <x v="0"/>
    <x v="307"/>
    <d v="2023-01-28T00:00:00"/>
    <n v="5"/>
    <x v="82"/>
    <x v="0"/>
    <x v="0"/>
    <m/>
    <s v="Recovered"/>
    <n v="3.6"/>
  </r>
  <r>
    <x v="309"/>
    <x v="33"/>
    <s v="Male"/>
    <x v="0"/>
    <x v="0"/>
    <x v="308"/>
    <d v="2023-01-29T00:00:00"/>
    <n v="5"/>
    <x v="82"/>
    <x v="0"/>
    <x v="0"/>
    <s v="No"/>
    <s v="Recovered"/>
    <n v="3.6"/>
  </r>
  <r>
    <x v="310"/>
    <x v="14"/>
    <s v="Male"/>
    <x v="0"/>
    <x v="0"/>
    <x v="309"/>
    <d v="2023-01-30T00:00:00"/>
    <n v="5"/>
    <x v="82"/>
    <x v="0"/>
    <x v="0"/>
    <s v="No"/>
    <s v="Recovered"/>
    <n v="3.6"/>
  </r>
  <r>
    <x v="311"/>
    <x v="14"/>
    <s v="Male"/>
    <x v="0"/>
    <x v="0"/>
    <x v="310"/>
    <d v="2023-01-31T00:00:00"/>
    <n v="5"/>
    <x v="82"/>
    <x v="0"/>
    <x v="0"/>
    <s v="Yes"/>
    <s v="Recovered"/>
    <n v="3.6"/>
  </r>
  <r>
    <x v="312"/>
    <x v="14"/>
    <s v="Male"/>
    <x v="0"/>
    <x v="0"/>
    <x v="311"/>
    <d v="2023-02-08T00:00:00"/>
    <n v="12"/>
    <x v="82"/>
    <x v="0"/>
    <x v="0"/>
    <s v="No"/>
    <s v="Recovered"/>
    <n v="3.6"/>
  </r>
  <r>
    <x v="313"/>
    <x v="33"/>
    <s v="Male"/>
    <x v="0"/>
    <x v="0"/>
    <x v="312"/>
    <d v="2023-02-09T00:00:00"/>
    <n v="12"/>
    <x v="82"/>
    <x v="0"/>
    <x v="0"/>
    <s v="Yes"/>
    <s v="Recovered"/>
    <n v="3.6"/>
  </r>
  <r>
    <x v="314"/>
    <x v="40"/>
    <s v="Male"/>
    <x v="0"/>
    <x v="0"/>
    <x v="313"/>
    <d v="2023-02-10T00:00:00"/>
    <n v="12"/>
    <x v="82"/>
    <x v="0"/>
    <x v="0"/>
    <s v="No"/>
    <s v="Recovered"/>
    <n v="3.6"/>
  </r>
  <r>
    <x v="315"/>
    <x v="44"/>
    <s v="Male"/>
    <x v="0"/>
    <x v="0"/>
    <x v="314"/>
    <d v="2023-02-11T00:00:00"/>
    <n v="12"/>
    <x v="82"/>
    <x v="0"/>
    <x v="0"/>
    <s v="Yes"/>
    <s v="Recovered"/>
    <n v="3.6"/>
  </r>
  <r>
    <x v="316"/>
    <x v="71"/>
    <s v="Male"/>
    <x v="0"/>
    <x v="0"/>
    <x v="315"/>
    <d v="2023-02-12T00:00:00"/>
    <n v="12"/>
    <x v="82"/>
    <x v="0"/>
    <x v="0"/>
    <s v="Yes"/>
    <s v="Recovered"/>
    <n v="3.6"/>
  </r>
  <r>
    <x v="317"/>
    <x v="40"/>
    <s v="Male"/>
    <x v="0"/>
    <x v="0"/>
    <x v="316"/>
    <d v="2023-02-13T00:00:00"/>
    <n v="12"/>
    <x v="82"/>
    <x v="0"/>
    <x v="0"/>
    <s v="Yes"/>
    <s v="Recovered"/>
    <n v="3.6"/>
  </r>
  <r>
    <x v="318"/>
    <x v="44"/>
    <s v="Male"/>
    <x v="0"/>
    <x v="0"/>
    <x v="317"/>
    <d v="2023-02-14T00:00:00"/>
    <n v="12"/>
    <x v="82"/>
    <x v="0"/>
    <x v="0"/>
    <s v="No"/>
    <s v="Recovered"/>
    <n v="3.6"/>
  </r>
  <r>
    <x v="319"/>
    <x v="41"/>
    <s v="Male"/>
    <x v="0"/>
    <x v="0"/>
    <x v="318"/>
    <d v="2023-02-15T00:00:00"/>
    <n v="12"/>
    <x v="82"/>
    <x v="0"/>
    <x v="0"/>
    <s v="No"/>
    <s v="Recovered"/>
    <n v="3.6"/>
  </r>
  <r>
    <x v="320"/>
    <x v="73"/>
    <s v="Male"/>
    <x v="0"/>
    <x v="0"/>
    <x v="319"/>
    <d v="2023-02-16T00:00:00"/>
    <n v="12"/>
    <x v="82"/>
    <x v="0"/>
    <x v="0"/>
    <s v="Yes"/>
    <s v="Recovered"/>
    <n v="3.6"/>
  </r>
  <r>
    <x v="321"/>
    <x v="6"/>
    <s v="Male"/>
    <x v="0"/>
    <x v="0"/>
    <x v="320"/>
    <d v="2023-02-17T00:00:00"/>
    <n v="12"/>
    <x v="82"/>
    <x v="0"/>
    <x v="0"/>
    <s v="No"/>
    <s v="Recovered"/>
    <n v="3.6"/>
  </r>
  <r>
    <x v="322"/>
    <x v="11"/>
    <s v="Male"/>
    <x v="5"/>
    <x v="9"/>
    <x v="321"/>
    <d v="2023-02-18T00:00:00"/>
    <n v="12"/>
    <x v="82"/>
    <x v="0"/>
    <x v="5"/>
    <s v="Yes"/>
    <s v="Recovered"/>
    <n v="3.6"/>
  </r>
  <r>
    <x v="323"/>
    <x v="7"/>
    <s v="Male"/>
    <x v="5"/>
    <x v="9"/>
    <x v="322"/>
    <d v="2023-02-19T00:00:00"/>
    <n v="12"/>
    <x v="82"/>
    <x v="0"/>
    <x v="5"/>
    <s v="Yes"/>
    <s v="Recovered"/>
    <n v="3.6"/>
  </r>
  <r>
    <x v="324"/>
    <x v="14"/>
    <s v="Male"/>
    <x v="5"/>
    <x v="9"/>
    <x v="323"/>
    <d v="2023-02-20T00:00:00"/>
    <n v="12"/>
    <x v="82"/>
    <x v="0"/>
    <x v="5"/>
    <s v="No"/>
    <s v="Recovered"/>
    <n v="3.6"/>
  </r>
  <r>
    <x v="325"/>
    <x v="33"/>
    <s v="Male"/>
    <x v="5"/>
    <x v="9"/>
    <x v="324"/>
    <d v="2023-02-21T00:00:00"/>
    <n v="12"/>
    <x v="82"/>
    <x v="0"/>
    <x v="5"/>
    <s v="No"/>
    <s v="Recovered"/>
    <n v="3.6"/>
  </r>
  <r>
    <x v="326"/>
    <x v="11"/>
    <s v="Male"/>
    <x v="5"/>
    <x v="9"/>
    <x v="325"/>
    <d v="2023-02-22T00:00:00"/>
    <n v="12"/>
    <x v="82"/>
    <x v="0"/>
    <x v="5"/>
    <s v="Yes"/>
    <s v="Recovered"/>
    <n v="3.6"/>
  </r>
  <r>
    <x v="327"/>
    <x v="34"/>
    <s v="Male"/>
    <x v="5"/>
    <x v="9"/>
    <x v="326"/>
    <d v="2023-02-23T00:00:00"/>
    <n v="12"/>
    <x v="82"/>
    <x v="0"/>
    <x v="5"/>
    <s v="No"/>
    <s v="Recovered"/>
    <n v="3.6"/>
  </r>
  <r>
    <x v="328"/>
    <x v="35"/>
    <s v="Female"/>
    <x v="5"/>
    <x v="9"/>
    <x v="327"/>
    <d v="2023-02-24T00:00:00"/>
    <n v="12"/>
    <x v="82"/>
    <x v="0"/>
    <x v="5"/>
    <s v="Yes"/>
    <s v="Recovered"/>
    <n v="3.6"/>
  </r>
  <r>
    <x v="329"/>
    <x v="63"/>
    <s v="Female"/>
    <x v="1"/>
    <x v="1"/>
    <x v="328"/>
    <d v="2024-01-18T00:00:00"/>
    <n v="10"/>
    <x v="4"/>
    <x v="1"/>
    <x v="1"/>
    <s v="Yes"/>
    <s v="Recovered"/>
    <n v="5"/>
  </r>
  <r>
    <x v="330"/>
    <x v="19"/>
    <s v="Female"/>
    <x v="1"/>
    <x v="1"/>
    <x v="329"/>
    <d v="2024-01-19T00:00:00"/>
    <n v="10"/>
    <x v="20"/>
    <x v="1"/>
    <x v="1"/>
    <s v="No"/>
    <s v="Recovered"/>
    <n v="5"/>
  </r>
  <r>
    <x v="331"/>
    <x v="16"/>
    <s v="Female"/>
    <x v="1"/>
    <x v="1"/>
    <x v="330"/>
    <d v="2024-01-20T00:00:00"/>
    <n v="10"/>
    <x v="67"/>
    <x v="1"/>
    <x v="1"/>
    <s v="No"/>
    <s v="Recovered"/>
    <n v="5"/>
  </r>
  <r>
    <x v="332"/>
    <x v="17"/>
    <s v="Female"/>
    <x v="1"/>
    <x v="1"/>
    <x v="331"/>
    <d v="2024-01-21T00:00:00"/>
    <n v="10"/>
    <x v="69"/>
    <x v="1"/>
    <x v="1"/>
    <s v="Yes"/>
    <s v="Recovered"/>
    <n v="5"/>
  </r>
  <r>
    <x v="333"/>
    <x v="6"/>
    <s v="Female"/>
    <x v="1"/>
    <x v="1"/>
    <x v="332"/>
    <d v="2024-01-22T00:00:00"/>
    <n v="10"/>
    <x v="115"/>
    <x v="1"/>
    <x v="1"/>
    <s v="No"/>
    <s v="Recovered"/>
    <n v="5"/>
  </r>
  <r>
    <x v="334"/>
    <x v="18"/>
    <s v="Female"/>
    <x v="1"/>
    <x v="1"/>
    <x v="333"/>
    <d v="2024-01-23T00:00:00"/>
    <n v="10"/>
    <x v="106"/>
    <x v="1"/>
    <x v="1"/>
    <s v="Yes"/>
    <s v="Recovered"/>
    <n v="5"/>
  </r>
  <r>
    <x v="335"/>
    <x v="13"/>
    <s v="Female"/>
    <x v="1"/>
    <x v="1"/>
    <x v="334"/>
    <d v="2024-01-24T00:00:00"/>
    <n v="10"/>
    <x v="22"/>
    <x v="2"/>
    <x v="1"/>
    <s v="No"/>
    <s v="Recovered"/>
    <n v="5"/>
  </r>
  <r>
    <x v="336"/>
    <x v="13"/>
    <s v="Female"/>
    <x v="1"/>
    <x v="1"/>
    <x v="335"/>
    <d v="2024-01-25T00:00:00"/>
    <n v="10"/>
    <x v="40"/>
    <x v="2"/>
    <x v="1"/>
    <s v="No"/>
    <s v="Recovered"/>
    <n v="5"/>
  </r>
  <r>
    <x v="337"/>
    <x v="18"/>
    <s v="Male"/>
    <x v="1"/>
    <x v="1"/>
    <x v="336"/>
    <d v="2024-01-26T00:00:00"/>
    <n v="10"/>
    <x v="4"/>
    <x v="2"/>
    <x v="1"/>
    <s v="No"/>
    <s v="Recovered"/>
    <n v="5"/>
  </r>
  <r>
    <x v="338"/>
    <x v="6"/>
    <s v="Male"/>
    <x v="1"/>
    <x v="1"/>
    <x v="337"/>
    <d v="2024-01-27T00:00:00"/>
    <n v="10"/>
    <x v="21"/>
    <x v="2"/>
    <x v="1"/>
    <s v="Yes"/>
    <s v="Recovered"/>
    <n v="5"/>
  </r>
  <r>
    <x v="339"/>
    <x v="6"/>
    <s v="Male"/>
    <x v="1"/>
    <x v="1"/>
    <x v="338"/>
    <d v="2024-01-28T00:00:00"/>
    <n v="10"/>
    <x v="22"/>
    <x v="2"/>
    <x v="1"/>
    <s v="No"/>
    <s v="Recovered"/>
    <n v="5"/>
  </r>
  <r>
    <x v="340"/>
    <x v="7"/>
    <s v="Male"/>
    <x v="1"/>
    <x v="1"/>
    <x v="339"/>
    <d v="2024-01-29T00:00:00"/>
    <n v="10"/>
    <x v="58"/>
    <x v="2"/>
    <x v="1"/>
    <s v="Yes"/>
    <s v="Recovered"/>
    <n v="5"/>
  </r>
  <r>
    <x v="341"/>
    <x v="14"/>
    <s v="Male"/>
    <x v="1"/>
    <x v="2"/>
    <x v="340"/>
    <d v="2024-01-30T00:00:00"/>
    <n v="10"/>
    <x v="22"/>
    <x v="2"/>
    <x v="1"/>
    <s v="No"/>
    <s v="Recovered"/>
    <n v="5"/>
  </r>
  <r>
    <x v="342"/>
    <x v="19"/>
    <s v="Male"/>
    <x v="1"/>
    <x v="2"/>
    <x v="341"/>
    <d v="2024-01-31T00:00:00"/>
    <n v="10"/>
    <x v="42"/>
    <x v="2"/>
    <x v="1"/>
    <s v="Yes"/>
    <s v="Recovered"/>
    <n v="5"/>
  </r>
  <r>
    <x v="343"/>
    <x v="11"/>
    <s v="Male"/>
    <x v="1"/>
    <x v="2"/>
    <x v="342"/>
    <d v="2024-02-01T00:00:00"/>
    <n v="10"/>
    <x v="117"/>
    <x v="2"/>
    <x v="1"/>
    <s v="Yes"/>
    <s v="Recovered"/>
    <n v="5"/>
  </r>
  <r>
    <x v="344"/>
    <x v="18"/>
    <s v="Male"/>
    <x v="1"/>
    <x v="2"/>
    <x v="343"/>
    <d v="2024-02-02T00:00:00"/>
    <n v="10"/>
    <x v="22"/>
    <x v="2"/>
    <x v="1"/>
    <s v="Yes"/>
    <s v="Recovered"/>
    <n v="5"/>
  </r>
  <r>
    <x v="345"/>
    <x v="13"/>
    <s v="Male"/>
    <x v="1"/>
    <x v="2"/>
    <x v="344"/>
    <d v="2024-02-03T00:00:00"/>
    <n v="10"/>
    <x v="1"/>
    <x v="2"/>
    <x v="1"/>
    <s v="No"/>
    <s v="Recovered"/>
    <n v="5"/>
  </r>
  <r>
    <x v="346"/>
    <x v="15"/>
    <s v="Male"/>
    <x v="1"/>
    <x v="2"/>
    <x v="345"/>
    <d v="2024-02-04T00:00:00"/>
    <n v="10"/>
    <x v="22"/>
    <x v="2"/>
    <x v="1"/>
    <s v="No"/>
    <s v="Recovered"/>
    <n v="5"/>
  </r>
  <r>
    <x v="347"/>
    <x v="6"/>
    <s v="Male"/>
    <x v="1"/>
    <x v="2"/>
    <x v="346"/>
    <d v="2024-02-05T00:00:00"/>
    <n v="10"/>
    <x v="111"/>
    <x v="2"/>
    <x v="1"/>
    <s v="Yes"/>
    <s v="Recovered"/>
    <n v="5"/>
  </r>
  <r>
    <x v="348"/>
    <x v="17"/>
    <s v="Male"/>
    <x v="1"/>
    <x v="2"/>
    <x v="347"/>
    <d v="2024-02-06T00:00:00"/>
    <n v="10"/>
    <x v="117"/>
    <x v="2"/>
    <x v="1"/>
    <s v="No"/>
    <s v="Recovered"/>
    <n v="5"/>
  </r>
  <r>
    <x v="349"/>
    <x v="26"/>
    <s v="Male"/>
    <x v="1"/>
    <x v="2"/>
    <x v="348"/>
    <d v="2024-02-07T00:00:00"/>
    <n v="10"/>
    <x v="69"/>
    <x v="2"/>
    <x v="1"/>
    <s v="Yes"/>
    <s v="Recovered"/>
    <n v="5"/>
  </r>
  <r>
    <x v="350"/>
    <x v="18"/>
    <s v="Male"/>
    <x v="1"/>
    <x v="2"/>
    <x v="349"/>
    <d v="2024-02-08T00:00:00"/>
    <n v="10"/>
    <x v="106"/>
    <x v="2"/>
    <x v="1"/>
    <s v="Yes"/>
    <s v="Recovered"/>
    <n v="5"/>
  </r>
  <r>
    <x v="351"/>
    <x v="6"/>
    <s v="Male"/>
    <x v="1"/>
    <x v="2"/>
    <x v="350"/>
    <d v="2024-02-22T00:00:00"/>
    <n v="10"/>
    <x v="118"/>
    <x v="2"/>
    <x v="1"/>
    <s v="Yes"/>
    <s v="Recovered"/>
    <n v="5"/>
  </r>
  <r>
    <x v="352"/>
    <x v="17"/>
    <s v="Male"/>
    <x v="1"/>
    <x v="2"/>
    <x v="351"/>
    <d v="2024-03-02T00:00:00"/>
    <n v="10"/>
    <x v="20"/>
    <x v="2"/>
    <x v="1"/>
    <s v="Yes"/>
    <s v="Recovered"/>
    <n v="5"/>
  </r>
  <r>
    <x v="353"/>
    <x v="18"/>
    <s v="Male"/>
    <x v="1"/>
    <x v="2"/>
    <x v="352"/>
    <d v="2024-03-03T00:00:00"/>
    <n v="10"/>
    <x v="22"/>
    <x v="2"/>
    <x v="1"/>
    <s v="Yes"/>
    <s v="Recovered"/>
    <n v="5"/>
  </r>
  <r>
    <x v="354"/>
    <x v="18"/>
    <s v="Male"/>
    <x v="1"/>
    <x v="2"/>
    <x v="353"/>
    <d v="2024-03-04T00:00:00"/>
    <n v="10"/>
    <x v="87"/>
    <x v="1"/>
    <x v="1"/>
    <s v="No"/>
    <s v="Recovered"/>
    <n v="5"/>
  </r>
  <r>
    <x v="355"/>
    <x v="6"/>
    <s v="Male"/>
    <x v="1"/>
    <x v="2"/>
    <x v="354"/>
    <d v="2024-03-05T00:00:00"/>
    <n v="10"/>
    <x v="20"/>
    <x v="1"/>
    <x v="1"/>
    <s v="No"/>
    <s v="Recovered"/>
    <n v="5"/>
  </r>
  <r>
    <x v="356"/>
    <x v="6"/>
    <s v="Male"/>
    <x v="1"/>
    <x v="2"/>
    <x v="355"/>
    <d v="2024-03-06T00:00:00"/>
    <n v="10"/>
    <x v="42"/>
    <x v="1"/>
    <x v="1"/>
    <s v="Yes"/>
    <s v="Recovered"/>
    <n v="5"/>
  </r>
  <r>
    <x v="357"/>
    <x v="11"/>
    <s v="Male"/>
    <x v="1"/>
    <x v="2"/>
    <x v="356"/>
    <d v="2024-03-07T00:00:00"/>
    <n v="10"/>
    <x v="119"/>
    <x v="1"/>
    <x v="1"/>
    <s v="No"/>
    <s v="Recovered"/>
    <n v="5"/>
  </r>
  <r>
    <x v="358"/>
    <x v="34"/>
    <s v="Male"/>
    <x v="1"/>
    <x v="2"/>
    <x v="357"/>
    <d v="2024-03-08T00:00:00"/>
    <n v="10"/>
    <x v="22"/>
    <x v="1"/>
    <x v="1"/>
    <s v="Yes"/>
    <s v="Recovered"/>
    <n v="5"/>
  </r>
  <r>
    <x v="359"/>
    <x v="13"/>
    <s v="Male"/>
    <x v="1"/>
    <x v="2"/>
    <x v="358"/>
    <d v="2024-03-09T00:00:00"/>
    <n v="10"/>
    <x v="6"/>
    <x v="1"/>
    <x v="1"/>
    <s v="No"/>
    <s v="Recovered"/>
    <n v="5"/>
  </r>
  <r>
    <x v="360"/>
    <x v="40"/>
    <s v="Female"/>
    <x v="7"/>
    <x v="12"/>
    <x v="359"/>
    <d v="2024-07-23T00:00:00"/>
    <n v="19"/>
    <x v="47"/>
    <x v="0"/>
    <x v="7"/>
    <s v="Yes"/>
    <s v="Recovered"/>
    <n v="3.6"/>
  </r>
  <r>
    <x v="361"/>
    <x v="41"/>
    <s v="Female"/>
    <x v="7"/>
    <x v="12"/>
    <x v="360"/>
    <d v="2024-07-24T00:00:00"/>
    <n v="19"/>
    <x v="120"/>
    <x v="0"/>
    <x v="7"/>
    <s v="Yes"/>
    <s v="Recovered"/>
    <n v="3.6"/>
  </r>
  <r>
    <x v="362"/>
    <x v="44"/>
    <s v="Female"/>
    <x v="7"/>
    <x v="12"/>
    <x v="361"/>
    <d v="2024-07-25T00:00:00"/>
    <n v="19"/>
    <x v="121"/>
    <x v="0"/>
    <x v="7"/>
    <s v="Yes"/>
    <s v="Recovered"/>
    <n v="3.6"/>
  </r>
  <r>
    <x v="363"/>
    <x v="71"/>
    <s v="Female"/>
    <x v="7"/>
    <x v="12"/>
    <x v="362"/>
    <d v="2024-07-26T00:00:00"/>
    <n v="19"/>
    <x v="87"/>
    <x v="0"/>
    <x v="7"/>
    <s v="No"/>
    <s v="Recovered"/>
    <n v="3.6"/>
  </r>
  <r>
    <x v="364"/>
    <x v="73"/>
    <s v="Female"/>
    <x v="7"/>
    <x v="12"/>
    <x v="363"/>
    <d v="2024-07-27T00:00:00"/>
    <n v="19"/>
    <x v="4"/>
    <x v="0"/>
    <x v="7"/>
    <s v="No"/>
    <s v="Recovered"/>
    <n v="3.6"/>
  </r>
  <r>
    <x v="365"/>
    <x v="64"/>
    <s v="Female"/>
    <x v="7"/>
    <x v="12"/>
    <x v="364"/>
    <d v="2024-07-28T00:00:00"/>
    <n v="19"/>
    <x v="32"/>
    <x v="0"/>
    <x v="7"/>
    <s v="Yes"/>
    <s v="Recovered"/>
    <n v="3.6"/>
  </r>
  <r>
    <x v="366"/>
    <x v="73"/>
    <s v="Female"/>
    <x v="7"/>
    <x v="28"/>
    <x v="365"/>
    <d v="2024-07-29T00:00:00"/>
    <n v="19"/>
    <x v="122"/>
    <x v="0"/>
    <x v="7"/>
    <s v="No"/>
    <s v="Recovered"/>
    <n v="3.6"/>
  </r>
  <r>
    <x v="367"/>
    <x v="71"/>
    <s v="Female"/>
    <x v="7"/>
    <x v="28"/>
    <x v="366"/>
    <d v="2024-07-30T00:00:00"/>
    <n v="19"/>
    <x v="40"/>
    <x v="0"/>
    <x v="7"/>
    <s v="Yes"/>
    <s v="Recovered"/>
    <n v="3.6"/>
  </r>
  <r>
    <x v="368"/>
    <x v="44"/>
    <s v="Female"/>
    <x v="7"/>
    <x v="28"/>
    <x v="367"/>
    <d v="2024-07-31T00:00:00"/>
    <n v="19"/>
    <x v="0"/>
    <x v="0"/>
    <x v="7"/>
    <s v="No"/>
    <s v="Recovered"/>
    <n v="3.6"/>
  </r>
  <r>
    <x v="369"/>
    <x v="6"/>
    <s v="Female"/>
    <x v="7"/>
    <x v="28"/>
    <x v="368"/>
    <d v="2024-08-01T00:00:00"/>
    <n v="19"/>
    <x v="123"/>
    <x v="0"/>
    <x v="7"/>
    <s v="No"/>
    <s v="Recovered"/>
    <n v="3.6"/>
  </r>
  <r>
    <x v="370"/>
    <x v="70"/>
    <s v="Female"/>
    <x v="7"/>
    <x v="28"/>
    <x v="369"/>
    <d v="2024-08-02T00:00:00"/>
    <n v="19"/>
    <x v="124"/>
    <x v="0"/>
    <x v="7"/>
    <s v="No"/>
    <s v="Recovered"/>
    <n v="3.6"/>
  </r>
  <r>
    <x v="371"/>
    <x v="78"/>
    <s v="Female"/>
    <x v="7"/>
    <x v="28"/>
    <x v="370"/>
    <d v="2024-08-03T00:00:00"/>
    <n v="19"/>
    <x v="125"/>
    <x v="0"/>
    <x v="7"/>
    <s v="Yes"/>
    <s v="Recovered"/>
    <n v="3.6"/>
  </r>
  <r>
    <x v="372"/>
    <x v="56"/>
    <s v="Female"/>
    <x v="7"/>
    <x v="28"/>
    <x v="371"/>
    <d v="2024-08-04T00:00:00"/>
    <n v="19"/>
    <x v="126"/>
    <x v="0"/>
    <x v="7"/>
    <s v="No"/>
    <s v="Recovered"/>
    <n v="3.6"/>
  </r>
  <r>
    <x v="373"/>
    <x v="18"/>
    <s v="Female"/>
    <x v="7"/>
    <x v="28"/>
    <x v="372"/>
    <d v="2024-08-05T00:00:00"/>
    <n v="19"/>
    <x v="36"/>
    <x v="0"/>
    <x v="7"/>
    <s v="Yes"/>
    <s v="Recovered"/>
    <n v="3.6"/>
  </r>
  <r>
    <x v="374"/>
    <x v="17"/>
    <s v="Female"/>
    <x v="7"/>
    <x v="28"/>
    <x v="373"/>
    <d v="2024-08-06T00:00:00"/>
    <n v="19"/>
    <x v="36"/>
    <x v="0"/>
    <x v="7"/>
    <s v="No"/>
    <s v="Recovered"/>
    <n v="3.6"/>
  </r>
  <r>
    <x v="375"/>
    <x v="12"/>
    <s v="Female"/>
    <x v="7"/>
    <x v="28"/>
    <x v="374"/>
    <d v="2024-08-07T00:00:00"/>
    <n v="19"/>
    <x v="36"/>
    <x v="0"/>
    <x v="7"/>
    <s v="Yes"/>
    <s v="Recovered"/>
    <n v="3.6"/>
  </r>
  <r>
    <x v="376"/>
    <x v="16"/>
    <s v="Female"/>
    <x v="7"/>
    <x v="28"/>
    <x v="375"/>
    <d v="2024-08-08T00:00:00"/>
    <n v="19"/>
    <x v="36"/>
    <x v="0"/>
    <x v="7"/>
    <s v="Yes"/>
    <s v="Recovered"/>
    <n v="3.6"/>
  </r>
  <r>
    <x v="377"/>
    <x v="17"/>
    <s v="Female"/>
    <x v="7"/>
    <x v="28"/>
    <x v="376"/>
    <d v="2024-08-09T00:00:00"/>
    <n v="19"/>
    <x v="36"/>
    <x v="0"/>
    <x v="7"/>
    <s v="Yes"/>
    <s v="Recovered"/>
    <n v="3.6"/>
  </r>
  <r>
    <x v="378"/>
    <x v="16"/>
    <s v="Female"/>
    <x v="7"/>
    <x v="73"/>
    <x v="377"/>
    <d v="2024-08-10T00:00:00"/>
    <n v="19"/>
    <x v="36"/>
    <x v="0"/>
    <x v="7"/>
    <s v="No"/>
    <s v="Recovered"/>
    <n v="3.6"/>
  </r>
  <r>
    <x v="379"/>
    <x v="41"/>
    <s v="Female"/>
    <x v="7"/>
    <x v="73"/>
    <x v="378"/>
    <d v="2024-08-11T00:00:00"/>
    <n v="19"/>
    <x v="36"/>
    <x v="0"/>
    <x v="7"/>
    <s v="No"/>
    <s v="Recovered"/>
    <n v="3.6"/>
  </r>
  <r>
    <x v="380"/>
    <x v="17"/>
    <s v="Female"/>
    <x v="7"/>
    <x v="73"/>
    <x v="379"/>
    <d v="2024-08-12T00:00:00"/>
    <n v="19"/>
    <x v="36"/>
    <x v="0"/>
    <x v="7"/>
    <s v="Yes"/>
    <s v="Recovered"/>
    <n v="3.6"/>
  </r>
  <r>
    <x v="381"/>
    <x v="6"/>
    <s v="Female"/>
    <x v="7"/>
    <x v="73"/>
    <x v="380"/>
    <d v="2024-08-13T00:00:00"/>
    <n v="19"/>
    <x v="36"/>
    <x v="0"/>
    <x v="7"/>
    <s v="No"/>
    <s v="Recovered"/>
    <n v="3.6"/>
  </r>
  <r>
    <x v="382"/>
    <x v="12"/>
    <s v="Female"/>
    <x v="7"/>
    <x v="73"/>
    <x v="381"/>
    <d v="2024-08-14T00:00:00"/>
    <n v="19"/>
    <x v="36"/>
    <x v="0"/>
    <x v="7"/>
    <s v="Yes"/>
    <s v="Recovered"/>
    <n v="3.6"/>
  </r>
  <r>
    <x v="383"/>
    <x v="18"/>
    <s v="Female"/>
    <x v="7"/>
    <x v="73"/>
    <x v="382"/>
    <d v="2024-08-15T00:00:00"/>
    <n v="19"/>
    <x v="36"/>
    <x v="0"/>
    <x v="7"/>
    <s v="No"/>
    <s v="Recovered"/>
    <n v="3.6"/>
  </r>
  <r>
    <x v="384"/>
    <x v="17"/>
    <s v="Female"/>
    <x v="7"/>
    <x v="73"/>
    <x v="383"/>
    <d v="2024-08-16T00:00:00"/>
    <n v="19"/>
    <x v="36"/>
    <x v="0"/>
    <x v="7"/>
    <s v="No"/>
    <s v="Recovered"/>
    <n v="3.6"/>
  </r>
  <r>
    <x v="385"/>
    <x v="12"/>
    <s v="Female"/>
    <x v="7"/>
    <x v="73"/>
    <x v="384"/>
    <d v="2024-08-17T00:00:00"/>
    <n v="19"/>
    <x v="36"/>
    <x v="0"/>
    <x v="7"/>
    <s v="No"/>
    <s v="Recovered"/>
    <n v="3.6"/>
  </r>
  <r>
    <x v="386"/>
    <x v="21"/>
    <s v="Female"/>
    <x v="7"/>
    <x v="73"/>
    <x v="385"/>
    <d v="2024-08-18T00:00:00"/>
    <n v="19"/>
    <x v="36"/>
    <x v="0"/>
    <x v="7"/>
    <s v="Yes"/>
    <s v="Recovered"/>
    <n v="3.6"/>
  </r>
  <r>
    <x v="387"/>
    <x v="12"/>
    <s v="Female"/>
    <x v="7"/>
    <x v="73"/>
    <x v="386"/>
    <d v="2024-08-19T00:00:00"/>
    <n v="19"/>
    <x v="36"/>
    <x v="0"/>
    <x v="7"/>
    <s v="No"/>
    <s v="Recovered"/>
    <n v="3.6"/>
  </r>
  <r>
    <x v="388"/>
    <x v="41"/>
    <s v="Female"/>
    <x v="7"/>
    <x v="73"/>
    <x v="387"/>
    <d v="2024-08-20T00:00:00"/>
    <n v="19"/>
    <x v="36"/>
    <x v="0"/>
    <x v="7"/>
    <s v="Yes"/>
    <s v="Recovered"/>
    <n v="3.6"/>
  </r>
  <r>
    <x v="389"/>
    <x v="34"/>
    <s v="Female"/>
    <x v="7"/>
    <x v="73"/>
    <x v="388"/>
    <d v="2024-08-21T00:00:00"/>
    <n v="19"/>
    <x v="36"/>
    <x v="0"/>
    <x v="7"/>
    <s v="No"/>
    <s v="Recovered"/>
    <n v="3.6"/>
  </r>
  <r>
    <x v="390"/>
    <x v="35"/>
    <s v="Female"/>
    <x v="7"/>
    <x v="73"/>
    <x v="389"/>
    <d v="2024-08-22T00:00:00"/>
    <n v="19"/>
    <x v="0"/>
    <x v="0"/>
    <x v="7"/>
    <s v="Yes"/>
    <s v="Recovered"/>
    <n v="3.6"/>
  </r>
  <r>
    <x v="391"/>
    <x v="13"/>
    <s v="Female"/>
    <x v="7"/>
    <x v="73"/>
    <x v="390"/>
    <d v="2024-08-23T00:00:00"/>
    <n v="19"/>
    <x v="0"/>
    <x v="0"/>
    <x v="7"/>
    <s v="Yes"/>
    <s v="Recovered"/>
    <n v="3.6"/>
  </r>
  <r>
    <x v="392"/>
    <x v="38"/>
    <s v="Female"/>
    <x v="7"/>
    <x v="74"/>
    <x v="391"/>
    <d v="2024-08-24T00:00:00"/>
    <n v="19"/>
    <x v="0"/>
    <x v="0"/>
    <x v="7"/>
    <s v="Yes"/>
    <s v="Recovered"/>
    <n v="3.6"/>
  </r>
  <r>
    <x v="393"/>
    <x v="79"/>
    <s v="Female"/>
    <x v="7"/>
    <x v="74"/>
    <x v="392"/>
    <d v="2024-08-25T00:00:00"/>
    <n v="19"/>
    <x v="0"/>
    <x v="0"/>
    <x v="7"/>
    <s v="No"/>
    <s v="Recovered"/>
    <n v="3.6"/>
  </r>
  <r>
    <x v="394"/>
    <x v="12"/>
    <s v="Female"/>
    <x v="7"/>
    <x v="74"/>
    <x v="393"/>
    <d v="2024-08-28T00:00:00"/>
    <n v="21"/>
    <x v="0"/>
    <x v="0"/>
    <x v="7"/>
    <s v="No"/>
    <s v="Recovered"/>
    <n v="3.6"/>
  </r>
  <r>
    <x v="395"/>
    <x v="17"/>
    <s v="Female"/>
    <x v="7"/>
    <x v="74"/>
    <x v="394"/>
    <d v="2024-08-29T00:00:00"/>
    <n v="21"/>
    <x v="0"/>
    <x v="0"/>
    <x v="7"/>
    <s v="Yes"/>
    <s v="Recovered"/>
    <n v="3.6"/>
  </r>
  <r>
    <x v="396"/>
    <x v="26"/>
    <s v="Female"/>
    <x v="7"/>
    <x v="74"/>
    <x v="395"/>
    <d v="2024-08-30T00:00:00"/>
    <n v="21"/>
    <x v="0"/>
    <x v="0"/>
    <x v="7"/>
    <s v="No"/>
    <s v="Recovered"/>
    <n v="3.6"/>
  </r>
  <r>
    <x v="397"/>
    <x v="60"/>
    <s v="Female"/>
    <x v="7"/>
    <x v="74"/>
    <x v="396"/>
    <d v="2024-08-31T00:00:00"/>
    <n v="21"/>
    <x v="0"/>
    <x v="0"/>
    <x v="7"/>
    <s v="Yes"/>
    <s v="Recovered"/>
    <n v="3.6"/>
  </r>
  <r>
    <x v="398"/>
    <x v="80"/>
    <s v="Female"/>
    <x v="7"/>
    <x v="74"/>
    <x v="397"/>
    <d v="2024-09-01T00:00:00"/>
    <n v="21"/>
    <x v="0"/>
    <x v="0"/>
    <x v="7"/>
    <s v="No"/>
    <s v="Recovered"/>
    <n v="3.6"/>
  </r>
  <r>
    <x v="399"/>
    <x v="81"/>
    <s v="Female"/>
    <x v="7"/>
    <x v="74"/>
    <x v="398"/>
    <d v="2024-09-02T00:00:00"/>
    <n v="21"/>
    <x v="0"/>
    <x v="0"/>
    <x v="7"/>
    <s v="No"/>
    <s v="Recovered"/>
    <n v="3.6"/>
  </r>
  <r>
    <x v="400"/>
    <x v="31"/>
    <s v="Female"/>
    <x v="7"/>
    <x v="74"/>
    <x v="399"/>
    <d v="2024-09-03T00:00:00"/>
    <n v="21"/>
    <x v="0"/>
    <x v="0"/>
    <x v="7"/>
    <s v="No"/>
    <s v="Recovered"/>
    <n v="3.6"/>
  </r>
  <r>
    <x v="401"/>
    <x v="42"/>
    <s v="Female"/>
    <x v="7"/>
    <x v="74"/>
    <x v="400"/>
    <d v="2024-09-04T00:00:00"/>
    <n v="21"/>
    <x v="0"/>
    <x v="0"/>
    <x v="7"/>
    <s v="Yes"/>
    <s v="Recovered"/>
    <n v="3.6"/>
  </r>
  <r>
    <x v="402"/>
    <x v="43"/>
    <s v="Female"/>
    <x v="7"/>
    <x v="74"/>
    <x v="401"/>
    <d v="2024-09-05T00:00:00"/>
    <n v="21"/>
    <x v="0"/>
    <x v="0"/>
    <x v="7"/>
    <s v="No"/>
    <s v="Recovered"/>
    <n v="3.6"/>
  </r>
  <r>
    <x v="403"/>
    <x v="12"/>
    <s v="Female"/>
    <x v="7"/>
    <x v="74"/>
    <x v="402"/>
    <d v="2024-09-06T00:00:00"/>
    <n v="21"/>
    <x v="0"/>
    <x v="0"/>
    <x v="7"/>
    <s v="Yes"/>
    <s v="Recovered"/>
    <n v="3.6"/>
  </r>
  <r>
    <x v="404"/>
    <x v="21"/>
    <s v="Female"/>
    <x v="7"/>
    <x v="74"/>
    <x v="403"/>
    <d v="2024-09-07T00:00:00"/>
    <n v="21"/>
    <x v="0"/>
    <x v="0"/>
    <x v="7"/>
    <s v="No"/>
    <s v="Recovered"/>
    <n v="3.6"/>
  </r>
  <r>
    <x v="405"/>
    <x v="17"/>
    <s v="Female"/>
    <x v="7"/>
    <x v="74"/>
    <x v="404"/>
    <d v="2024-09-08T00:00:00"/>
    <n v="21"/>
    <x v="0"/>
    <x v="0"/>
    <x v="7"/>
    <s v="Yes"/>
    <s v="Recovered"/>
    <n v="3.6"/>
  </r>
  <r>
    <x v="406"/>
    <x v="12"/>
    <s v="Female"/>
    <x v="7"/>
    <x v="74"/>
    <x v="405"/>
    <d v="2024-09-09T00:00:00"/>
    <n v="21"/>
    <x v="0"/>
    <x v="0"/>
    <x v="7"/>
    <s v="Yes"/>
    <s v="Recovered"/>
    <n v="3.6"/>
  </r>
  <r>
    <x v="407"/>
    <x v="17"/>
    <s v="Female"/>
    <x v="7"/>
    <x v="74"/>
    <x v="406"/>
    <d v="2024-09-10T00:00:00"/>
    <n v="21"/>
    <x v="0"/>
    <x v="0"/>
    <x v="7"/>
    <s v="Yes"/>
    <s v="Recovered"/>
    <n v="3.6"/>
  </r>
  <r>
    <x v="408"/>
    <x v="48"/>
    <s v="Female"/>
    <x v="7"/>
    <x v="74"/>
    <x v="407"/>
    <d v="2024-09-11T00:00:00"/>
    <n v="21"/>
    <x v="0"/>
    <x v="0"/>
    <x v="7"/>
    <s v="No"/>
    <s v="Recovered"/>
    <n v="3.6"/>
  </r>
  <r>
    <x v="409"/>
    <x v="41"/>
    <s v="Female"/>
    <x v="7"/>
    <x v="74"/>
    <x v="408"/>
    <d v="2024-09-12T00:00:00"/>
    <n v="21"/>
    <x v="0"/>
    <x v="0"/>
    <x v="7"/>
    <s v="No"/>
    <s v="Recovered"/>
    <n v="3.6"/>
  </r>
  <r>
    <x v="410"/>
    <x v="11"/>
    <s v="Female"/>
    <x v="7"/>
    <x v="12"/>
    <x v="409"/>
    <d v="2024-09-13T00:00:00"/>
    <n v="21"/>
    <x v="0"/>
    <x v="0"/>
    <x v="7"/>
    <s v="Yes"/>
    <s v="Recovered"/>
    <n v="3.6"/>
  </r>
  <r>
    <x v="411"/>
    <x v="34"/>
    <s v="Male"/>
    <x v="7"/>
    <x v="12"/>
    <x v="410"/>
    <d v="2024-09-14T00:00:00"/>
    <n v="21"/>
    <x v="0"/>
    <x v="0"/>
    <x v="7"/>
    <s v="No"/>
    <s v="Recovered"/>
    <n v="3.6"/>
  </r>
  <r>
    <x v="412"/>
    <x v="33"/>
    <s v="Male"/>
    <x v="7"/>
    <x v="12"/>
    <x v="411"/>
    <d v="2024-09-15T00:00:00"/>
    <n v="21"/>
    <x v="0"/>
    <x v="0"/>
    <x v="7"/>
    <s v="Yes"/>
    <s v="Recovered"/>
    <n v="3.6"/>
  </r>
  <r>
    <x v="413"/>
    <x v="11"/>
    <s v="Male"/>
    <x v="7"/>
    <x v="12"/>
    <x v="412"/>
    <d v="2024-09-16T00:00:00"/>
    <n v="21"/>
    <x v="0"/>
    <x v="0"/>
    <x v="7"/>
    <s v="No"/>
    <s v="Recovered"/>
    <n v="3.6"/>
  </r>
  <r>
    <x v="414"/>
    <x v="34"/>
    <s v="Male"/>
    <x v="7"/>
    <x v="12"/>
    <x v="413"/>
    <d v="2024-09-17T00:00:00"/>
    <n v="21"/>
    <x v="0"/>
    <x v="0"/>
    <x v="7"/>
    <s v="No"/>
    <s v="Recovered"/>
    <n v="3.6"/>
  </r>
  <r>
    <x v="415"/>
    <x v="11"/>
    <s v="Male"/>
    <x v="7"/>
    <x v="12"/>
    <x v="414"/>
    <d v="2024-09-18T00:00:00"/>
    <n v="21"/>
    <x v="0"/>
    <x v="0"/>
    <x v="7"/>
    <s v="No"/>
    <s v="Recovered"/>
    <n v="3.6"/>
  </r>
  <r>
    <x v="416"/>
    <x v="33"/>
    <s v="Male"/>
    <x v="7"/>
    <x v="12"/>
    <x v="415"/>
    <d v="2024-09-19T00:00:00"/>
    <n v="21"/>
    <x v="0"/>
    <x v="0"/>
    <x v="7"/>
    <s v="Yes"/>
    <s v="Recovered"/>
    <n v="3.6"/>
  </r>
  <r>
    <x v="417"/>
    <x v="34"/>
    <s v="Male"/>
    <x v="7"/>
    <x v="12"/>
    <x v="416"/>
    <d v="2024-09-20T00:00:00"/>
    <n v="21"/>
    <x v="0"/>
    <x v="0"/>
    <x v="7"/>
    <s v="No"/>
    <s v="Recovered"/>
    <n v="3.6"/>
  </r>
  <r>
    <x v="418"/>
    <x v="11"/>
    <s v="Male"/>
    <x v="7"/>
    <x v="12"/>
    <x v="417"/>
    <d v="2024-09-21T00:00:00"/>
    <n v="21"/>
    <x v="0"/>
    <x v="0"/>
    <x v="7"/>
    <s v="Yes"/>
    <s v="Recovered"/>
    <n v="3.6"/>
  </r>
  <r>
    <x v="419"/>
    <x v="35"/>
    <s v="Male"/>
    <x v="7"/>
    <x v="12"/>
    <x v="418"/>
    <d v="2024-09-22T00:00:00"/>
    <n v="21"/>
    <x v="0"/>
    <x v="0"/>
    <x v="7"/>
    <s v="No"/>
    <s v="Recovered"/>
    <n v="3.6"/>
  </r>
  <r>
    <x v="420"/>
    <x v="36"/>
    <s v="Male"/>
    <x v="7"/>
    <x v="12"/>
    <x v="419"/>
    <d v="2024-09-23T00:00:00"/>
    <n v="21"/>
    <x v="0"/>
    <x v="0"/>
    <x v="7"/>
    <s v="Yes"/>
    <s v="Recovered"/>
    <n v="3.6"/>
  </r>
  <r>
    <x v="421"/>
    <x v="37"/>
    <s v="Male"/>
    <x v="7"/>
    <x v="12"/>
    <x v="420"/>
    <d v="2024-09-24T00:00:00"/>
    <n v="21"/>
    <x v="0"/>
    <x v="0"/>
    <x v="7"/>
    <s v="Yes"/>
    <s v="Recovered"/>
    <n v="3.6"/>
  </r>
  <r>
    <x v="422"/>
    <x v="34"/>
    <s v="Male"/>
    <x v="7"/>
    <x v="12"/>
    <x v="421"/>
    <d v="2024-09-25T00:00:00"/>
    <n v="21"/>
    <x v="0"/>
    <x v="0"/>
    <x v="7"/>
    <s v="Yes"/>
    <s v="Recovered"/>
    <n v="3.6"/>
  </r>
  <r>
    <x v="423"/>
    <x v="12"/>
    <s v="Male"/>
    <x v="7"/>
    <x v="12"/>
    <x v="422"/>
    <d v="2024-09-21T00:00:00"/>
    <n v="16"/>
    <x v="0"/>
    <x v="0"/>
    <x v="7"/>
    <s v="No"/>
    <s v="Recovered"/>
    <n v="3.6"/>
  </r>
  <r>
    <x v="424"/>
    <x v="17"/>
    <s v="Male"/>
    <x v="7"/>
    <x v="12"/>
    <x v="423"/>
    <d v="2024-09-22T00:00:00"/>
    <n v="16"/>
    <x v="0"/>
    <x v="0"/>
    <x v="7"/>
    <s v="No"/>
    <s v="Recovered"/>
    <n v="3.6"/>
  </r>
  <r>
    <x v="425"/>
    <x v="26"/>
    <s v="Male"/>
    <x v="7"/>
    <x v="12"/>
    <x v="424"/>
    <d v="2024-09-23T00:00:00"/>
    <n v="16"/>
    <x v="0"/>
    <x v="0"/>
    <x v="7"/>
    <s v="Yes"/>
    <s v="Recovered"/>
    <n v="3.6"/>
  </r>
  <r>
    <x v="426"/>
    <x v="60"/>
    <s v="Male"/>
    <x v="7"/>
    <x v="12"/>
    <x v="425"/>
    <d v="2024-09-24T00:00:00"/>
    <n v="16"/>
    <x v="0"/>
    <x v="0"/>
    <x v="7"/>
    <s v="No"/>
    <s v="Recovered"/>
    <n v="3.6"/>
  </r>
  <r>
    <x v="427"/>
    <x v="42"/>
    <s v="Male"/>
    <x v="7"/>
    <x v="12"/>
    <x v="426"/>
    <d v="2024-09-25T00:00:00"/>
    <n v="16"/>
    <x v="0"/>
    <x v="0"/>
    <x v="7"/>
    <s v="Yes"/>
    <s v="Recovered"/>
    <n v="3.6"/>
  </r>
  <r>
    <x v="428"/>
    <x v="6"/>
    <s v="Male"/>
    <x v="7"/>
    <x v="12"/>
    <x v="427"/>
    <d v="2024-09-26T00:00:00"/>
    <n v="16"/>
    <x v="0"/>
    <x v="0"/>
    <x v="7"/>
    <s v="No"/>
    <s v="Recovered"/>
    <n v="3.6"/>
  </r>
  <r>
    <x v="429"/>
    <x v="70"/>
    <s v="Male"/>
    <x v="7"/>
    <x v="12"/>
    <x v="428"/>
    <d v="2024-09-27T00:00:00"/>
    <n v="16"/>
    <x v="0"/>
    <x v="0"/>
    <x v="7"/>
    <s v="No"/>
    <s v="Recovered"/>
    <n v="3.6"/>
  </r>
  <r>
    <x v="430"/>
    <x v="78"/>
    <s v="Male"/>
    <x v="7"/>
    <x v="12"/>
    <x v="429"/>
    <d v="2024-09-28T00:00:00"/>
    <n v="16"/>
    <x v="0"/>
    <x v="0"/>
    <x v="7"/>
    <s v="No"/>
    <s v="Recovered"/>
    <n v="3.6"/>
  </r>
  <r>
    <x v="431"/>
    <x v="56"/>
    <s v="Male"/>
    <x v="7"/>
    <x v="12"/>
    <x v="430"/>
    <d v="2024-09-29T00:00:00"/>
    <n v="16"/>
    <x v="0"/>
    <x v="0"/>
    <x v="7"/>
    <s v="Yes"/>
    <s v="Recovered"/>
    <n v="3.6"/>
  </r>
  <r>
    <x v="432"/>
    <x v="52"/>
    <s v="Male"/>
    <x v="7"/>
    <x v="12"/>
    <x v="431"/>
    <d v="2024-09-30T00:00:00"/>
    <n v="16"/>
    <x v="0"/>
    <x v="0"/>
    <x v="7"/>
    <s v="No"/>
    <s v="Recovered"/>
    <n v="3.6"/>
  </r>
  <r>
    <x v="433"/>
    <x v="6"/>
    <s v="Male"/>
    <x v="7"/>
    <x v="12"/>
    <x v="432"/>
    <d v="2024-10-01T00:00:00"/>
    <n v="16"/>
    <x v="0"/>
    <x v="0"/>
    <x v="7"/>
    <s v="Yes"/>
    <s v="Recovered"/>
    <n v="3.6"/>
  </r>
  <r>
    <x v="434"/>
    <x v="37"/>
    <s v="Male"/>
    <x v="7"/>
    <x v="12"/>
    <x v="433"/>
    <d v="2024-10-02T00:00:00"/>
    <n v="16"/>
    <x v="0"/>
    <x v="0"/>
    <x v="7"/>
    <s v="No"/>
    <s v="Recovered"/>
    <n v="3.6"/>
  </r>
  <r>
    <x v="435"/>
    <x v="50"/>
    <s v="Male"/>
    <x v="7"/>
    <x v="12"/>
    <x v="434"/>
    <d v="2024-10-03T00:00:00"/>
    <n v="16"/>
    <x v="0"/>
    <x v="0"/>
    <x v="7"/>
    <s v="Yes"/>
    <s v="Recovered"/>
    <n v="3.6"/>
  </r>
  <r>
    <x v="436"/>
    <x v="8"/>
    <s v="Male"/>
    <x v="7"/>
    <x v="74"/>
    <x v="435"/>
    <d v="2024-10-04T00:00:00"/>
    <n v="16"/>
    <x v="0"/>
    <x v="0"/>
    <x v="7"/>
    <s v="Yes"/>
    <s v="Recovered"/>
    <n v="3.6"/>
  </r>
  <r>
    <x v="437"/>
    <x v="10"/>
    <s v="Male"/>
    <x v="7"/>
    <x v="74"/>
    <x v="436"/>
    <d v="2024-10-05T00:00:00"/>
    <n v="16"/>
    <x v="0"/>
    <x v="0"/>
    <x v="7"/>
    <s v="Yes"/>
    <s v="Recovered"/>
    <n v="3.6"/>
  </r>
  <r>
    <x v="438"/>
    <x v="7"/>
    <s v="Male"/>
    <x v="4"/>
    <x v="8"/>
    <x v="437"/>
    <d v="2024-10-06T00:00:00"/>
    <n v="16"/>
    <x v="0"/>
    <x v="0"/>
    <x v="4"/>
    <s v="No"/>
    <s v="Recovered"/>
    <n v="3.6"/>
  </r>
  <r>
    <x v="439"/>
    <x v="72"/>
    <s v="Male"/>
    <x v="4"/>
    <x v="8"/>
    <x v="438"/>
    <d v="2024-10-07T00:00:00"/>
    <n v="16"/>
    <x v="0"/>
    <x v="0"/>
    <x v="4"/>
    <s v="No"/>
    <s v="Recovered"/>
    <n v="3.6"/>
  </r>
  <r>
    <x v="440"/>
    <x v="59"/>
    <s v="Male"/>
    <x v="4"/>
    <x v="8"/>
    <x v="439"/>
    <d v="2024-10-08T00:00:00"/>
    <n v="16"/>
    <x v="0"/>
    <x v="0"/>
    <x v="4"/>
    <s v="Yes"/>
    <s v="Recovered"/>
    <n v="3.6"/>
  </r>
  <r>
    <x v="441"/>
    <x v="82"/>
    <s v="Male"/>
    <x v="4"/>
    <x v="8"/>
    <x v="440"/>
    <d v="2024-10-09T00:00:00"/>
    <n v="16"/>
    <x v="0"/>
    <x v="0"/>
    <x v="4"/>
    <s v="No"/>
    <s v="Recovered"/>
    <n v="3.6"/>
  </r>
  <r>
    <x v="442"/>
    <x v="11"/>
    <s v="Male"/>
    <x v="4"/>
    <x v="8"/>
    <x v="441"/>
    <d v="2024-10-10T00:00:00"/>
    <n v="16"/>
    <x v="0"/>
    <x v="0"/>
    <x v="4"/>
    <s v="Yes"/>
    <s v="Recovered"/>
    <n v="3.6"/>
  </r>
  <r>
    <x v="443"/>
    <x v="7"/>
    <s v="Male"/>
    <x v="4"/>
    <x v="8"/>
    <x v="442"/>
    <d v="2024-10-13T00:00:00"/>
    <n v="12"/>
    <x v="0"/>
    <x v="0"/>
    <x v="4"/>
    <s v="No"/>
    <s v="Recovered"/>
    <n v="3.6"/>
  </r>
  <r>
    <x v="444"/>
    <x v="34"/>
    <s v="Male"/>
    <x v="4"/>
    <x v="8"/>
    <x v="443"/>
    <d v="2024-10-14T00:00:00"/>
    <n v="12"/>
    <x v="0"/>
    <x v="0"/>
    <x v="4"/>
    <s v="No"/>
    <s v="Recovered"/>
    <n v="3.6"/>
  </r>
  <r>
    <x v="445"/>
    <x v="35"/>
    <s v="Male"/>
    <x v="4"/>
    <x v="8"/>
    <x v="444"/>
    <d v="2024-10-15T00:00:00"/>
    <n v="12"/>
    <x v="0"/>
    <x v="0"/>
    <x v="4"/>
    <s v="No"/>
    <s v="Recovered"/>
    <n v="3.6"/>
  </r>
  <r>
    <x v="446"/>
    <x v="70"/>
    <s v="Male"/>
    <x v="4"/>
    <x v="8"/>
    <x v="445"/>
    <d v="2024-10-16T00:00:00"/>
    <n v="12"/>
    <x v="0"/>
    <x v="0"/>
    <x v="4"/>
    <s v="Yes"/>
    <s v="Recovered"/>
    <n v="3.6"/>
  </r>
  <r>
    <x v="447"/>
    <x v="78"/>
    <s v="Male"/>
    <x v="4"/>
    <x v="66"/>
    <x v="446"/>
    <d v="2024-10-17T00:00:00"/>
    <n v="12"/>
    <x v="0"/>
    <x v="0"/>
    <x v="4"/>
    <s v="No"/>
    <s v="Recovered"/>
    <n v="3.6"/>
  </r>
  <r>
    <x v="448"/>
    <x v="56"/>
    <s v="Male"/>
    <x v="4"/>
    <x v="66"/>
    <x v="447"/>
    <d v="2024-10-18T00:00:00"/>
    <n v="12"/>
    <x v="0"/>
    <x v="0"/>
    <x v="4"/>
    <s v="Yes"/>
    <s v="Recovered"/>
    <n v="3.6"/>
  </r>
  <r>
    <x v="449"/>
    <x v="52"/>
    <s v="Male"/>
    <x v="4"/>
    <x v="66"/>
    <x v="448"/>
    <d v="2024-10-19T00:00:00"/>
    <n v="12"/>
    <x v="0"/>
    <x v="0"/>
    <x v="4"/>
    <s v="No"/>
    <s v="Recovered"/>
    <n v="3.6"/>
  </r>
  <r>
    <x v="450"/>
    <x v="13"/>
    <s v="Male"/>
    <x v="4"/>
    <x v="66"/>
    <x v="449"/>
    <d v="2024-10-20T00:00:00"/>
    <n v="12"/>
    <x v="0"/>
    <x v="0"/>
    <x v="4"/>
    <s v="Yes"/>
    <s v="Recovered"/>
    <n v="3.6"/>
  </r>
  <r>
    <x v="451"/>
    <x v="41"/>
    <s v="Male"/>
    <x v="4"/>
    <x v="66"/>
    <x v="450"/>
    <d v="2024-10-21T00:00:00"/>
    <n v="12"/>
    <x v="0"/>
    <x v="0"/>
    <x v="4"/>
    <s v="Yes"/>
    <s v="Recovered"/>
    <n v="3.6"/>
  </r>
  <r>
    <x v="452"/>
    <x v="18"/>
    <s v="Male"/>
    <x v="4"/>
    <x v="66"/>
    <x v="451"/>
    <d v="2024-10-22T00:00:00"/>
    <n v="12"/>
    <x v="0"/>
    <x v="0"/>
    <x v="4"/>
    <s v="Yes"/>
    <s v="Recovered"/>
    <n v="3.6"/>
  </r>
  <r>
    <x v="453"/>
    <x v="13"/>
    <s v="Male"/>
    <x v="4"/>
    <x v="66"/>
    <x v="452"/>
    <d v="2024-10-23T00:00:00"/>
    <n v="12"/>
    <x v="0"/>
    <x v="0"/>
    <x v="4"/>
    <s v="No"/>
    <s v="Recovered"/>
    <n v="3.6"/>
  </r>
  <r>
    <x v="454"/>
    <x v="38"/>
    <s v="Male"/>
    <x v="4"/>
    <x v="66"/>
    <x v="453"/>
    <d v="2024-10-24T00:00:00"/>
    <n v="12"/>
    <x v="0"/>
    <x v="0"/>
    <x v="4"/>
    <s v="No"/>
    <s v="Recovered"/>
    <n v="3.6"/>
  </r>
  <r>
    <x v="455"/>
    <x v="37"/>
    <s v="Male"/>
    <x v="4"/>
    <x v="66"/>
    <x v="454"/>
    <d v="2024-10-25T00:00:00"/>
    <n v="12"/>
    <x v="0"/>
    <x v="0"/>
    <x v="4"/>
    <s v="Yes"/>
    <s v="Recovered"/>
    <n v="3.6"/>
  </r>
  <r>
    <x v="456"/>
    <x v="12"/>
    <s v="Male"/>
    <x v="4"/>
    <x v="66"/>
    <x v="455"/>
    <d v="2024-10-26T00:00:00"/>
    <n v="12"/>
    <x v="0"/>
    <x v="0"/>
    <x v="4"/>
    <s v="No"/>
    <s v="Recovered"/>
    <n v="3.6"/>
  </r>
  <r>
    <x v="457"/>
    <x v="13"/>
    <s v="Male"/>
    <x v="4"/>
    <x v="66"/>
    <x v="456"/>
    <d v="2024-10-27T00:00:00"/>
    <n v="12"/>
    <x v="0"/>
    <x v="0"/>
    <x v="4"/>
    <s v="Yes"/>
    <s v="Recovered"/>
    <n v="3.6"/>
  </r>
  <r>
    <x v="458"/>
    <x v="34"/>
    <s v="Male"/>
    <x v="4"/>
    <x v="66"/>
    <x v="457"/>
    <d v="2024-10-26T00:00:00"/>
    <n v="16"/>
    <x v="0"/>
    <x v="0"/>
    <x v="4"/>
    <s v="No"/>
    <s v="Recovered"/>
    <n v="3.6"/>
  </r>
  <r>
    <x v="459"/>
    <x v="11"/>
    <s v="Male"/>
    <x v="4"/>
    <x v="66"/>
    <x v="458"/>
    <d v="2024-10-27T00:00:00"/>
    <n v="16"/>
    <x v="0"/>
    <x v="0"/>
    <x v="4"/>
    <s v="No"/>
    <s v="Recovered"/>
    <n v="3.6"/>
  </r>
  <r>
    <x v="460"/>
    <x v="33"/>
    <s v="Male"/>
    <x v="4"/>
    <x v="66"/>
    <x v="459"/>
    <d v="2024-10-28T00:00:00"/>
    <n v="16"/>
    <x v="0"/>
    <x v="0"/>
    <x v="4"/>
    <s v="No"/>
    <s v="Recovered"/>
    <n v="3.6"/>
  </r>
  <r>
    <x v="461"/>
    <x v="19"/>
    <s v="Male"/>
    <x v="4"/>
    <x v="66"/>
    <x v="460"/>
    <d v="2024-10-29T00:00:00"/>
    <n v="16"/>
    <x v="0"/>
    <x v="0"/>
    <x v="4"/>
    <s v="Yes"/>
    <s v="Recovered"/>
    <n v="3.6"/>
  </r>
  <r>
    <x v="462"/>
    <x v="5"/>
    <s v="Male"/>
    <x v="4"/>
    <x v="66"/>
    <x v="461"/>
    <d v="2024-10-30T00:00:00"/>
    <n v="16"/>
    <x v="0"/>
    <x v="0"/>
    <x v="4"/>
    <s v="No"/>
    <s v="Recovered"/>
    <n v="3.6"/>
  </r>
  <r>
    <x v="463"/>
    <x v="65"/>
    <s v="Male"/>
    <x v="4"/>
    <x v="66"/>
    <x v="462"/>
    <d v="2024-10-31T00:00:00"/>
    <n v="16"/>
    <x v="0"/>
    <x v="0"/>
    <x v="4"/>
    <s v="Yes"/>
    <s v="Recovered"/>
    <n v="3.6"/>
  </r>
  <r>
    <x v="464"/>
    <x v="16"/>
    <s v="Male"/>
    <x v="4"/>
    <x v="66"/>
    <x v="463"/>
    <d v="2024-11-01T00:00:00"/>
    <n v="16"/>
    <x v="0"/>
    <x v="0"/>
    <x v="4"/>
    <s v="No"/>
    <s v="Recovered"/>
    <n v="3.6"/>
  </r>
  <r>
    <x v="465"/>
    <x v="17"/>
    <s v="Male"/>
    <x v="4"/>
    <x v="66"/>
    <x v="464"/>
    <d v="2024-11-02T00:00:00"/>
    <n v="16"/>
    <x v="0"/>
    <x v="0"/>
    <x v="4"/>
    <s v="Yes"/>
    <s v="Recovered"/>
    <n v="3.6"/>
  </r>
  <r>
    <x v="466"/>
    <x v="12"/>
    <s v="Male"/>
    <x v="4"/>
    <x v="66"/>
    <x v="465"/>
    <d v="2024-11-03T00:00:00"/>
    <n v="16"/>
    <x v="0"/>
    <x v="0"/>
    <x v="4"/>
    <s v="Yes"/>
    <s v="Recovered"/>
    <n v="3.6"/>
  </r>
  <r>
    <x v="467"/>
    <x v="13"/>
    <s v="Male"/>
    <x v="4"/>
    <x v="66"/>
    <x v="466"/>
    <d v="2024-11-04T00:00:00"/>
    <n v="16"/>
    <x v="0"/>
    <x v="0"/>
    <x v="4"/>
    <s v="Yes"/>
    <s v="Recovered"/>
    <n v="3.6"/>
  </r>
  <r>
    <x v="468"/>
    <x v="12"/>
    <s v="Male"/>
    <x v="4"/>
    <x v="66"/>
    <x v="467"/>
    <d v="2024-11-05T00:00:00"/>
    <n v="16"/>
    <x v="0"/>
    <x v="0"/>
    <x v="4"/>
    <s v="No"/>
    <s v="Recovered"/>
    <n v="3.6"/>
  </r>
  <r>
    <x v="469"/>
    <x v="20"/>
    <s v="Male"/>
    <x v="4"/>
    <x v="66"/>
    <x v="468"/>
    <d v="2024-11-06T00:00:00"/>
    <n v="16"/>
    <x v="0"/>
    <x v="0"/>
    <x v="4"/>
    <s v="No"/>
    <s v="Recovered"/>
    <n v="3.6"/>
  </r>
  <r>
    <x v="470"/>
    <x v="49"/>
    <s v="Male"/>
    <x v="4"/>
    <x v="66"/>
    <x v="469"/>
    <d v="2024-11-07T00:00:00"/>
    <n v="16"/>
    <x v="0"/>
    <x v="0"/>
    <x v="4"/>
    <s v="Yes"/>
    <s v="Recovered"/>
    <n v="3.6"/>
  </r>
  <r>
    <x v="471"/>
    <x v="27"/>
    <s v="Male"/>
    <x v="4"/>
    <x v="66"/>
    <x v="470"/>
    <d v="2024-11-08T00:00:00"/>
    <n v="16"/>
    <x v="0"/>
    <x v="0"/>
    <x v="4"/>
    <s v="No"/>
    <s v="Recovered"/>
    <n v="3.6"/>
  </r>
  <r>
    <x v="472"/>
    <x v="28"/>
    <s v="Male"/>
    <x v="4"/>
    <x v="66"/>
    <x v="471"/>
    <d v="2024-11-09T00:00:00"/>
    <n v="16"/>
    <x v="0"/>
    <x v="0"/>
    <x v="4"/>
    <s v="Yes"/>
    <s v="Recovered"/>
    <n v="3.6"/>
  </r>
  <r>
    <x v="473"/>
    <x v="29"/>
    <s v="Male"/>
    <x v="4"/>
    <x v="66"/>
    <x v="472"/>
    <d v="2024-11-10T00:00:00"/>
    <n v="16"/>
    <x v="0"/>
    <x v="0"/>
    <x v="4"/>
    <s v="No"/>
    <s v="Recovered"/>
    <n v="3.6"/>
  </r>
  <r>
    <x v="474"/>
    <x v="30"/>
    <s v="Male"/>
    <x v="4"/>
    <x v="66"/>
    <x v="473"/>
    <d v="2024-11-11T00:00:00"/>
    <n v="16"/>
    <x v="0"/>
    <x v="0"/>
    <x v="4"/>
    <s v="No"/>
    <s v="Recovered"/>
    <n v="3.6"/>
  </r>
  <r>
    <x v="475"/>
    <x v="17"/>
    <s v="Male"/>
    <x v="4"/>
    <x v="66"/>
    <x v="474"/>
    <d v="2024-11-12T00:00:00"/>
    <n v="16"/>
    <x v="0"/>
    <x v="0"/>
    <x v="4"/>
    <s v="No"/>
    <s v="Recovered"/>
    <n v="3.6"/>
  </r>
  <r>
    <x v="476"/>
    <x v="26"/>
    <s v="Male"/>
    <x v="4"/>
    <x v="66"/>
    <x v="475"/>
    <d v="2024-11-13T00:00:00"/>
    <n v="16"/>
    <x v="0"/>
    <x v="0"/>
    <x v="4"/>
    <s v="Yes"/>
    <s v="Recovered"/>
    <n v="3.6"/>
  </r>
  <r>
    <x v="477"/>
    <x v="60"/>
    <s v="Male"/>
    <x v="4"/>
    <x v="66"/>
    <x v="476"/>
    <d v="2024-11-14T00:00:00"/>
    <n v="16"/>
    <x v="0"/>
    <x v="0"/>
    <x v="4"/>
    <s v="No"/>
    <s v="Recovered"/>
    <n v="3.6"/>
  </r>
  <r>
    <x v="478"/>
    <x v="20"/>
    <s v="Male"/>
    <x v="4"/>
    <x v="66"/>
    <x v="477"/>
    <d v="2024-11-15T00:00:00"/>
    <n v="16"/>
    <x v="0"/>
    <x v="0"/>
    <x v="4"/>
    <s v="Yes"/>
    <s v="Recovered"/>
    <n v="3.6"/>
  </r>
  <r>
    <x v="479"/>
    <x v="12"/>
    <s v="Male"/>
    <x v="4"/>
    <x v="66"/>
    <x v="478"/>
    <d v="2024-11-16T00:00:00"/>
    <n v="16"/>
    <x v="0"/>
    <x v="0"/>
    <x v="4"/>
    <s v="No"/>
    <s v="Recovered"/>
    <n v="3.6"/>
  </r>
  <r>
    <x v="480"/>
    <x v="60"/>
    <s v="Male"/>
    <x v="4"/>
    <x v="66"/>
    <x v="479"/>
    <d v="2024-11-17T00:00:00"/>
    <n v="16"/>
    <x v="0"/>
    <x v="0"/>
    <x v="4"/>
    <s v="Yes"/>
    <s v="Recovered"/>
    <n v="3.6"/>
  </r>
  <r>
    <x v="481"/>
    <x v="15"/>
    <s v="Male"/>
    <x v="4"/>
    <x v="66"/>
    <x v="480"/>
    <d v="2024-11-18T00:00:00"/>
    <n v="16"/>
    <x v="0"/>
    <x v="0"/>
    <x v="4"/>
    <s v="Yes"/>
    <s v="Recovered"/>
    <n v="3.6"/>
  </r>
  <r>
    <x v="482"/>
    <x v="17"/>
    <s v="Male"/>
    <x v="4"/>
    <x v="66"/>
    <x v="481"/>
    <d v="2024-11-17T00:00:00"/>
    <n v="14"/>
    <x v="0"/>
    <x v="0"/>
    <x v="4"/>
    <s v="Yes"/>
    <s v="Recovered"/>
    <n v="3.6"/>
  </r>
  <r>
    <x v="483"/>
    <x v="12"/>
    <s v="Male"/>
    <x v="4"/>
    <x v="66"/>
    <x v="482"/>
    <d v="2024-11-18T00:00:00"/>
    <n v="14"/>
    <x v="0"/>
    <x v="0"/>
    <x v="4"/>
    <s v="No"/>
    <s v="Recovered"/>
    <n v="3.6"/>
  </r>
  <r>
    <x v="484"/>
    <x v="40"/>
    <s v="Male"/>
    <x v="4"/>
    <x v="66"/>
    <x v="483"/>
    <d v="2024-11-19T00:00:00"/>
    <n v="14"/>
    <x v="0"/>
    <x v="0"/>
    <x v="4"/>
    <s v="No"/>
    <s v="Recovered"/>
    <n v="3.6"/>
  </r>
  <r>
    <x v="485"/>
    <x v="17"/>
    <s v="Male"/>
    <x v="0"/>
    <x v="52"/>
    <x v="484"/>
    <d v="2024-11-20T00:00:00"/>
    <n v="14"/>
    <x v="0"/>
    <x v="0"/>
    <x v="0"/>
    <s v="Yes"/>
    <s v="Recovered"/>
    <n v="3.6"/>
  </r>
  <r>
    <x v="486"/>
    <x v="17"/>
    <s v="Male"/>
    <x v="0"/>
    <x v="52"/>
    <x v="485"/>
    <d v="2024-11-21T00:00:00"/>
    <n v="14"/>
    <x v="0"/>
    <x v="0"/>
    <x v="0"/>
    <s v="No"/>
    <s v="Recovered"/>
    <n v="3.6"/>
  </r>
  <r>
    <x v="487"/>
    <x v="18"/>
    <s v="Male"/>
    <x v="0"/>
    <x v="52"/>
    <x v="486"/>
    <d v="2024-11-22T00:00:00"/>
    <n v="14"/>
    <x v="0"/>
    <x v="0"/>
    <x v="0"/>
    <s v="Yes"/>
    <s v="Recovered"/>
    <n v="3.6"/>
  </r>
  <r>
    <x v="488"/>
    <x v="6"/>
    <s v="Male"/>
    <x v="0"/>
    <x v="52"/>
    <x v="487"/>
    <d v="2024-11-23T00:00:00"/>
    <n v="14"/>
    <x v="0"/>
    <x v="0"/>
    <x v="0"/>
    <s v="Yes"/>
    <s v="Recovered"/>
    <n v="3.6"/>
  </r>
  <r>
    <x v="489"/>
    <x v="70"/>
    <s v="Male"/>
    <x v="0"/>
    <x v="52"/>
    <x v="488"/>
    <d v="2024-11-24T00:00:00"/>
    <n v="14"/>
    <x v="0"/>
    <x v="0"/>
    <x v="0"/>
    <s v="No"/>
    <s v="Recovered"/>
    <n v="3.6"/>
  </r>
  <r>
    <x v="490"/>
    <x v="78"/>
    <s v="Male"/>
    <x v="0"/>
    <x v="52"/>
    <x v="489"/>
    <d v="2024-11-25T00:00:00"/>
    <n v="14"/>
    <x v="0"/>
    <x v="0"/>
    <x v="0"/>
    <s v="No"/>
    <s v="Recovered"/>
    <n v="3.6"/>
  </r>
  <r>
    <x v="491"/>
    <x v="19"/>
    <s v="Male"/>
    <x v="0"/>
    <x v="52"/>
    <x v="490"/>
    <d v="2024-11-26T00:00:00"/>
    <n v="14"/>
    <x v="0"/>
    <x v="0"/>
    <x v="0"/>
    <s v="Yes"/>
    <s v="Recovered"/>
    <n v="3.6"/>
  </r>
  <r>
    <x v="492"/>
    <x v="83"/>
    <s v="Male"/>
    <x v="0"/>
    <x v="52"/>
    <x v="491"/>
    <d v="2024-11-27T00:00:00"/>
    <n v="14"/>
    <x v="0"/>
    <x v="0"/>
    <x v="0"/>
    <s v="No"/>
    <s v="Recovered"/>
    <n v="3.6"/>
  </r>
  <r>
    <x v="493"/>
    <x v="4"/>
    <s v="Male"/>
    <x v="0"/>
    <x v="52"/>
    <x v="492"/>
    <d v="2024-11-28T00:00:00"/>
    <n v="14"/>
    <x v="0"/>
    <x v="0"/>
    <x v="0"/>
    <s v="Yes"/>
    <s v="Recovered"/>
    <n v="3.6"/>
  </r>
  <r>
    <x v="494"/>
    <x v="3"/>
    <s v="Male"/>
    <x v="0"/>
    <x v="52"/>
    <x v="493"/>
    <d v="2024-11-29T00:00:00"/>
    <n v="14"/>
    <x v="0"/>
    <x v="0"/>
    <x v="0"/>
    <s v="No"/>
    <s v="Recovered"/>
    <n v="3.6"/>
  </r>
  <r>
    <x v="495"/>
    <x v="84"/>
    <s v="Male"/>
    <x v="0"/>
    <x v="52"/>
    <x v="494"/>
    <d v="2024-11-30T00:00:00"/>
    <n v="14"/>
    <x v="0"/>
    <x v="0"/>
    <x v="0"/>
    <s v="Yes"/>
    <s v="Recovered"/>
    <n v="3.6"/>
  </r>
  <r>
    <x v="496"/>
    <x v="19"/>
    <s v="Male"/>
    <x v="0"/>
    <x v="52"/>
    <x v="495"/>
    <d v="2024-12-01T00:00:00"/>
    <n v="14"/>
    <x v="0"/>
    <x v="0"/>
    <x v="0"/>
    <s v="Yes"/>
    <s v="Recovered"/>
    <n v="3.6"/>
  </r>
  <r>
    <x v="497"/>
    <x v="18"/>
    <s v="Male"/>
    <x v="7"/>
    <x v="12"/>
    <x v="496"/>
    <d v="2025-01-10T00:00:00"/>
    <n v="10"/>
    <x v="127"/>
    <x v="2"/>
    <x v="7"/>
    <s v="No"/>
    <s v="Recovered"/>
    <n v="4"/>
  </r>
  <r>
    <x v="498"/>
    <x v="38"/>
    <s v="Male"/>
    <x v="2"/>
    <x v="36"/>
    <x v="497"/>
    <d v="2025-01-06T00:00:00"/>
    <n v="2"/>
    <x v="128"/>
    <x v="0"/>
    <x v="2"/>
    <s v="No"/>
    <s v="Recovered"/>
    <n v="4"/>
  </r>
  <r>
    <x v="499"/>
    <x v="52"/>
    <s v="Male"/>
    <x v="5"/>
    <x v="9"/>
    <x v="498"/>
    <d v="2025-01-20T00:00:00"/>
    <n v="5"/>
    <x v="117"/>
    <x v="2"/>
    <x v="5"/>
    <s v="No"/>
    <s v="Recovered"/>
    <n v="3"/>
  </r>
  <r>
    <x v="500"/>
    <x v="85"/>
    <s v="Male"/>
    <x v="5"/>
    <x v="61"/>
    <x v="499"/>
    <d v="2025-01-25T00:00:00"/>
    <n v="7"/>
    <x v="51"/>
    <x v="1"/>
    <x v="5"/>
    <s v="No"/>
    <s v="Recovered"/>
    <n v="4.2"/>
  </r>
  <r>
    <x v="501"/>
    <x v="56"/>
    <s v="Female"/>
    <x v="1"/>
    <x v="1"/>
    <x v="500"/>
    <d v="2025-02-02T00:00:00"/>
    <n v="10"/>
    <x v="117"/>
    <x v="1"/>
    <x v="1"/>
    <s v="No"/>
    <s v="Recovered"/>
    <n v="3.4"/>
  </r>
  <r>
    <x v="502"/>
    <x v="57"/>
    <s v="Male"/>
    <x v="1"/>
    <x v="3"/>
    <x v="501"/>
    <d v="2025-01-28T00:00:00"/>
    <n v="2"/>
    <x v="69"/>
    <x v="0"/>
    <x v="1"/>
    <s v="No"/>
    <s v="Recovered"/>
    <n v="3.2"/>
  </r>
  <r>
    <x v="503"/>
    <x v="42"/>
    <s v="Female"/>
    <x v="9"/>
    <x v="75"/>
    <x v="502"/>
    <d v="2025-02-04T00:00:00"/>
    <n v="2"/>
    <x v="21"/>
    <x v="0"/>
    <x v="9"/>
    <s v="No"/>
    <s v="Recovered"/>
    <n v="2.8"/>
  </r>
  <r>
    <x v="504"/>
    <x v="86"/>
    <s v="Male"/>
    <x v="5"/>
    <x v="48"/>
    <x v="503"/>
    <d v="2025-02-22T00:00:00"/>
    <n v="7"/>
    <x v="129"/>
    <x v="0"/>
    <x v="5"/>
    <s v="No"/>
    <s v="Recovered"/>
    <n v="2.1"/>
  </r>
  <r>
    <x v="505"/>
    <x v="53"/>
    <s v="Male"/>
    <x v="5"/>
    <x v="45"/>
    <x v="504"/>
    <d v="2025-02-27T00:00:00"/>
    <n v="7"/>
    <x v="6"/>
    <x v="2"/>
    <x v="5"/>
    <s v="Yes"/>
    <s v="Recovered"/>
    <n v="2"/>
  </r>
  <r>
    <x v="506"/>
    <x v="43"/>
    <s v="Female"/>
    <x v="2"/>
    <x v="5"/>
    <x v="505"/>
    <d v="2025-02-27T00:00:00"/>
    <n v="5"/>
    <x v="2"/>
    <x v="2"/>
    <x v="2"/>
    <s v="Yes"/>
    <s v="Recovered"/>
    <n v="4"/>
  </r>
  <r>
    <x v="507"/>
    <x v="25"/>
    <s v="Female"/>
    <x v="1"/>
    <x v="3"/>
    <x v="506"/>
    <d v="2025-02-28T00:00:00"/>
    <n v="4"/>
    <x v="130"/>
    <x v="1"/>
    <x v="1"/>
    <s v="No"/>
    <s v="Recovered"/>
    <n v="3"/>
  </r>
  <r>
    <x v="508"/>
    <x v="12"/>
    <s v="Male"/>
    <x v="2"/>
    <x v="36"/>
    <x v="507"/>
    <d v="2025-03-14T00:00:00"/>
    <n v="4"/>
    <x v="2"/>
    <x v="2"/>
    <x v="2"/>
    <s v="No"/>
    <s v="Recovered"/>
    <n v="3.5"/>
  </r>
  <r>
    <x v="509"/>
    <x v="81"/>
    <s v="Female"/>
    <x v="9"/>
    <x v="51"/>
    <x v="508"/>
    <d v="2025-03-15T00:00:00"/>
    <n v="2"/>
    <x v="94"/>
    <x v="0"/>
    <x v="9"/>
    <s v="Yes"/>
    <s v="Recovered"/>
    <n v="5"/>
  </r>
  <r>
    <x v="510"/>
    <x v="52"/>
    <s v="Male"/>
    <x v="4"/>
    <x v="76"/>
    <x v="509"/>
    <d v="2025-03-26T00:00:00"/>
    <n v="10"/>
    <x v="7"/>
    <x v="1"/>
    <x v="4"/>
    <s v="No"/>
    <s v="Recovered"/>
    <n v="5"/>
  </r>
  <r>
    <x v="511"/>
    <x v="37"/>
    <s v="Male"/>
    <x v="2"/>
    <x v="62"/>
    <x v="510"/>
    <d v="2025-03-25T00:00:00"/>
    <n v="7"/>
    <x v="87"/>
    <x v="1"/>
    <x v="2"/>
    <s v="Yes"/>
    <s v="Recovered"/>
    <n v="4"/>
  </r>
  <r>
    <x v="512"/>
    <x v="17"/>
    <s v="Female"/>
    <x v="9"/>
    <x v="30"/>
    <x v="511"/>
    <d v="2025-03-23T00:00:00"/>
    <n v="4"/>
    <x v="53"/>
    <x v="0"/>
    <x v="9"/>
    <s v="Yes"/>
    <s v="Recovered"/>
    <n v="4"/>
  </r>
  <r>
    <x v="513"/>
    <x v="25"/>
    <s v="Female"/>
    <x v="4"/>
    <x v="77"/>
    <x v="512"/>
    <d v="2025-03-24T00:00:00"/>
    <n v="4"/>
    <x v="115"/>
    <x v="2"/>
    <x v="4"/>
    <s v="No"/>
    <s v="Recovered"/>
    <n v="5"/>
  </r>
  <r>
    <x v="514"/>
    <x v="42"/>
    <s v="Male"/>
    <x v="3"/>
    <x v="38"/>
    <x v="513"/>
    <d v="2025-03-30T00:00:00"/>
    <n v="8"/>
    <x v="36"/>
    <x v="1"/>
    <x v="3"/>
    <s v="Yes"/>
    <s v="Recovered"/>
    <n v="4.9000000000000004"/>
  </r>
  <r>
    <x v="515"/>
    <x v="56"/>
    <s v="Female"/>
    <x v="2"/>
    <x v="78"/>
    <x v="514"/>
    <d v="2025-03-31T00:00:00"/>
    <n v="4"/>
    <x v="131"/>
    <x v="2"/>
    <x v="2"/>
    <s v="No"/>
    <s v="Recovered"/>
    <n v="5"/>
  </r>
  <r>
    <x v="516"/>
    <x v="81"/>
    <s v="Male"/>
    <x v="1"/>
    <x v="79"/>
    <x v="515"/>
    <d v="2025-04-03T00:00:00"/>
    <n v="1"/>
    <x v="22"/>
    <x v="1"/>
    <x v="1"/>
    <s v="No"/>
    <s v="Recovered"/>
    <n v="5"/>
  </r>
  <r>
    <x v="517"/>
    <x v="55"/>
    <s v="Male"/>
    <x v="4"/>
    <x v="54"/>
    <x v="516"/>
    <d v="2025-04-12T00:00:00"/>
    <n v="6"/>
    <x v="36"/>
    <x v="1"/>
    <x v="4"/>
    <s v="No"/>
    <s v="Recovered"/>
    <n v="5"/>
  </r>
  <r>
    <x v="518"/>
    <x v="53"/>
    <s v="Male"/>
    <x v="2"/>
    <x v="36"/>
    <x v="517"/>
    <d v="2025-04-16T00:00:00"/>
    <n v="4"/>
    <x v="22"/>
    <x v="0"/>
    <x v="2"/>
    <s v="No"/>
    <s v="Recovered"/>
    <n v="4"/>
  </r>
  <r>
    <x v="519"/>
    <x v="49"/>
    <s v="Female"/>
    <x v="9"/>
    <x v="41"/>
    <x v="518"/>
    <d v="2025-04-23T00:00:00"/>
    <n v="9"/>
    <x v="85"/>
    <x v="0"/>
    <x v="9"/>
    <s v="Yes"/>
    <s v="Recovered"/>
    <n v="5"/>
  </r>
  <r>
    <x v="520"/>
    <x v="43"/>
    <s v="Male"/>
    <x v="4"/>
    <x v="80"/>
    <x v="519"/>
    <d v="2025-04-25T00:00:00"/>
    <n v="9"/>
    <x v="73"/>
    <x v="1"/>
    <x v="4"/>
    <s v="Yes"/>
    <s v="Recovered"/>
    <n v="5"/>
  </r>
  <r>
    <x v="521"/>
    <x v="75"/>
    <s v="Female"/>
    <x v="8"/>
    <x v="13"/>
    <x v="520"/>
    <d v="2025-04-25T00:00:00"/>
    <n v="5"/>
    <x v="77"/>
    <x v="0"/>
    <x v="8"/>
    <s v="Yes"/>
    <s v="Recovered"/>
    <n v="5"/>
  </r>
  <r>
    <x v="522"/>
    <x v="71"/>
    <s v="Female"/>
    <x v="2"/>
    <x v="11"/>
    <x v="521"/>
    <d v="2025-04-30T00:00:00"/>
    <n v="9"/>
    <x v="132"/>
    <x v="1"/>
    <x v="2"/>
    <s v="No"/>
    <s v="Recovered"/>
    <n v="4"/>
  </r>
  <r>
    <x v="523"/>
    <x v="42"/>
    <s v="Male"/>
    <x v="5"/>
    <x v="48"/>
    <x v="522"/>
    <d v="2025-04-30T00:00:00"/>
    <n v="8"/>
    <x v="133"/>
    <x v="0"/>
    <x v="5"/>
    <s v="No"/>
    <s v="Recovered"/>
    <n v="4"/>
  </r>
  <r>
    <x v="524"/>
    <x v="25"/>
    <s v="Male"/>
    <x v="4"/>
    <x v="14"/>
    <x v="523"/>
    <d v="2025-04-29T00:00:00"/>
    <n v="6"/>
    <x v="94"/>
    <x v="1"/>
    <x v="4"/>
    <s v="Yes"/>
    <s v="Recovered"/>
    <n v="4"/>
  </r>
  <r>
    <x v="525"/>
    <x v="25"/>
    <s v="Male"/>
    <x v="4"/>
    <x v="81"/>
    <x v="524"/>
    <d v="2025-05-07T00:00:00"/>
    <n v="8"/>
    <x v="0"/>
    <x v="2"/>
    <x v="4"/>
    <s v="Yes"/>
    <s v="Recovered"/>
    <n v="4.8"/>
  </r>
  <r>
    <x v="526"/>
    <x v="87"/>
    <s v="Male"/>
    <x v="5"/>
    <x v="45"/>
    <x v="525"/>
    <d v="2025-05-21T00:00:00"/>
    <n v="11"/>
    <x v="7"/>
    <x v="2"/>
    <x v="5"/>
    <s v="Yes"/>
    <s v="Recovered"/>
    <n v="4.4000000000000004"/>
  </r>
  <r>
    <x v="527"/>
    <x v="31"/>
    <s v="Female"/>
    <x v="5"/>
    <x v="68"/>
    <x v="525"/>
    <d v="2026-05-20T00:00:00"/>
    <n v="10"/>
    <x v="98"/>
    <x v="0"/>
    <x v="5"/>
    <s v="Yes"/>
    <s v="Recovered"/>
    <n v="3.5"/>
  </r>
  <r>
    <x v="528"/>
    <x v="65"/>
    <s v="Female"/>
    <x v="1"/>
    <x v="82"/>
    <x v="526"/>
    <d v="2025-05-15T00:00:00"/>
    <n v="4"/>
    <x v="3"/>
    <x v="1"/>
    <x v="1"/>
    <s v="No"/>
    <s v="Recovered"/>
    <n v="5"/>
  </r>
  <r>
    <x v="529"/>
    <x v="25"/>
    <s v="Female"/>
    <x v="5"/>
    <x v="61"/>
    <x v="527"/>
    <d v="2025-05-22T00:00:00"/>
    <n v="10"/>
    <x v="87"/>
    <x v="0"/>
    <x v="5"/>
    <s v="No"/>
    <s v="Recovered"/>
    <n v="3"/>
  </r>
  <r>
    <x v="530"/>
    <x v="61"/>
    <s v="Male"/>
    <x v="4"/>
    <x v="83"/>
    <x v="528"/>
    <d v="2025-05-27T00:00:00"/>
    <n v="9"/>
    <x v="63"/>
    <x v="2"/>
    <x v="4"/>
    <s v="Yes"/>
    <s v="Recovered"/>
    <n v="4"/>
  </r>
  <r>
    <x v="531"/>
    <x v="42"/>
    <s v="Female"/>
    <x v="2"/>
    <x v="65"/>
    <x v="529"/>
    <d v="2025-05-31T00:00:00"/>
    <n v="8"/>
    <x v="0"/>
    <x v="2"/>
    <x v="2"/>
    <s v="Yes"/>
    <s v="Recovered"/>
    <n v="4"/>
  </r>
  <r>
    <x v="532"/>
    <x v="25"/>
    <s v="Female"/>
    <x v="4"/>
    <x v="84"/>
    <x v="530"/>
    <d v="2025-06-01T00:00:00"/>
    <n v="7"/>
    <x v="44"/>
    <x v="1"/>
    <x v="4"/>
    <s v="Yes"/>
    <s v="Recovered"/>
    <n v="5"/>
  </r>
  <r>
    <x v="533"/>
    <x v="30"/>
    <s v="Male"/>
    <x v="1"/>
    <x v="4"/>
    <x v="531"/>
    <d v="2025-05-31T00:00:00"/>
    <n v="3"/>
    <x v="20"/>
    <x v="0"/>
    <x v="1"/>
    <s v="No"/>
    <s v="Recovered"/>
    <n v="4"/>
  </r>
  <r>
    <x v="534"/>
    <x v="68"/>
    <s v="Male"/>
    <x v="4"/>
    <x v="85"/>
    <x v="532"/>
    <d v="2025-06-07T00:00:00"/>
    <n v="7"/>
    <x v="0"/>
    <x v="1"/>
    <x v="4"/>
    <s v="No"/>
    <s v="Recovered"/>
    <n v="4"/>
  </r>
  <r>
    <x v="535"/>
    <x v="25"/>
    <s v="Female"/>
    <x v="8"/>
    <x v="13"/>
    <x v="533"/>
    <d v="2025-06-15T00:00:00"/>
    <n v="4"/>
    <x v="0"/>
    <x v="2"/>
    <x v="8"/>
    <s v="No"/>
    <s v="Recovered"/>
    <n v="4"/>
  </r>
  <r>
    <x v="536"/>
    <x v="25"/>
    <s v="Female"/>
    <x v="8"/>
    <x v="86"/>
    <x v="534"/>
    <d v="2025-06-25T00:00:00"/>
    <n v="10"/>
    <x v="43"/>
    <x v="1"/>
    <x v="8"/>
    <s v="Yes"/>
    <s v="Recovered"/>
    <n v="3"/>
  </r>
  <r>
    <x v="537"/>
    <x v="14"/>
    <s v="Male"/>
    <x v="3"/>
    <x v="35"/>
    <x v="535"/>
    <d v="2025-06-29T00:00:00"/>
    <n v="12"/>
    <x v="46"/>
    <x v="1"/>
    <x v="3"/>
    <s v="Yes"/>
    <s v="Recovered"/>
    <n v="4"/>
  </r>
  <r>
    <x v="538"/>
    <x v="59"/>
    <s v="Female"/>
    <x v="3"/>
    <x v="87"/>
    <x v="536"/>
    <d v="2025-06-25T00:00:00"/>
    <n v="6"/>
    <x v="43"/>
    <x v="2"/>
    <x v="3"/>
    <s v="Yes"/>
    <s v="Recovered"/>
    <n v="4"/>
  </r>
  <r>
    <x v="539"/>
    <x v="25"/>
    <s v="Male"/>
    <x v="8"/>
    <x v="58"/>
    <x v="537"/>
    <d v="2025-06-30T00:00:00"/>
    <n v="9"/>
    <x v="0"/>
    <x v="2"/>
    <x v="8"/>
    <s v="No"/>
    <s v="Recovered"/>
    <n v="3"/>
  </r>
  <r>
    <x v="540"/>
    <x v="41"/>
    <s v="Male"/>
    <x v="3"/>
    <x v="46"/>
    <x v="538"/>
    <d v="2025-07-07T00:00:00"/>
    <n v="6"/>
    <x v="53"/>
    <x v="0"/>
    <x v="3"/>
    <s v="No"/>
    <s v="Recovered"/>
    <n v="4"/>
  </r>
  <r>
    <x v="541"/>
    <x v="45"/>
    <s v="Male"/>
    <x v="4"/>
    <x v="88"/>
    <x v="539"/>
    <d v="2025-07-17T00:00:00"/>
    <n v="5"/>
    <x v="102"/>
    <x v="0"/>
    <x v="4"/>
    <s v="No"/>
    <s v="Recovered"/>
    <n v="3"/>
  </r>
  <r>
    <x v="542"/>
    <x v="31"/>
    <s v="Female"/>
    <x v="9"/>
    <x v="51"/>
    <x v="540"/>
    <d v="2025-07-20T00:00:00"/>
    <n v="6"/>
    <x v="102"/>
    <x v="0"/>
    <x v="9"/>
    <s v="No"/>
    <s v="Recovered"/>
    <n v="4"/>
  </r>
  <r>
    <x v="543"/>
    <x v="30"/>
    <s v="Female"/>
    <x v="6"/>
    <x v="89"/>
    <x v="541"/>
    <d v="2025-07-24T00:00:00"/>
    <n v="9"/>
    <x v="21"/>
    <x v="1"/>
    <x v="6"/>
    <s v="Yes"/>
    <s v="Recovered"/>
    <n v="3"/>
  </r>
  <r>
    <x v="544"/>
    <x v="45"/>
    <s v="Male"/>
    <x v="3"/>
    <x v="90"/>
    <x v="542"/>
    <d v="2025-07-25T00:00:00"/>
    <n v="9"/>
    <x v="134"/>
    <x v="0"/>
    <x v="3"/>
    <s v="No"/>
    <s v="Recovered"/>
    <n v="4"/>
  </r>
  <r>
    <x v="545"/>
    <x v="54"/>
    <s v="Male"/>
    <x v="7"/>
    <x v="40"/>
    <x v="543"/>
    <d v="2025-07-28T00:00:00"/>
    <n v="5"/>
    <x v="73"/>
    <x v="1"/>
    <x v="7"/>
    <s v="Yes"/>
    <s v="Recovered"/>
    <n v="4"/>
  </r>
  <r>
    <x v="546"/>
    <x v="63"/>
    <s v="Female"/>
    <x v="3"/>
    <x v="46"/>
    <x v="544"/>
    <d v="2025-08-01T00:00:00"/>
    <n v="7"/>
    <x v="135"/>
    <x v="1"/>
    <x v="3"/>
    <s v="No"/>
    <s v="Recovered"/>
    <n v="4"/>
  </r>
  <r>
    <x v="547"/>
    <x v="53"/>
    <s v="Female"/>
    <x v="1"/>
    <x v="31"/>
    <x v="545"/>
    <d v="2025-08-01T00:00:00"/>
    <n v="1"/>
    <x v="20"/>
    <x v="0"/>
    <x v="1"/>
    <s v="No"/>
    <s v="Recovered"/>
    <n v="3"/>
  </r>
  <r>
    <x v="548"/>
    <x v="25"/>
    <s v="Female"/>
    <x v="2"/>
    <x v="5"/>
    <x v="546"/>
    <d v="2025-08-05T00:00:00"/>
    <n v="5"/>
    <x v="45"/>
    <x v="1"/>
    <x v="2"/>
    <s v="Yes"/>
    <s v="Recovered"/>
    <n v="4"/>
  </r>
  <r>
    <x v="549"/>
    <x v="57"/>
    <s v="Male"/>
    <x v="8"/>
    <x v="26"/>
    <x v="547"/>
    <d v="2025-08-12T00:00:00"/>
    <n v="7"/>
    <x v="63"/>
    <x v="0"/>
    <x v="8"/>
    <s v="No"/>
    <s v="Recovered"/>
    <n v="4"/>
  </r>
  <r>
    <x v="550"/>
    <x v="35"/>
    <s v="Male"/>
    <x v="7"/>
    <x v="12"/>
    <x v="548"/>
    <d v="2025-08-30T00:00:00"/>
    <n v="20"/>
    <x v="43"/>
    <x v="2"/>
    <x v="7"/>
    <s v="No"/>
    <s v="Recovered"/>
    <n v="3"/>
  </r>
  <r>
    <x v="551"/>
    <x v="42"/>
    <s v="Male"/>
    <x v="4"/>
    <x v="59"/>
    <x v="549"/>
    <d v="2025-08-24T00:00:00"/>
    <n v="11"/>
    <x v="44"/>
    <x v="0"/>
    <x v="4"/>
    <s v="No"/>
    <s v="Recovered"/>
    <n v="3"/>
  </r>
  <r>
    <x v="552"/>
    <x v="25"/>
    <s v="Male"/>
    <x v="8"/>
    <x v="58"/>
    <x v="550"/>
    <d v="2025-08-24T00:00:00"/>
    <n v="9"/>
    <x v="43"/>
    <x v="0"/>
    <x v="8"/>
    <s v="No"/>
    <s v="Recovered"/>
    <n v="5"/>
  </r>
  <r>
    <x v="553"/>
    <x v="53"/>
    <s v="Male"/>
    <x v="7"/>
    <x v="91"/>
    <x v="551"/>
    <d v="2025-08-29T00:00:00"/>
    <n v="10"/>
    <x v="0"/>
    <x v="1"/>
    <x v="7"/>
    <s v="No"/>
    <s v="Recovered"/>
    <n v="3"/>
  </r>
  <r>
    <x v="554"/>
    <x v="66"/>
    <s v="Male"/>
    <x v="2"/>
    <x v="65"/>
    <x v="552"/>
    <d v="2025-09-01T00:00:00"/>
    <n v="9"/>
    <x v="3"/>
    <x v="0"/>
    <x v="2"/>
    <s v="Yes"/>
    <s v="Recovered"/>
    <n v="4"/>
  </r>
  <r>
    <x v="555"/>
    <x v="33"/>
    <s v="Female"/>
    <x v="2"/>
    <x v="62"/>
    <x v="553"/>
    <d v="2025-09-03T00:00:00"/>
    <n v="10"/>
    <x v="50"/>
    <x v="1"/>
    <x v="2"/>
    <s v="No"/>
    <s v="Recovered"/>
    <n v="4"/>
  </r>
  <r>
    <x v="556"/>
    <x v="43"/>
    <s v="Male"/>
    <x v="4"/>
    <x v="66"/>
    <x v="554"/>
    <d v="2025-09-01T00:00:00"/>
    <n v="7"/>
    <x v="32"/>
    <x v="0"/>
    <x v="4"/>
    <s v="No"/>
    <s v="Recovered"/>
    <n v="3"/>
  </r>
  <r>
    <x v="557"/>
    <x v="21"/>
    <s v="Male"/>
    <x v="5"/>
    <x v="61"/>
    <x v="555"/>
    <d v="2025-09-03T00:00:00"/>
    <n v="7"/>
    <x v="13"/>
    <x v="2"/>
    <x v="5"/>
    <s v="Yes"/>
    <s v="Recovered"/>
    <n v="3"/>
  </r>
  <r>
    <x v="558"/>
    <x v="27"/>
    <s v="Female"/>
    <x v="6"/>
    <x v="10"/>
    <x v="556"/>
    <d v="2025-09-04T00:00:00"/>
    <n v="7"/>
    <x v="9"/>
    <x v="0"/>
    <x v="6"/>
    <s v="Yes"/>
    <s v="Recovered"/>
    <n v="3"/>
  </r>
  <r>
    <x v="559"/>
    <x v="21"/>
    <s v="Male"/>
    <x v="5"/>
    <x v="48"/>
    <x v="557"/>
    <d v="2025-09-07T00:00:00"/>
    <n v="7"/>
    <x v="136"/>
    <x v="1"/>
    <x v="5"/>
    <s v="Yes"/>
    <s v="Recovered"/>
    <n v="4"/>
  </r>
  <r>
    <x v="560"/>
    <x v="30"/>
    <s v="Female"/>
    <x v="9"/>
    <x v="30"/>
    <x v="558"/>
    <d v="2025-09-10T00:00:00"/>
    <n v="7"/>
    <x v="85"/>
    <x v="1"/>
    <x v="9"/>
    <s v="No"/>
    <s v="Recovered"/>
    <n v="3"/>
  </r>
  <r>
    <x v="561"/>
    <x v="6"/>
    <s v="Male"/>
    <x v="4"/>
    <x v="39"/>
    <x v="559"/>
    <d v="2025-09-15T00:00:00"/>
    <n v="10"/>
    <x v="60"/>
    <x v="1"/>
    <x v="4"/>
    <s v="Yes"/>
    <s v="Recovered"/>
    <n v="4"/>
  </r>
  <r>
    <x v="562"/>
    <x v="25"/>
    <s v="Female"/>
    <x v="3"/>
    <x v="32"/>
    <x v="560"/>
    <d v="2025-09-14T00:00:00"/>
    <n v="7"/>
    <x v="6"/>
    <x v="2"/>
    <x v="3"/>
    <s v="Yes"/>
    <s v="Recovered"/>
    <n v="4"/>
  </r>
  <r>
    <x v="563"/>
    <x v="16"/>
    <s v="Male"/>
    <x v="1"/>
    <x v="31"/>
    <x v="561"/>
    <d v="2025-09-11T00:00:00"/>
    <n v="3"/>
    <x v="58"/>
    <x v="0"/>
    <x v="1"/>
    <s v="No"/>
    <s v="Recovered"/>
    <n v="3"/>
  </r>
  <r>
    <x v="564"/>
    <x v="42"/>
    <s v="Male"/>
    <x v="4"/>
    <x v="66"/>
    <x v="562"/>
    <d v="2025-09-25T00:00:00"/>
    <n v="5"/>
    <x v="7"/>
    <x v="1"/>
    <x v="4"/>
    <s v="Yes"/>
    <s v="Recovered"/>
    <n v="4"/>
  </r>
  <r>
    <x v="565"/>
    <x v="63"/>
    <s v="Male"/>
    <x v="0"/>
    <x v="52"/>
    <x v="563"/>
    <d v="2025-09-29T00:00:00"/>
    <n v="8"/>
    <x v="87"/>
    <x v="1"/>
    <x v="0"/>
    <s v="No"/>
    <s v="Recovered"/>
    <n v="3"/>
  </r>
  <r>
    <x v="566"/>
    <x v="7"/>
    <s v="Female"/>
    <x v="2"/>
    <x v="44"/>
    <x v="564"/>
    <d v="2025-10-17T00:00:00"/>
    <n v="9"/>
    <x v="137"/>
    <x v="2"/>
    <x v="2"/>
    <s v="No"/>
    <s v="Recovered"/>
    <n v="2"/>
  </r>
  <r>
    <x v="567"/>
    <x v="53"/>
    <s v="Male"/>
    <x v="4"/>
    <x v="8"/>
    <x v="565"/>
    <d v="2025-10-10T00:00:00"/>
    <n v="1"/>
    <x v="93"/>
    <x v="0"/>
    <x v="4"/>
    <s v="No"/>
    <s v="Recovered"/>
    <n v="3"/>
  </r>
  <r>
    <x v="568"/>
    <x v="25"/>
    <s v="Male"/>
    <x v="1"/>
    <x v="3"/>
    <x v="566"/>
    <d v="2025-10-21T00:00:00"/>
    <n v="11"/>
    <x v="83"/>
    <x v="1"/>
    <x v="1"/>
    <s v="No"/>
    <s v="Recovered"/>
    <n v="5"/>
  </r>
  <r>
    <x v="569"/>
    <x v="17"/>
    <s v="Female"/>
    <x v="2"/>
    <x v="62"/>
    <x v="567"/>
    <d v="2025-10-13T00:00:00"/>
    <n v="2"/>
    <x v="62"/>
    <x v="0"/>
    <x v="2"/>
    <s v="Yes"/>
    <s v="Recovered"/>
    <n v="4"/>
  </r>
  <r>
    <x v="570"/>
    <x v="25"/>
    <s v="Male"/>
    <x v="2"/>
    <x v="47"/>
    <x v="568"/>
    <d v="2025-10-24T00:00:00"/>
    <n v="10"/>
    <x v="7"/>
    <x v="0"/>
    <x v="2"/>
    <s v="No"/>
    <s v="Recovered"/>
    <n v="5"/>
  </r>
  <r>
    <x v="571"/>
    <x v="25"/>
    <s v="Male"/>
    <x v="4"/>
    <x v="8"/>
    <x v="569"/>
    <d v="2025-10-25T00:00:00"/>
    <n v="4"/>
    <x v="63"/>
    <x v="0"/>
    <x v="4"/>
    <s v="No"/>
    <s v="Recovered"/>
    <n v="4"/>
  </r>
  <r>
    <x v="572"/>
    <x v="15"/>
    <s v="Male"/>
    <x v="5"/>
    <x v="48"/>
    <x v="570"/>
    <d v="2025-10-31T00:00:00"/>
    <n v="4"/>
    <x v="20"/>
    <x v="0"/>
    <x v="5"/>
    <s v="No"/>
    <s v="Recovered"/>
    <n v="4"/>
  </r>
  <r>
    <x v="573"/>
    <x v="6"/>
    <s v="Male"/>
    <x v="5"/>
    <x v="45"/>
    <x v="571"/>
    <d v="2025-11-10T00:00:00"/>
    <n v="7"/>
    <x v="44"/>
    <x v="0"/>
    <x v="5"/>
    <s v="No"/>
    <s v="Recovered"/>
    <n v="3"/>
  </r>
  <r>
    <x v="574"/>
    <x v="69"/>
    <s v="Female"/>
    <x v="4"/>
    <x v="8"/>
    <x v="572"/>
    <d v="2025-11-15T00:00:00"/>
    <n v="7"/>
    <x v="63"/>
    <x v="0"/>
    <x v="4"/>
    <s v="No"/>
    <s v="Recovered"/>
    <n v="3.8"/>
  </r>
  <r>
    <x v="575"/>
    <x v="86"/>
    <s v="Female"/>
    <x v="7"/>
    <x v="50"/>
    <x v="573"/>
    <d v="2025-11-19T00:00:00"/>
    <n v="10"/>
    <x v="46"/>
    <x v="0"/>
    <x v="7"/>
    <s v="No"/>
    <s v="Recovered"/>
    <n v="3.9"/>
  </r>
  <r>
    <x v="576"/>
    <x v="30"/>
    <s v="Male"/>
    <x v="7"/>
    <x v="12"/>
    <x v="574"/>
    <d v="2025-11-19T00:00:00"/>
    <n v="8"/>
    <x v="0"/>
    <x v="2"/>
    <x v="7"/>
    <s v="No"/>
    <s v="Recovered"/>
    <n v="4"/>
  </r>
  <r>
    <x v="577"/>
    <x v="31"/>
    <s v="Male"/>
    <x v="2"/>
    <x v="62"/>
    <x v="575"/>
    <d v="2025-11-18T00:00:00"/>
    <n v="7"/>
    <x v="45"/>
    <x v="2"/>
    <x v="10"/>
    <s v="Yes"/>
    <s v="Recovered"/>
    <n v="3"/>
  </r>
  <r>
    <x v="578"/>
    <x v="43"/>
    <s v="Female"/>
    <x v="6"/>
    <x v="10"/>
    <x v="576"/>
    <d v="2025-11-25T00:00:00"/>
    <n v="6"/>
    <x v="45"/>
    <x v="2"/>
    <x v="6"/>
    <s v="Yes"/>
    <s v="Recovered"/>
    <n v="3"/>
  </r>
  <r>
    <x v="579"/>
    <x v="25"/>
    <s v="Female"/>
    <x v="9"/>
    <x v="30"/>
    <x v="577"/>
    <d v="2025-11-29T00:00:00"/>
    <n v="9"/>
    <x v="44"/>
    <x v="0"/>
    <x v="9"/>
    <s v="No"/>
    <s v="Recovered"/>
    <n v="4"/>
  </r>
  <r>
    <x v="580"/>
    <x v="63"/>
    <s v="Female"/>
    <x v="3"/>
    <x v="7"/>
    <x v="578"/>
    <d v="2025-12-12T00:00:00"/>
    <n v="11"/>
    <x v="0"/>
    <x v="2"/>
    <x v="3"/>
    <s v="Yes"/>
    <s v="Recovered"/>
    <n v="5"/>
  </r>
  <r>
    <x v="581"/>
    <x v="45"/>
    <s v="Female"/>
    <x v="7"/>
    <x v="12"/>
    <x v="579"/>
    <d v="2025-12-15T00:00:00"/>
    <n v="13"/>
    <x v="46"/>
    <x v="2"/>
    <x v="7"/>
    <s v="No"/>
    <s v="Recovered"/>
    <n v="2"/>
  </r>
  <r>
    <x v="582"/>
    <x v="74"/>
    <s v="Female"/>
    <x v="3"/>
    <x v="7"/>
    <x v="580"/>
    <d v="2025-12-20T00:00:00"/>
    <n v="17"/>
    <x v="96"/>
    <x v="2"/>
    <x v="3"/>
    <s v="No"/>
    <s v="Recovered"/>
    <n v="1"/>
  </r>
  <r>
    <x v="583"/>
    <x v="25"/>
    <s v="Male"/>
    <x v="2"/>
    <x v="36"/>
    <x v="581"/>
    <d v="2025-12-10T00:00:00"/>
    <n v="5"/>
    <x v="138"/>
    <x v="0"/>
    <x v="2"/>
    <s v="No"/>
    <s v="Recovered"/>
    <n v="1"/>
  </r>
  <r>
    <x v="584"/>
    <x v="25"/>
    <s v="Male"/>
    <x v="8"/>
    <x v="58"/>
    <x v="582"/>
    <d v="2025-12-14T00:00:00"/>
    <n v="6"/>
    <x v="139"/>
    <x v="1"/>
    <x v="8"/>
    <s v="No"/>
    <s v="Recovered"/>
    <n v="3"/>
  </r>
  <r>
    <x v="585"/>
    <x v="11"/>
    <s v="Female"/>
    <x v="6"/>
    <x v="10"/>
    <x v="583"/>
    <d v="2025-12-13T00:00:00"/>
    <n v="4"/>
    <x v="94"/>
    <x v="0"/>
    <x v="6"/>
    <s v="No"/>
    <s v="Recovered"/>
    <n v="2"/>
  </r>
  <r>
    <x v="586"/>
    <x v="57"/>
    <s v="Female"/>
    <x v="5"/>
    <x v="45"/>
    <x v="584"/>
    <d v="2025-12-22T00:00:00"/>
    <n v="8"/>
    <x v="57"/>
    <x v="2"/>
    <x v="5"/>
    <s v="Yes"/>
    <s v="Recovered"/>
    <n v="4"/>
  </r>
  <r>
    <x v="587"/>
    <x v="25"/>
    <s v="Female"/>
    <x v="9"/>
    <x v="30"/>
    <x v="585"/>
    <d v="2025-12-19T00:00:00"/>
    <n v="4"/>
    <x v="0"/>
    <x v="1"/>
    <x v="9"/>
    <s v="Yes"/>
    <s v="Recovered"/>
    <n v="5"/>
  </r>
  <r>
    <x v="588"/>
    <x v="42"/>
    <s v="Male"/>
    <x v="5"/>
    <x v="48"/>
    <x v="586"/>
    <d v="2025-12-28T00:00:00"/>
    <n v="11"/>
    <x v="4"/>
    <x v="0"/>
    <x v="5"/>
    <s v="No"/>
    <s v="Recovered"/>
    <n v="4"/>
  </r>
  <r>
    <x v="589"/>
    <x v="16"/>
    <s v="Male"/>
    <x v="5"/>
    <x v="72"/>
    <x v="587"/>
    <d v="2025-12-20T00:00:00"/>
    <n v="2"/>
    <x v="7"/>
    <x v="0"/>
    <x v="5"/>
    <s v="No"/>
    <s v="Recovered"/>
    <n v="3"/>
  </r>
  <r>
    <x v="590"/>
    <x v="25"/>
    <s v="Male"/>
    <x v="4"/>
    <x v="8"/>
    <x v="588"/>
    <d v="2025-12-27T00:00:00"/>
    <n v="8"/>
    <x v="4"/>
    <x v="0"/>
    <x v="4"/>
    <s v="Yes"/>
    <s v="Recovered"/>
    <n v="2"/>
  </r>
  <r>
    <x v="591"/>
    <x v="25"/>
    <s v="Female"/>
    <x v="1"/>
    <x v="3"/>
    <x v="589"/>
    <d v="2025-12-29T00:00:00"/>
    <n v="9"/>
    <x v="7"/>
    <x v="1"/>
    <x v="1"/>
    <s v="No"/>
    <s v="Recovered"/>
    <n v="1"/>
  </r>
  <r>
    <x v="592"/>
    <x v="42"/>
    <s v="Female"/>
    <x v="0"/>
    <x v="6"/>
    <x v="590"/>
    <d v="2025-12-29T00:00:00"/>
    <n v="8"/>
    <x v="4"/>
    <x v="0"/>
    <x v="0"/>
    <s v="Yes"/>
    <s v="Recovered"/>
    <n v="1"/>
  </r>
  <r>
    <x v="593"/>
    <x v="25"/>
    <s v="Female"/>
    <x v="7"/>
    <x v="12"/>
    <x v="591"/>
    <d v="2026-02-16T00:00:00"/>
    <n v="19"/>
    <x v="140"/>
    <x v="1"/>
    <x v="7"/>
    <s v="Yes"/>
    <s v="Recovered"/>
    <n v="4.8"/>
  </r>
  <r>
    <x v="594"/>
    <x v="14"/>
    <s v="Female"/>
    <x v="7"/>
    <x v="63"/>
    <x v="592"/>
    <d v="2026-02-20T00:00:00"/>
    <n v="22"/>
    <x v="141"/>
    <x v="0"/>
    <x v="7"/>
    <s v="Yes"/>
    <s v="Recovered"/>
    <n v="4.8"/>
  </r>
  <r>
    <x v="595"/>
    <x v="25"/>
    <s v="Male"/>
    <x v="5"/>
    <x v="45"/>
    <x v="593"/>
    <d v="2026-02-20T00:00:00"/>
    <n v="5"/>
    <x v="47"/>
    <x v="2"/>
    <x v="5"/>
    <s v="No"/>
    <s v="Recovered"/>
    <n v="4"/>
  </r>
  <r>
    <x v="596"/>
    <x v="26"/>
    <s v="Female"/>
    <x v="5"/>
    <x v="72"/>
    <x v="594"/>
    <d v="2026-02-20T00:00:00"/>
    <n v="4"/>
    <x v="0"/>
    <x v="2"/>
    <x v="5"/>
    <s v="Yes"/>
    <s v="Recovered"/>
    <n v="3"/>
  </r>
  <r>
    <x v="597"/>
    <x v="30"/>
    <s v="Female"/>
    <x v="9"/>
    <x v="30"/>
    <x v="595"/>
    <d v="2026-02-21T00:00:00"/>
    <n v="4"/>
    <x v="86"/>
    <x v="0"/>
    <x v="9"/>
    <s v="No"/>
    <s v="Recovered"/>
    <n v="5"/>
  </r>
  <r>
    <x v="598"/>
    <x v="31"/>
    <s v="Female"/>
    <x v="4"/>
    <x v="66"/>
    <x v="596"/>
    <d v="2026-02-22T00:00:00"/>
    <n v="4"/>
    <x v="0"/>
    <x v="0"/>
    <x v="4"/>
    <s v="Yes"/>
    <s v="Recovered"/>
    <n v="4"/>
  </r>
  <r>
    <x v="599"/>
    <x v="19"/>
    <s v="Female"/>
    <x v="3"/>
    <x v="64"/>
    <x v="597"/>
    <d v="2026-02-28T00:00:00"/>
    <n v="9"/>
    <x v="43"/>
    <x v="2"/>
    <x v="3"/>
    <s v="No"/>
    <s v="Recovered"/>
    <n v="3"/>
  </r>
  <r>
    <x v="600"/>
    <x v="25"/>
    <s v="Male"/>
    <x v="5"/>
    <x v="68"/>
    <x v="598"/>
    <d v="2026-02-27T00:00:00"/>
    <n v="7"/>
    <x v="71"/>
    <x v="0"/>
    <x v="5"/>
    <s v="No"/>
    <s v="Recovered"/>
    <n v="5"/>
  </r>
  <r>
    <x v="601"/>
    <x v="22"/>
    <s v="Male"/>
    <x v="6"/>
    <x v="10"/>
    <x v="599"/>
    <d v="2026-02-25T00:00:00"/>
    <n v="4"/>
    <x v="45"/>
    <x v="0"/>
    <x v="6"/>
    <s v="No"/>
    <s v="Recovered"/>
    <n v="4"/>
  </r>
  <r>
    <x v="602"/>
    <x v="66"/>
    <s v="Female"/>
    <x v="2"/>
    <x v="92"/>
    <x v="600"/>
    <d v="2026-02-28T00:00:00"/>
    <n v="5"/>
    <x v="0"/>
    <x v="2"/>
    <x v="2"/>
    <s v="No"/>
    <s v="Recovered"/>
    <n v="2"/>
  </r>
  <r>
    <x v="603"/>
    <x v="17"/>
    <s v="Female"/>
    <x v="3"/>
    <x v="7"/>
    <x v="601"/>
    <d v="2026-03-02T00:00:00"/>
    <n v="6"/>
    <x v="71"/>
    <x v="0"/>
    <x v="3"/>
    <s v="Yes"/>
    <s v="Recovered"/>
    <n v="1"/>
  </r>
  <r>
    <x v="604"/>
    <x v="25"/>
    <s v="Female"/>
    <x v="0"/>
    <x v="6"/>
    <x v="602"/>
    <d v="2025-03-03T00:00:00"/>
    <n v="6"/>
    <x v="43"/>
    <x v="1"/>
    <x v="0"/>
    <s v="No"/>
    <s v="Recovered"/>
    <n v="2"/>
  </r>
  <r>
    <x v="605"/>
    <x v="16"/>
    <s v="Male"/>
    <x v="4"/>
    <x v="8"/>
    <x v="603"/>
    <d v="2026-02-28T00:00:00"/>
    <n v="2"/>
    <x v="20"/>
    <x v="0"/>
    <x v="4"/>
    <s v="Yes"/>
    <s v="Recovered"/>
    <n v="3"/>
  </r>
  <r>
    <x v="606"/>
    <x v="31"/>
    <s v="Female"/>
    <x v="2"/>
    <x v="62"/>
    <x v="604"/>
    <d v="2026-03-05T00:00:00"/>
    <n v="5"/>
    <x v="53"/>
    <x v="1"/>
    <x v="2"/>
    <s v="Yes"/>
    <s v="Recovered"/>
    <n v="5"/>
  </r>
  <r>
    <x v="607"/>
    <x v="25"/>
    <s v="Female"/>
    <x v="3"/>
    <x v="32"/>
    <x v="605"/>
    <d v="2026-03-31T00:00:00"/>
    <n v="8"/>
    <x v="142"/>
    <x v="0"/>
    <x v="3"/>
    <s v="No"/>
    <s v="Recovered"/>
    <n v="5"/>
  </r>
  <r>
    <x v="608"/>
    <x v="17"/>
    <s v="Male"/>
    <x v="5"/>
    <x v="48"/>
    <x v="606"/>
    <d v="2026-03-26T00:00:00"/>
    <n v="2"/>
    <x v="143"/>
    <x v="0"/>
    <x v="5"/>
    <s v="Yes"/>
    <s v="Recovered"/>
    <n v="4"/>
  </r>
  <r>
    <x v="609"/>
    <x v="18"/>
    <s v="Female"/>
    <x v="3"/>
    <x v="64"/>
    <x v="607"/>
    <d v="2026-04-05T00:00:00"/>
    <n v="8"/>
    <x v="144"/>
    <x v="1"/>
    <x v="0"/>
    <s v="Yes"/>
    <s v="Recovered"/>
    <n v="5"/>
  </r>
  <r>
    <x v="610"/>
    <x v="6"/>
    <s v="Male"/>
    <x v="3"/>
    <x v="64"/>
    <x v="608"/>
    <d v="2026-04-20T00:00:00"/>
    <n v="9"/>
    <x v="145"/>
    <x v="2"/>
    <x v="3"/>
    <s v="No"/>
    <s v="Recovered"/>
    <n v="3"/>
  </r>
  <r>
    <x v="611"/>
    <x v="13"/>
    <s v="Male"/>
    <x v="3"/>
    <x v="35"/>
    <x v="609"/>
    <d v="2026-04-24T00:00:00"/>
    <n v="11"/>
    <x v="96"/>
    <x v="2"/>
    <x v="3"/>
    <s v="Yes"/>
    <s v="Recovered"/>
    <n v="33"/>
  </r>
  <r>
    <x v="612"/>
    <x v="18"/>
    <s v="Male"/>
    <x v="3"/>
    <x v="53"/>
    <x v="610"/>
    <d v="2026-04-25T00:00:00"/>
    <n v="10"/>
    <x v="57"/>
    <x v="2"/>
    <x v="3"/>
    <s v="No"/>
    <s v="Recovered"/>
    <n v="33"/>
  </r>
  <r>
    <x v="613"/>
    <x v="14"/>
    <s v="Female"/>
    <x v="3"/>
    <x v="70"/>
    <x v="611"/>
    <d v="2026-04-30T00:00:00"/>
    <n v="13"/>
    <x v="76"/>
    <x v="2"/>
    <x v="3"/>
    <s v="Yes"/>
    <s v="Recovered"/>
    <n v="5"/>
  </r>
  <r>
    <x v="614"/>
    <x v="7"/>
    <s v="Male"/>
    <x v="3"/>
    <x v="46"/>
    <x v="612"/>
    <d v="2026-05-20T00:00:00"/>
    <n v="17"/>
    <x v="146"/>
    <x v="0"/>
    <x v="3"/>
    <s v="No"/>
    <s v="Recovered"/>
    <n v="4"/>
  </r>
  <r>
    <x v="615"/>
    <x v="14"/>
    <s v="Female"/>
    <x v="3"/>
    <x v="71"/>
    <x v="613"/>
    <d v="2026-05-21T00:00:00"/>
    <n v="17"/>
    <x v="147"/>
    <x v="0"/>
    <x v="3"/>
    <s v="Yes"/>
    <s v="Recovered"/>
    <n v="4.0999999999999996"/>
  </r>
  <r>
    <x v="616"/>
    <x v="63"/>
    <s v="Female"/>
    <x v="3"/>
    <x v="46"/>
    <x v="614"/>
    <d v="2026-05-25T00:00:00"/>
    <n v="20"/>
    <x v="148"/>
    <x v="0"/>
    <x v="3"/>
    <s v="No"/>
    <s v="Recovered"/>
    <n v="4.2"/>
  </r>
  <r>
    <x v="617"/>
    <x v="15"/>
    <s v="Male"/>
    <x v="5"/>
    <x v="72"/>
    <x v="615"/>
    <d v="2026-05-12T00:00:00"/>
    <n v="5"/>
    <x v="4"/>
    <x v="0"/>
    <x v="5"/>
    <s v="No"/>
    <s v="Recovered"/>
    <n v="4.4000000000000004"/>
  </r>
  <r>
    <x v="618"/>
    <x v="25"/>
    <s v="Female"/>
    <x v="5"/>
    <x v="61"/>
    <x v="616"/>
    <d v="2026-05-15T00:00:00"/>
    <n v="7"/>
    <x v="149"/>
    <x v="0"/>
    <x v="5"/>
    <s v="Yes"/>
    <s v="Recovered"/>
    <n v="5"/>
  </r>
  <r>
    <x v="619"/>
    <x v="30"/>
    <s v="Male"/>
    <x v="5"/>
    <x v="48"/>
    <x v="617"/>
    <d v="2026-05-20T00:00:00"/>
    <n v="11"/>
    <x v="150"/>
    <x v="0"/>
    <x v="5"/>
    <s v="No"/>
    <s v="Recovered"/>
    <n v="4"/>
  </r>
  <r>
    <x v="620"/>
    <x v="20"/>
    <s v="Male"/>
    <x v="5"/>
    <x v="45"/>
    <x v="618"/>
    <d v="2026-05-15T00:00:00"/>
    <n v="4"/>
    <x v="9"/>
    <x v="0"/>
    <x v="5"/>
    <s v="No"/>
    <s v="Recovered"/>
    <n v="4"/>
  </r>
  <r>
    <x v="621"/>
    <x v="41"/>
    <s v="Male"/>
    <x v="5"/>
    <x v="72"/>
    <x v="619"/>
    <d v="2026-05-15T00:00:00"/>
    <n v="2"/>
    <x v="35"/>
    <x v="0"/>
    <x v="5"/>
    <s v="Yes"/>
    <s v="Recovered"/>
    <n v="2"/>
  </r>
  <r>
    <x v="622"/>
    <x v="7"/>
    <s v="Male"/>
    <x v="5"/>
    <x v="72"/>
    <x v="620"/>
    <d v="2026-05-25T00:00:00"/>
    <n v="10"/>
    <x v="43"/>
    <x v="0"/>
    <x v="5"/>
    <s v="No"/>
    <s v="Recovered"/>
    <n v="5"/>
  </r>
  <r>
    <x v="623"/>
    <x v="6"/>
    <s v="Female"/>
    <x v="5"/>
    <x v="61"/>
    <x v="621"/>
    <d v="2026-05-20T00:00:00"/>
    <n v="5"/>
    <x v="41"/>
    <x v="0"/>
    <x v="5"/>
    <s v="No"/>
    <s v="Recovered"/>
    <n v="3"/>
  </r>
  <r>
    <x v="624"/>
    <x v="15"/>
    <s v="Male"/>
    <x v="5"/>
    <x v="61"/>
    <x v="622"/>
    <d v="2026-05-28T00:00:00"/>
    <n v="11"/>
    <x v="151"/>
    <x v="0"/>
    <x v="5"/>
    <s v="Yes"/>
    <s v="Recovered"/>
    <n v="4"/>
  </r>
  <r>
    <x v="625"/>
    <x v="49"/>
    <s v="Male"/>
    <x v="5"/>
    <x v="45"/>
    <x v="622"/>
    <d v="2026-05-20T00:00:00"/>
    <n v="3"/>
    <x v="152"/>
    <x v="0"/>
    <x v="5"/>
    <s v="No"/>
    <s v="Recovered"/>
    <n v="5"/>
  </r>
  <r>
    <x v="626"/>
    <x v="7"/>
    <s v="Female"/>
    <x v="5"/>
    <x v="61"/>
    <x v="622"/>
    <d v="2026-05-30T00:00:00"/>
    <n v="13"/>
    <x v="76"/>
    <x v="0"/>
    <x v="5"/>
    <s v="Yes"/>
    <s v="Recovered"/>
    <n v="4"/>
  </r>
  <r>
    <x v="627"/>
    <x v="34"/>
    <s v="Male"/>
    <x v="5"/>
    <x v="72"/>
    <x v="251"/>
    <d v="2026-05-27T00:00:00"/>
    <n v="9"/>
    <x v="153"/>
    <x v="0"/>
    <x v="5"/>
    <s v="No"/>
    <s v="Recovered"/>
    <n v="3"/>
  </r>
  <r>
    <x v="628"/>
    <x v="7"/>
    <s v="Male"/>
    <x v="5"/>
    <x v="61"/>
    <x v="623"/>
    <d v="2026-05-31T00:00:00"/>
    <n v="8"/>
    <x v="71"/>
    <x v="0"/>
    <x v="5"/>
    <s v="No"/>
    <s v="Recovered"/>
    <n v="5"/>
  </r>
  <r>
    <x v="629"/>
    <x v="6"/>
    <s v="Male"/>
    <x v="5"/>
    <x v="72"/>
    <x v="624"/>
    <d v="2026-06-05T00:00:00"/>
    <n v="9"/>
    <x v="1"/>
    <x v="0"/>
    <x v="5"/>
    <s v="No"/>
    <s v="Recovered"/>
    <n v="5"/>
  </r>
  <r>
    <x v="630"/>
    <x v="18"/>
    <s v="Male"/>
    <x v="5"/>
    <x v="45"/>
    <x v="625"/>
    <d v="2026-06-26T00:00:00"/>
    <n v="20"/>
    <x v="9"/>
    <x v="0"/>
    <x v="5"/>
    <s v="Yes"/>
    <s v="Recovered"/>
    <n v="3"/>
  </r>
  <r>
    <x v="631"/>
    <x v="13"/>
    <s v="Female"/>
    <x v="5"/>
    <x v="45"/>
    <x v="626"/>
    <d v="2026-06-27T00:00:00"/>
    <n v="20"/>
    <x v="44"/>
    <x v="0"/>
    <x v="5"/>
    <s v="No"/>
    <s v="Recovered"/>
    <n v="5"/>
  </r>
  <r>
    <x v="632"/>
    <x v="12"/>
    <s v="Female"/>
    <x v="5"/>
    <x v="45"/>
    <x v="627"/>
    <d v="2026-06-28T00:00:00"/>
    <n v="20"/>
    <x v="154"/>
    <x v="0"/>
    <x v="5"/>
    <s v="Yes"/>
    <s v="Recovered"/>
    <n v="4"/>
  </r>
  <r>
    <x v="633"/>
    <x v="16"/>
    <s v="Female"/>
    <x v="5"/>
    <x v="45"/>
    <x v="628"/>
    <d v="2026-06-29T00:00:00"/>
    <n v="20"/>
    <x v="32"/>
    <x v="0"/>
    <x v="5"/>
    <s v="Yes"/>
    <s v="Recovered"/>
    <n v="3"/>
  </r>
  <r>
    <x v="634"/>
    <x v="15"/>
    <s v="Female"/>
    <x v="5"/>
    <x v="45"/>
    <x v="629"/>
    <d v="2026-06-30T00:00:00"/>
    <n v="20"/>
    <x v="4"/>
    <x v="0"/>
    <x v="5"/>
    <s v="Yes"/>
    <s v="Recovered"/>
    <n v="5"/>
  </r>
  <r>
    <x v="635"/>
    <x v="17"/>
    <s v="Female"/>
    <x v="5"/>
    <x v="45"/>
    <x v="630"/>
    <d v="2026-07-01T00:00:00"/>
    <n v="20"/>
    <x v="36"/>
    <x v="0"/>
    <x v="5"/>
    <s v="No"/>
    <s v="Recovered"/>
    <n v="4"/>
  </r>
  <r>
    <x v="636"/>
    <x v="12"/>
    <s v="Male"/>
    <x v="5"/>
    <x v="45"/>
    <x v="631"/>
    <d v="2026-07-02T00:00:00"/>
    <n v="20"/>
    <x v="0"/>
    <x v="0"/>
    <x v="5"/>
    <s v="No"/>
    <s v="Recovered"/>
    <n v="3"/>
  </r>
  <r>
    <x v="637"/>
    <x v="16"/>
    <s v="Male"/>
    <x v="5"/>
    <x v="45"/>
    <x v="632"/>
    <d v="2026-07-03T00:00:00"/>
    <n v="20"/>
    <x v="155"/>
    <x v="0"/>
    <x v="5"/>
    <s v="Yes"/>
    <s v="Recovered"/>
    <n v="5"/>
  </r>
  <r>
    <x v="638"/>
    <x v="15"/>
    <s v="Male"/>
    <x v="5"/>
    <x v="48"/>
    <x v="633"/>
    <d v="2026-07-04T00:00:00"/>
    <n v="20"/>
    <x v="156"/>
    <x v="0"/>
    <x v="5"/>
    <s v="No"/>
    <s v="Recovered"/>
    <n v="4"/>
  </r>
  <r>
    <x v="639"/>
    <x v="12"/>
    <s v="Male"/>
    <x v="5"/>
    <x v="48"/>
    <x v="634"/>
    <d v="2026-07-05T00:00:00"/>
    <n v="20"/>
    <x v="6"/>
    <x v="0"/>
    <x v="5"/>
    <s v="Yes"/>
    <s v="Recovered"/>
    <n v="3"/>
  </r>
  <r>
    <x v="640"/>
    <x v="16"/>
    <s v="Female"/>
    <x v="5"/>
    <x v="48"/>
    <x v="635"/>
    <d v="2026-07-08T00:00:00"/>
    <n v="20"/>
    <x v="7"/>
    <x v="0"/>
    <x v="5"/>
    <s v="No"/>
    <s v="Recovered"/>
    <n v="3"/>
  </r>
  <r>
    <x v="641"/>
    <x v="22"/>
    <s v="Female"/>
    <x v="5"/>
    <x v="48"/>
    <x v="636"/>
    <d v="2026-07-08T00:00:00"/>
    <n v="19"/>
    <x v="57"/>
    <x v="0"/>
    <x v="11"/>
    <s v="Yes"/>
    <s v="Recovered"/>
    <n v="4"/>
  </r>
  <r>
    <x v="642"/>
    <x v="34"/>
    <s v="Female"/>
    <x v="5"/>
    <x v="9"/>
    <x v="637"/>
    <d v="2023-02-25T00:00:00"/>
    <n v="12"/>
    <x v="82"/>
    <x v="0"/>
    <x v="5"/>
    <s v="No"/>
    <s v="stable"/>
    <n v="3.6"/>
  </r>
  <r>
    <x v="643"/>
    <x v="34"/>
    <s v="Female"/>
    <x v="5"/>
    <x v="9"/>
    <x v="638"/>
    <d v="2023-02-26T00:00:00"/>
    <n v="12"/>
    <x v="82"/>
    <x v="0"/>
    <x v="5"/>
    <s v="Yes"/>
    <s v="stable"/>
    <n v="3.6"/>
  </r>
  <r>
    <x v="644"/>
    <x v="6"/>
    <s v="Female"/>
    <x v="5"/>
    <x v="9"/>
    <x v="639"/>
    <d v="2023-02-27T00:00:00"/>
    <n v="12"/>
    <x v="82"/>
    <x v="0"/>
    <x v="5"/>
    <s v="Yes"/>
    <s v="stable"/>
    <n v="3.6"/>
  </r>
  <r>
    <x v="645"/>
    <x v="7"/>
    <s v="Female"/>
    <x v="5"/>
    <x v="61"/>
    <x v="640"/>
    <d v="2023-02-28T00:00:00"/>
    <n v="12"/>
    <x v="82"/>
    <x v="0"/>
    <x v="5"/>
    <s v="Yes"/>
    <s v="stable"/>
    <n v="3.6"/>
  </r>
  <r>
    <x v="646"/>
    <x v="14"/>
    <s v="Female"/>
    <x v="5"/>
    <x v="61"/>
    <x v="641"/>
    <d v="2023-03-01T00:00:00"/>
    <n v="12"/>
    <x v="82"/>
    <x v="0"/>
    <x v="5"/>
    <s v="No"/>
    <s v="stable"/>
    <n v="3.6"/>
  </r>
  <r>
    <x v="647"/>
    <x v="6"/>
    <s v="Female"/>
    <x v="5"/>
    <x v="61"/>
    <x v="642"/>
    <d v="2023-03-02T00:00:00"/>
    <n v="12"/>
    <x v="82"/>
    <x v="0"/>
    <x v="5"/>
    <s v="No"/>
    <s v="stable"/>
    <n v="3.6"/>
  </r>
  <r>
    <x v="648"/>
    <x v="7"/>
    <s v="Female"/>
    <x v="5"/>
    <x v="61"/>
    <x v="643"/>
    <d v="2023-03-30T00:00:00"/>
    <n v="11"/>
    <x v="82"/>
    <x v="0"/>
    <x v="5"/>
    <s v="Yes"/>
    <s v="stable"/>
    <n v="3.6"/>
  </r>
  <r>
    <x v="649"/>
    <x v="11"/>
    <s v="Female"/>
    <x v="5"/>
    <x v="61"/>
    <x v="644"/>
    <d v="2023-03-31T00:00:00"/>
    <n v="11"/>
    <x v="82"/>
    <x v="0"/>
    <x v="5"/>
    <s v="No"/>
    <s v="stable"/>
    <n v="3.6"/>
  </r>
  <r>
    <x v="650"/>
    <x v="7"/>
    <s v="Female"/>
    <x v="5"/>
    <x v="61"/>
    <x v="645"/>
    <d v="2023-04-01T00:00:00"/>
    <n v="11"/>
    <x v="82"/>
    <x v="0"/>
    <x v="5"/>
    <s v="Yes"/>
    <s v="stable"/>
    <n v="3.6"/>
  </r>
  <r>
    <x v="651"/>
    <x v="14"/>
    <s v="Female"/>
    <x v="5"/>
    <x v="61"/>
    <x v="646"/>
    <d v="2023-04-02T00:00:00"/>
    <n v="11"/>
    <x v="82"/>
    <x v="0"/>
    <x v="5"/>
    <s v="Yes"/>
    <s v="stable"/>
    <n v="3.6"/>
  </r>
  <r>
    <x v="652"/>
    <x v="33"/>
    <s v="Female"/>
    <x v="5"/>
    <x v="61"/>
    <x v="647"/>
    <d v="2023-04-03T00:00:00"/>
    <n v="11"/>
    <x v="82"/>
    <x v="0"/>
    <x v="5"/>
    <s v="No"/>
    <s v="stable"/>
    <n v="3.6"/>
  </r>
  <r>
    <x v="653"/>
    <x v="14"/>
    <s v="Female"/>
    <x v="0"/>
    <x v="0"/>
    <x v="648"/>
    <d v="2023-04-04T00:00:00"/>
    <n v="11"/>
    <x v="82"/>
    <x v="0"/>
    <x v="0"/>
    <s v="No"/>
    <s v="stable"/>
    <n v="3.6"/>
  </r>
  <r>
    <x v="654"/>
    <x v="14"/>
    <s v="Female"/>
    <x v="0"/>
    <x v="0"/>
    <x v="649"/>
    <d v="2023-04-05T00:00:00"/>
    <n v="11"/>
    <x v="82"/>
    <x v="0"/>
    <x v="0"/>
    <s v="Yes"/>
    <s v="stable"/>
    <n v="3.6"/>
  </r>
  <r>
    <x v="655"/>
    <x v="33"/>
    <s v="Female"/>
    <x v="6"/>
    <x v="10"/>
    <x v="650"/>
    <d v="2023-04-06T00:00:00"/>
    <n v="11"/>
    <x v="82"/>
    <x v="0"/>
    <x v="6"/>
    <s v="No"/>
    <s v="stable"/>
    <n v="3.6"/>
  </r>
  <r>
    <x v="656"/>
    <x v="14"/>
    <s v="Female"/>
    <x v="6"/>
    <x v="10"/>
    <x v="651"/>
    <d v="2023-04-07T00:00:00"/>
    <n v="11"/>
    <x v="82"/>
    <x v="0"/>
    <x v="6"/>
    <s v="Yes"/>
    <s v="stable"/>
    <n v="3.6"/>
  </r>
  <r>
    <x v="657"/>
    <x v="63"/>
    <s v="Female"/>
    <x v="6"/>
    <x v="10"/>
    <x v="652"/>
    <d v="2023-04-08T00:00:00"/>
    <n v="11"/>
    <x v="82"/>
    <x v="0"/>
    <x v="6"/>
    <s v="No"/>
    <s v="stable"/>
    <n v="3.6"/>
  </r>
  <r>
    <x v="658"/>
    <x v="19"/>
    <s v="Female"/>
    <x v="6"/>
    <x v="10"/>
    <x v="653"/>
    <d v="2023-04-09T00:00:00"/>
    <n v="11"/>
    <x v="82"/>
    <x v="0"/>
    <x v="6"/>
    <s v="Yes"/>
    <s v="stable"/>
    <n v="3.6"/>
  </r>
  <r>
    <x v="659"/>
    <x v="5"/>
    <s v="Female"/>
    <x v="6"/>
    <x v="10"/>
    <x v="654"/>
    <d v="2023-04-10T00:00:00"/>
    <n v="11"/>
    <x v="82"/>
    <x v="0"/>
    <x v="6"/>
    <s v="Yes"/>
    <s v="stable"/>
    <n v="3.6"/>
  </r>
  <r>
    <x v="660"/>
    <x v="19"/>
    <s v="Female"/>
    <x v="6"/>
    <x v="10"/>
    <x v="655"/>
    <d v="2023-04-11T00:00:00"/>
    <n v="11"/>
    <x v="82"/>
    <x v="0"/>
    <x v="6"/>
    <s v="Yes"/>
    <s v="stable"/>
    <n v="3.6"/>
  </r>
  <r>
    <x v="661"/>
    <x v="7"/>
    <s v="Female"/>
    <x v="6"/>
    <x v="10"/>
    <x v="656"/>
    <d v="2023-04-12T00:00:00"/>
    <n v="11"/>
    <x v="82"/>
    <x v="0"/>
    <x v="6"/>
    <s v="No"/>
    <s v="stable"/>
    <n v="3.6"/>
  </r>
  <r>
    <x v="662"/>
    <x v="15"/>
    <s v="Female"/>
    <x v="10"/>
    <x v="30"/>
    <x v="657"/>
    <d v="2023-04-13T00:00:00"/>
    <n v="11"/>
    <x v="82"/>
    <x v="0"/>
    <x v="9"/>
    <s v="No"/>
    <s v="stable"/>
    <n v="3.6"/>
  </r>
  <r>
    <x v="663"/>
    <x v="17"/>
    <s v="Female"/>
    <x v="10"/>
    <x v="30"/>
    <x v="658"/>
    <d v="2023-04-14T00:00:00"/>
    <n v="11"/>
    <x v="82"/>
    <x v="0"/>
    <x v="9"/>
    <s v="Yes"/>
    <s v="stable"/>
    <n v="3.6"/>
  </r>
  <r>
    <x v="664"/>
    <x v="18"/>
    <s v="Female"/>
    <x v="10"/>
    <x v="30"/>
    <x v="659"/>
    <d v="2023-04-15T00:00:00"/>
    <n v="11"/>
    <x v="82"/>
    <x v="0"/>
    <x v="9"/>
    <s v="No"/>
    <s v="stable"/>
    <n v="3.6"/>
  </r>
  <r>
    <x v="665"/>
    <x v="6"/>
    <s v="Female"/>
    <x v="10"/>
    <x v="30"/>
    <x v="660"/>
    <d v="2023-04-16T00:00:00"/>
    <n v="11"/>
    <x v="82"/>
    <x v="0"/>
    <x v="9"/>
    <s v="Yes"/>
    <s v="stable"/>
    <n v="3.6"/>
  </r>
  <r>
    <x v="666"/>
    <x v="34"/>
    <s v="Female"/>
    <x v="10"/>
    <x v="30"/>
    <x v="661"/>
    <d v="2023-04-17T00:00:00"/>
    <n v="11"/>
    <x v="82"/>
    <x v="0"/>
    <x v="9"/>
    <s v="Yes"/>
    <s v="stable"/>
    <n v="3.6"/>
  </r>
  <r>
    <x v="667"/>
    <x v="13"/>
    <s v="Female"/>
    <x v="10"/>
    <x v="30"/>
    <x v="662"/>
    <d v="2023-04-18T00:00:00"/>
    <n v="11"/>
    <x v="82"/>
    <x v="0"/>
    <x v="9"/>
    <s v="No"/>
    <s v="stable"/>
    <n v="3.6"/>
  </r>
  <r>
    <x v="668"/>
    <x v="13"/>
    <s v="Female"/>
    <x v="1"/>
    <x v="1"/>
    <x v="663"/>
    <d v="2024-01-12T00:00:00"/>
    <n v="10"/>
    <x v="21"/>
    <x v="1"/>
    <x v="1"/>
    <s v="Yes"/>
    <s v="stable"/>
    <n v="4"/>
  </r>
  <r>
    <x v="669"/>
    <x v="17"/>
    <s v="Male"/>
    <x v="1"/>
    <x v="2"/>
    <x v="664"/>
    <d v="2024-02-09T00:00:00"/>
    <n v="10"/>
    <x v="157"/>
    <x v="2"/>
    <x v="1"/>
    <s v="Yes"/>
    <s v="stable"/>
    <n v="5"/>
  </r>
  <r>
    <x v="670"/>
    <x v="15"/>
    <s v="Male"/>
    <x v="1"/>
    <x v="2"/>
    <x v="665"/>
    <d v="2024-02-10T00:00:00"/>
    <n v="10"/>
    <x v="7"/>
    <x v="2"/>
    <x v="1"/>
    <s v="No"/>
    <s v="stable"/>
    <n v="5"/>
  </r>
  <r>
    <x v="671"/>
    <x v="17"/>
    <s v="Male"/>
    <x v="1"/>
    <x v="2"/>
    <x v="666"/>
    <d v="2024-02-11T00:00:00"/>
    <n v="10"/>
    <x v="87"/>
    <x v="2"/>
    <x v="1"/>
    <s v="Yes"/>
    <s v="stable"/>
    <n v="5"/>
  </r>
  <r>
    <x v="672"/>
    <x v="6"/>
    <s v="Male"/>
    <x v="1"/>
    <x v="2"/>
    <x v="667"/>
    <d v="2024-02-12T00:00:00"/>
    <n v="10"/>
    <x v="40"/>
    <x v="2"/>
    <x v="1"/>
    <s v="No"/>
    <s v="stable"/>
    <n v="5"/>
  </r>
  <r>
    <x v="673"/>
    <x v="18"/>
    <s v="Male"/>
    <x v="1"/>
    <x v="2"/>
    <x v="668"/>
    <d v="2024-02-13T00:00:00"/>
    <n v="10"/>
    <x v="2"/>
    <x v="2"/>
    <x v="1"/>
    <s v="Yes"/>
    <s v="stable"/>
    <n v="5"/>
  </r>
  <r>
    <x v="674"/>
    <x v="17"/>
    <s v="Male"/>
    <x v="1"/>
    <x v="2"/>
    <x v="669"/>
    <d v="2024-02-14T00:00:00"/>
    <n v="10"/>
    <x v="40"/>
    <x v="2"/>
    <x v="1"/>
    <s v="No"/>
    <s v="stable"/>
    <n v="5"/>
  </r>
  <r>
    <x v="675"/>
    <x v="15"/>
    <s v="Male"/>
    <x v="1"/>
    <x v="2"/>
    <x v="670"/>
    <d v="2024-02-15T00:00:00"/>
    <n v="10"/>
    <x v="20"/>
    <x v="2"/>
    <x v="1"/>
    <s v="Yes"/>
    <s v="stable"/>
    <n v="5"/>
  </r>
  <r>
    <x v="676"/>
    <x v="18"/>
    <s v="Male"/>
    <x v="1"/>
    <x v="2"/>
    <x v="671"/>
    <d v="2024-02-16T00:00:00"/>
    <n v="10"/>
    <x v="158"/>
    <x v="2"/>
    <x v="1"/>
    <s v="Yes"/>
    <s v="stable"/>
    <n v="5"/>
  </r>
  <r>
    <x v="677"/>
    <x v="17"/>
    <s v="Male"/>
    <x v="1"/>
    <x v="2"/>
    <x v="672"/>
    <d v="2024-02-17T00:00:00"/>
    <n v="10"/>
    <x v="22"/>
    <x v="2"/>
    <x v="1"/>
    <s v="Yes"/>
    <s v="stable"/>
    <n v="5"/>
  </r>
  <r>
    <x v="678"/>
    <x v="15"/>
    <s v="Male"/>
    <x v="1"/>
    <x v="2"/>
    <x v="673"/>
    <d v="2024-02-18T00:00:00"/>
    <n v="10"/>
    <x v="6"/>
    <x v="2"/>
    <x v="1"/>
    <s v="No"/>
    <s v="stable"/>
    <n v="5"/>
  </r>
  <r>
    <x v="679"/>
    <x v="17"/>
    <s v="Male"/>
    <x v="1"/>
    <x v="2"/>
    <x v="674"/>
    <d v="2024-02-19T00:00:00"/>
    <n v="10"/>
    <x v="50"/>
    <x v="2"/>
    <x v="1"/>
    <s v="No"/>
    <s v="stable"/>
    <n v="5"/>
  </r>
  <r>
    <x v="680"/>
    <x v="18"/>
    <s v="Male"/>
    <x v="1"/>
    <x v="2"/>
    <x v="675"/>
    <d v="2024-02-20T00:00:00"/>
    <n v="10"/>
    <x v="157"/>
    <x v="2"/>
    <x v="1"/>
    <s v="Yes"/>
    <s v="stable"/>
    <n v="5"/>
  </r>
  <r>
    <x v="681"/>
    <x v="6"/>
    <s v="Male"/>
    <x v="1"/>
    <x v="2"/>
    <x v="676"/>
    <d v="2024-02-21T00:00:00"/>
    <n v="10"/>
    <x v="159"/>
    <x v="2"/>
    <x v="1"/>
    <s v="No"/>
    <s v="stable"/>
    <n v="5"/>
  </r>
  <r>
    <x v="682"/>
    <x v="7"/>
    <s v="Male"/>
    <x v="1"/>
    <x v="2"/>
    <x v="677"/>
    <d v="2024-02-23T00:00:00"/>
    <n v="10"/>
    <x v="160"/>
    <x v="2"/>
    <x v="1"/>
    <s v="No"/>
    <s v="stable"/>
    <n v="5"/>
  </r>
  <r>
    <x v="683"/>
    <x v="14"/>
    <s v="Male"/>
    <x v="1"/>
    <x v="2"/>
    <x v="678"/>
    <d v="2024-02-24T00:00:00"/>
    <n v="10"/>
    <x v="159"/>
    <x v="2"/>
    <x v="1"/>
    <s v="No"/>
    <s v="stable"/>
    <n v="5"/>
  </r>
  <r>
    <x v="684"/>
    <x v="7"/>
    <s v="Male"/>
    <x v="1"/>
    <x v="2"/>
    <x v="679"/>
    <d v="2024-02-25T00:00:00"/>
    <n v="10"/>
    <x v="117"/>
    <x v="2"/>
    <x v="1"/>
    <s v="No"/>
    <s v="stable"/>
    <n v="5"/>
  </r>
  <r>
    <x v="685"/>
    <x v="6"/>
    <s v="Male"/>
    <x v="1"/>
    <x v="2"/>
    <x v="680"/>
    <d v="2024-02-26T00:00:00"/>
    <n v="10"/>
    <x v="20"/>
    <x v="2"/>
    <x v="1"/>
    <s v="Yes"/>
    <s v="stable"/>
    <n v="5"/>
  </r>
  <r>
    <x v="686"/>
    <x v="18"/>
    <s v="Male"/>
    <x v="1"/>
    <x v="2"/>
    <x v="681"/>
    <d v="2024-02-27T00:00:00"/>
    <n v="10"/>
    <x v="42"/>
    <x v="2"/>
    <x v="1"/>
    <s v="No"/>
    <s v="stable"/>
    <n v="5"/>
  </r>
  <r>
    <x v="687"/>
    <x v="13"/>
    <s v="Male"/>
    <x v="1"/>
    <x v="2"/>
    <x v="682"/>
    <d v="2024-02-28T00:00:00"/>
    <n v="10"/>
    <x v="22"/>
    <x v="2"/>
    <x v="1"/>
    <s v="Yes"/>
    <s v="stable"/>
    <n v="5"/>
  </r>
  <r>
    <x v="688"/>
    <x v="38"/>
    <s v="Male"/>
    <x v="1"/>
    <x v="2"/>
    <x v="683"/>
    <d v="2024-03-10T00:00:00"/>
    <n v="10"/>
    <x v="42"/>
    <x v="1"/>
    <x v="1"/>
    <s v="No"/>
    <s v="stable"/>
    <n v="5"/>
  </r>
  <r>
    <x v="689"/>
    <x v="13"/>
    <s v="Male"/>
    <x v="1"/>
    <x v="2"/>
    <x v="684"/>
    <d v="2024-03-11T00:00:00"/>
    <n v="10"/>
    <x v="75"/>
    <x v="1"/>
    <x v="1"/>
    <s v="No"/>
    <s v="stable"/>
    <n v="5"/>
  </r>
  <r>
    <x v="690"/>
    <x v="79"/>
    <s v="Male"/>
    <x v="1"/>
    <x v="2"/>
    <x v="685"/>
    <d v="2024-03-12T00:00:00"/>
    <n v="10"/>
    <x v="127"/>
    <x v="1"/>
    <x v="1"/>
    <s v="Yes"/>
    <s v="stable"/>
    <n v="5"/>
  </r>
  <r>
    <x v="691"/>
    <x v="18"/>
    <s v="Male"/>
    <x v="1"/>
    <x v="2"/>
    <x v="686"/>
    <d v="2024-03-13T00:00:00"/>
    <n v="10"/>
    <x v="161"/>
    <x v="1"/>
    <x v="1"/>
    <s v="No"/>
    <s v="stable"/>
    <n v="5"/>
  </r>
  <r>
    <x v="692"/>
    <x v="34"/>
    <s v="Male"/>
    <x v="1"/>
    <x v="2"/>
    <x v="687"/>
    <d v="2024-03-14T00:00:00"/>
    <n v="10"/>
    <x v="162"/>
    <x v="1"/>
    <x v="1"/>
    <s v="Yes"/>
    <s v="stable"/>
    <n v="5"/>
  </r>
  <r>
    <x v="693"/>
    <x v="17"/>
    <s v="Male"/>
    <x v="1"/>
    <x v="2"/>
    <x v="688"/>
    <d v="2024-03-15T00:00:00"/>
    <n v="10"/>
    <x v="51"/>
    <x v="1"/>
    <x v="1"/>
    <s v="No"/>
    <s v="stable"/>
    <n v="5"/>
  </r>
  <r>
    <x v="694"/>
    <x v="12"/>
    <s v="Male"/>
    <x v="1"/>
    <x v="1"/>
    <x v="689"/>
    <d v="2024-03-16T00:00:00"/>
    <n v="10"/>
    <x v="163"/>
    <x v="1"/>
    <x v="1"/>
    <s v="Yes"/>
    <s v="stable"/>
    <n v="5"/>
  </r>
  <r>
    <x v="695"/>
    <x v="12"/>
    <s v="Male"/>
    <x v="1"/>
    <x v="3"/>
    <x v="690"/>
    <d v="2024-03-17T00:00:00"/>
    <n v="10"/>
    <x v="21"/>
    <x v="1"/>
    <x v="1"/>
    <s v="Yes"/>
    <s v="stable"/>
    <n v="5"/>
  </r>
  <r>
    <x v="696"/>
    <x v="20"/>
    <s v="Male"/>
    <x v="1"/>
    <x v="3"/>
    <x v="691"/>
    <d v="2024-03-18T00:00:00"/>
    <n v="10"/>
    <x v="6"/>
    <x v="1"/>
    <x v="1"/>
    <s v="Yes"/>
    <s v="stable"/>
    <n v="5"/>
  </r>
  <r>
    <x v="697"/>
    <x v="26"/>
    <s v="Male"/>
    <x v="1"/>
    <x v="3"/>
    <x v="692"/>
    <d v="2024-03-19T00:00:00"/>
    <n v="10"/>
    <x v="7"/>
    <x v="1"/>
    <x v="1"/>
    <s v="No"/>
    <s v="stable"/>
    <n v="5"/>
  </r>
  <r>
    <x v="698"/>
    <x v="60"/>
    <s v="Male"/>
    <x v="1"/>
    <x v="3"/>
    <x v="693"/>
    <d v="2024-03-20T00:00:00"/>
    <n v="10"/>
    <x v="4"/>
    <x v="1"/>
    <x v="1"/>
    <s v="No"/>
    <s v="stable"/>
    <n v="5"/>
  </r>
  <r>
    <x v="699"/>
    <x v="14"/>
    <s v="Male"/>
    <x v="1"/>
    <x v="3"/>
    <x v="694"/>
    <d v="2024-03-21T00:00:00"/>
    <n v="10"/>
    <x v="21"/>
    <x v="1"/>
    <x v="1"/>
    <s v="Yes"/>
    <s v="stable"/>
    <n v="5"/>
  </r>
  <r>
    <x v="700"/>
    <x v="7"/>
    <s v="Male"/>
    <x v="1"/>
    <x v="3"/>
    <x v="695"/>
    <d v="2024-03-22T00:00:00"/>
    <n v="10"/>
    <x v="6"/>
    <x v="1"/>
    <x v="1"/>
    <s v="No"/>
    <s v="stable"/>
    <n v="5"/>
  </r>
  <r>
    <x v="701"/>
    <x v="11"/>
    <s v="Male"/>
    <x v="1"/>
    <x v="3"/>
    <x v="696"/>
    <d v="2024-03-23T00:00:00"/>
    <n v="10"/>
    <x v="7"/>
    <x v="1"/>
    <x v="1"/>
    <s v="Yes"/>
    <s v="stable"/>
    <n v="5"/>
  </r>
  <r>
    <x v="702"/>
    <x v="6"/>
    <s v="Male"/>
    <x v="1"/>
    <x v="3"/>
    <x v="697"/>
    <d v="2024-03-24T00:00:00"/>
    <n v="10"/>
    <x v="4"/>
    <x v="1"/>
    <x v="1"/>
    <s v="No"/>
    <s v="stable"/>
    <n v="5"/>
  </r>
  <r>
    <x v="703"/>
    <x v="18"/>
    <s v="Male"/>
    <x v="1"/>
    <x v="3"/>
    <x v="698"/>
    <d v="2024-03-25T00:00:00"/>
    <n v="10"/>
    <x v="20"/>
    <x v="1"/>
    <x v="1"/>
    <s v="No"/>
    <s v="stable"/>
    <n v="5"/>
  </r>
  <r>
    <x v="704"/>
    <x v="13"/>
    <s v="Male"/>
    <x v="1"/>
    <x v="3"/>
    <x v="699"/>
    <d v="2024-03-26T00:00:00"/>
    <n v="10"/>
    <x v="22"/>
    <x v="1"/>
    <x v="1"/>
    <s v="No"/>
    <s v="stable"/>
    <n v="5"/>
  </r>
  <r>
    <x v="705"/>
    <x v="38"/>
    <s v="Male"/>
    <x v="1"/>
    <x v="3"/>
    <x v="700"/>
    <d v="2024-03-27T00:00:00"/>
    <n v="10"/>
    <x v="22"/>
    <x v="1"/>
    <x v="1"/>
    <s v="Yes"/>
    <s v="stable"/>
    <n v="5"/>
  </r>
  <r>
    <x v="706"/>
    <x v="79"/>
    <s v="Male"/>
    <x v="1"/>
    <x v="3"/>
    <x v="701"/>
    <d v="2024-03-28T00:00:00"/>
    <n v="10"/>
    <x v="6"/>
    <x v="1"/>
    <x v="1"/>
    <s v="No"/>
    <s v="stable"/>
    <n v="5"/>
  </r>
  <r>
    <x v="707"/>
    <x v="17"/>
    <s v="Male"/>
    <x v="1"/>
    <x v="3"/>
    <x v="702"/>
    <d v="2024-03-29T00:00:00"/>
    <n v="10"/>
    <x v="7"/>
    <x v="1"/>
    <x v="1"/>
    <s v="Yes"/>
    <s v="stable"/>
    <n v="5"/>
  </r>
  <r>
    <x v="708"/>
    <x v="6"/>
    <s v="Male"/>
    <x v="1"/>
    <x v="3"/>
    <x v="703"/>
    <d v="2024-03-30T00:00:00"/>
    <n v="10"/>
    <x v="2"/>
    <x v="1"/>
    <x v="1"/>
    <s v="No"/>
    <s v="stable"/>
    <n v="5"/>
  </r>
  <r>
    <x v="709"/>
    <x v="14"/>
    <s v="Male"/>
    <x v="1"/>
    <x v="3"/>
    <x v="704"/>
    <d v="2024-03-31T00:00:00"/>
    <n v="10"/>
    <x v="21"/>
    <x v="1"/>
    <x v="1"/>
    <s v="Yes"/>
    <s v="stable"/>
    <n v="5"/>
  </r>
  <r>
    <x v="710"/>
    <x v="66"/>
    <s v="Male"/>
    <x v="1"/>
    <x v="3"/>
    <x v="705"/>
    <d v="2024-04-01T00:00:00"/>
    <n v="10"/>
    <x v="20"/>
    <x v="1"/>
    <x v="1"/>
    <s v="Yes"/>
    <s v="stable"/>
    <n v="5"/>
  </r>
  <r>
    <x v="711"/>
    <x v="16"/>
    <s v="Male"/>
    <x v="1"/>
    <x v="3"/>
    <x v="706"/>
    <d v="2024-04-02T00:00:00"/>
    <n v="10"/>
    <x v="21"/>
    <x v="1"/>
    <x v="1"/>
    <s v="Yes"/>
    <s v="stable"/>
    <n v="5"/>
  </r>
  <r>
    <x v="712"/>
    <x v="17"/>
    <s v="Male"/>
    <x v="1"/>
    <x v="3"/>
    <x v="707"/>
    <d v="2024-04-03T00:00:00"/>
    <n v="10"/>
    <x v="22"/>
    <x v="1"/>
    <x v="1"/>
    <s v="No"/>
    <s v="stable"/>
    <n v="5"/>
  </r>
  <r>
    <x v="713"/>
    <x v="6"/>
    <s v="Male"/>
    <x v="1"/>
    <x v="3"/>
    <x v="708"/>
    <d v="2024-04-04T00:00:00"/>
    <n v="10"/>
    <x v="20"/>
    <x v="1"/>
    <x v="1"/>
    <s v="No"/>
    <s v="stable"/>
    <n v="5"/>
  </r>
  <r>
    <x v="714"/>
    <x v="13"/>
    <s v="Male"/>
    <x v="1"/>
    <x v="3"/>
    <x v="709"/>
    <d v="2024-04-05T00:00:00"/>
    <n v="10"/>
    <x v="21"/>
    <x v="1"/>
    <x v="1"/>
    <s v="Yes"/>
    <s v="stable"/>
    <n v="5"/>
  </r>
  <r>
    <x v="715"/>
    <x v="12"/>
    <s v="Male"/>
    <x v="1"/>
    <x v="3"/>
    <x v="710"/>
    <d v="2024-04-06T00:00:00"/>
    <n v="10"/>
    <x v="164"/>
    <x v="1"/>
    <x v="1"/>
    <s v="No"/>
    <s v="stable"/>
    <n v="5"/>
  </r>
  <r>
    <x v="716"/>
    <x v="17"/>
    <s v="Female"/>
    <x v="2"/>
    <x v="5"/>
    <x v="711"/>
    <d v="2024-06-16T00:00:00"/>
    <n v="15"/>
    <x v="0"/>
    <x v="0"/>
    <x v="2"/>
    <s v="No"/>
    <s v="stable"/>
    <n v="3.6"/>
  </r>
  <r>
    <x v="717"/>
    <x v="15"/>
    <s v="Female"/>
    <x v="2"/>
    <x v="5"/>
    <x v="712"/>
    <d v="2024-06-17T00:00:00"/>
    <n v="15"/>
    <x v="64"/>
    <x v="0"/>
    <x v="2"/>
    <s v="Yes"/>
    <s v="stable"/>
    <n v="3.6"/>
  </r>
  <r>
    <x v="718"/>
    <x v="16"/>
    <s v="Female"/>
    <x v="2"/>
    <x v="5"/>
    <x v="713"/>
    <d v="2024-06-18T00:00:00"/>
    <n v="15"/>
    <x v="44"/>
    <x v="0"/>
    <x v="2"/>
    <s v="No"/>
    <s v="stable"/>
    <n v="3.6"/>
  </r>
  <r>
    <x v="719"/>
    <x v="15"/>
    <s v="Female"/>
    <x v="2"/>
    <x v="5"/>
    <x v="714"/>
    <d v="2024-06-19T00:00:00"/>
    <n v="15"/>
    <x v="64"/>
    <x v="0"/>
    <x v="2"/>
    <s v="Yes"/>
    <s v="stable"/>
    <n v="3.6"/>
  </r>
  <r>
    <x v="720"/>
    <x v="25"/>
    <s v="Female"/>
    <x v="2"/>
    <x v="5"/>
    <x v="715"/>
    <d v="2024-06-20T00:00:00"/>
    <n v="15"/>
    <x v="0"/>
    <x v="0"/>
    <x v="2"/>
    <s v="Yes"/>
    <s v="stable"/>
    <n v="3.6"/>
  </r>
  <r>
    <x v="721"/>
    <x v="49"/>
    <s v="Female"/>
    <x v="2"/>
    <x v="5"/>
    <x v="716"/>
    <d v="2024-06-21T00:00:00"/>
    <n v="15"/>
    <x v="0"/>
    <x v="0"/>
    <x v="2"/>
    <s v="Yes"/>
    <s v="stable"/>
    <n v="3.6"/>
  </r>
  <r>
    <x v="722"/>
    <x v="27"/>
    <s v="Female"/>
    <x v="2"/>
    <x v="5"/>
    <x v="717"/>
    <d v="2024-06-22T00:00:00"/>
    <n v="15"/>
    <x v="64"/>
    <x v="0"/>
    <x v="2"/>
    <s v="No"/>
    <s v="stable"/>
    <n v="3.6"/>
  </r>
  <r>
    <x v="723"/>
    <x v="28"/>
    <s v="Female"/>
    <x v="2"/>
    <x v="5"/>
    <x v="718"/>
    <d v="2024-06-23T00:00:00"/>
    <n v="15"/>
    <x v="82"/>
    <x v="0"/>
    <x v="2"/>
    <s v="No"/>
    <s v="stable"/>
    <n v="3.6"/>
  </r>
  <r>
    <x v="724"/>
    <x v="29"/>
    <s v="Female"/>
    <x v="2"/>
    <x v="5"/>
    <x v="719"/>
    <d v="2024-06-24T00:00:00"/>
    <n v="15"/>
    <x v="0"/>
    <x v="0"/>
    <x v="2"/>
    <s v="Yes"/>
    <s v="stable"/>
    <n v="3.6"/>
  </r>
  <r>
    <x v="725"/>
    <x v="88"/>
    <s v="Female"/>
    <x v="2"/>
    <x v="5"/>
    <x v="720"/>
    <d v="2024-06-25T00:00:00"/>
    <n v="15"/>
    <x v="123"/>
    <x v="0"/>
    <x v="2"/>
    <s v="No"/>
    <s v="stable"/>
    <n v="3.6"/>
  </r>
  <r>
    <x v="726"/>
    <x v="51"/>
    <s v="Female"/>
    <x v="2"/>
    <x v="5"/>
    <x v="721"/>
    <d v="2024-06-26T00:00:00"/>
    <n v="15"/>
    <x v="124"/>
    <x v="0"/>
    <x v="2"/>
    <s v="Yes"/>
    <s v="stable"/>
    <n v="3.6"/>
  </r>
  <r>
    <x v="727"/>
    <x v="47"/>
    <s v="Female"/>
    <x v="2"/>
    <x v="5"/>
    <x v="722"/>
    <d v="2024-06-27T00:00:00"/>
    <n v="15"/>
    <x v="125"/>
    <x v="0"/>
    <x v="2"/>
    <s v="No"/>
    <s v="stable"/>
    <n v="3.6"/>
  </r>
  <r>
    <x v="728"/>
    <x v="18"/>
    <s v="Female"/>
    <x v="2"/>
    <x v="5"/>
    <x v="723"/>
    <d v="2024-06-28T00:00:00"/>
    <n v="15"/>
    <x v="126"/>
    <x v="0"/>
    <x v="2"/>
    <s v="No"/>
    <s v="stable"/>
    <n v="3.6"/>
  </r>
  <r>
    <x v="729"/>
    <x v="39"/>
    <s v="Female"/>
    <x v="2"/>
    <x v="5"/>
    <x v="724"/>
    <d v="2024-06-29T00:00:00"/>
    <n v="15"/>
    <x v="165"/>
    <x v="0"/>
    <x v="2"/>
    <s v="No"/>
    <s v="stable"/>
    <n v="3.6"/>
  </r>
  <r>
    <x v="730"/>
    <x v="34"/>
    <s v="Female"/>
    <x v="2"/>
    <x v="5"/>
    <x v="725"/>
    <d v="2024-06-30T00:00:00"/>
    <n v="15"/>
    <x v="166"/>
    <x v="0"/>
    <x v="2"/>
    <s v="Yes"/>
    <s v="stable"/>
    <n v="3.6"/>
  </r>
  <r>
    <x v="731"/>
    <x v="13"/>
    <s v="Female"/>
    <x v="2"/>
    <x v="5"/>
    <x v="726"/>
    <d v="2024-07-01T00:00:00"/>
    <n v="15"/>
    <x v="71"/>
    <x v="0"/>
    <x v="2"/>
    <s v="No"/>
    <s v="stable"/>
    <n v="3.6"/>
  </r>
  <r>
    <x v="732"/>
    <x v="15"/>
    <s v="Female"/>
    <x v="2"/>
    <x v="5"/>
    <x v="727"/>
    <d v="2024-07-02T00:00:00"/>
    <n v="15"/>
    <x v="43"/>
    <x v="0"/>
    <x v="2"/>
    <s v="Yes"/>
    <s v="stable"/>
    <n v="3.6"/>
  </r>
  <r>
    <x v="733"/>
    <x v="21"/>
    <s v="Female"/>
    <x v="2"/>
    <x v="5"/>
    <x v="728"/>
    <d v="2024-07-03T00:00:00"/>
    <n v="15"/>
    <x v="167"/>
    <x v="0"/>
    <x v="2"/>
    <s v="No"/>
    <s v="stable"/>
    <n v="3.6"/>
  </r>
  <r>
    <x v="734"/>
    <x v="43"/>
    <s v="Female"/>
    <x v="2"/>
    <x v="5"/>
    <x v="729"/>
    <d v="2024-07-04T00:00:00"/>
    <n v="15"/>
    <x v="168"/>
    <x v="0"/>
    <x v="2"/>
    <s v="Yes"/>
    <s v="stable"/>
    <n v="3.6"/>
  </r>
  <r>
    <x v="735"/>
    <x v="42"/>
    <s v="Female"/>
    <x v="2"/>
    <x v="5"/>
    <x v="730"/>
    <d v="2024-07-05T00:00:00"/>
    <n v="15"/>
    <x v="169"/>
    <x v="0"/>
    <x v="2"/>
    <s v="Yes"/>
    <s v="stable"/>
    <n v="3.6"/>
  </r>
  <r>
    <x v="736"/>
    <x v="41"/>
    <s v="Female"/>
    <x v="2"/>
    <x v="5"/>
    <x v="731"/>
    <d v="2024-07-06T00:00:00"/>
    <n v="15"/>
    <x v="44"/>
    <x v="0"/>
    <x v="2"/>
    <s v="Yes"/>
    <s v="stable"/>
    <n v="3.6"/>
  </r>
  <r>
    <x v="737"/>
    <x v="43"/>
    <s v="Female"/>
    <x v="7"/>
    <x v="12"/>
    <x v="732"/>
    <d v="2024-07-07T00:00:00"/>
    <n v="15"/>
    <x v="126"/>
    <x v="0"/>
    <x v="7"/>
    <s v="No"/>
    <s v="stable"/>
    <n v="3.6"/>
  </r>
  <r>
    <x v="738"/>
    <x v="62"/>
    <s v="Female"/>
    <x v="7"/>
    <x v="12"/>
    <x v="733"/>
    <d v="2024-07-08T00:00:00"/>
    <n v="15"/>
    <x v="165"/>
    <x v="0"/>
    <x v="7"/>
    <s v="No"/>
    <s v="stable"/>
    <n v="3.6"/>
  </r>
  <r>
    <x v="739"/>
    <x v="43"/>
    <s v="Female"/>
    <x v="7"/>
    <x v="12"/>
    <x v="734"/>
    <d v="2024-07-09T00:00:00"/>
    <n v="15"/>
    <x v="64"/>
    <x v="0"/>
    <x v="7"/>
    <s v="Yes"/>
    <s v="stable"/>
    <n v="3.6"/>
  </r>
  <r>
    <x v="740"/>
    <x v="21"/>
    <s v="Female"/>
    <x v="7"/>
    <x v="12"/>
    <x v="735"/>
    <d v="2024-07-10T00:00:00"/>
    <n v="15"/>
    <x v="106"/>
    <x v="0"/>
    <x v="7"/>
    <s v="No"/>
    <s v="stable"/>
    <n v="3.6"/>
  </r>
  <r>
    <x v="741"/>
    <x v="62"/>
    <s v="Female"/>
    <x v="7"/>
    <x v="12"/>
    <x v="736"/>
    <d v="2024-07-11T00:00:00"/>
    <n v="15"/>
    <x v="87"/>
    <x v="0"/>
    <x v="7"/>
    <s v="Yes"/>
    <s v="stable"/>
    <n v="3.6"/>
  </r>
  <r>
    <x v="742"/>
    <x v="15"/>
    <s v="Female"/>
    <x v="7"/>
    <x v="12"/>
    <x v="737"/>
    <d v="2024-07-16T00:00:00"/>
    <n v="19"/>
    <x v="57"/>
    <x v="0"/>
    <x v="7"/>
    <s v="No"/>
    <s v="stable"/>
    <n v="3.6"/>
  </r>
  <r>
    <x v="743"/>
    <x v="25"/>
    <s v="Female"/>
    <x v="7"/>
    <x v="12"/>
    <x v="738"/>
    <d v="2024-07-17T00:00:00"/>
    <n v="19"/>
    <x v="36"/>
    <x v="0"/>
    <x v="7"/>
    <s v="No"/>
    <s v="stable"/>
    <n v="3.6"/>
  </r>
  <r>
    <x v="744"/>
    <x v="25"/>
    <s v="Female"/>
    <x v="7"/>
    <x v="12"/>
    <x v="739"/>
    <d v="2024-07-18T00:00:00"/>
    <n v="19"/>
    <x v="170"/>
    <x v="0"/>
    <x v="7"/>
    <s v="No"/>
    <s v="stable"/>
    <n v="3.6"/>
  </r>
  <r>
    <x v="745"/>
    <x v="49"/>
    <s v="Female"/>
    <x v="7"/>
    <x v="12"/>
    <x v="740"/>
    <d v="2024-07-19T00:00:00"/>
    <n v="19"/>
    <x v="43"/>
    <x v="0"/>
    <x v="7"/>
    <s v="Yes"/>
    <s v="stable"/>
    <n v="3.6"/>
  </r>
  <r>
    <x v="746"/>
    <x v="60"/>
    <s v="Female"/>
    <x v="7"/>
    <x v="12"/>
    <x v="741"/>
    <d v="2024-07-20T00:00:00"/>
    <n v="19"/>
    <x v="171"/>
    <x v="0"/>
    <x v="7"/>
    <s v="No"/>
    <s v="stable"/>
    <n v="3.6"/>
  </r>
  <r>
    <x v="747"/>
    <x v="17"/>
    <s v="Female"/>
    <x v="7"/>
    <x v="12"/>
    <x v="742"/>
    <d v="2024-07-21T00:00:00"/>
    <n v="19"/>
    <x v="48"/>
    <x v="0"/>
    <x v="7"/>
    <s v="Yes"/>
    <s v="stable"/>
    <n v="3.6"/>
  </r>
  <r>
    <x v="748"/>
    <x v="6"/>
    <s v="Female"/>
    <x v="7"/>
    <x v="12"/>
    <x v="743"/>
    <d v="2024-07-22T00:00:00"/>
    <n v="19"/>
    <x v="172"/>
    <x v="0"/>
    <x v="7"/>
    <s v="No"/>
    <s v="stable"/>
    <n v="3.6"/>
  </r>
  <r>
    <x v="749"/>
    <x v="11"/>
    <s v="Male"/>
    <x v="0"/>
    <x v="52"/>
    <x v="744"/>
    <d v="2024-12-02T00:00:00"/>
    <n v="14"/>
    <x v="0"/>
    <x v="0"/>
    <x v="0"/>
    <s v="Yes"/>
    <s v="stable"/>
    <n v="3.6"/>
  </r>
  <r>
    <x v="750"/>
    <x v="11"/>
    <s v="Male"/>
    <x v="0"/>
    <x v="52"/>
    <x v="745"/>
    <d v="2024-12-03T00:00:00"/>
    <n v="14"/>
    <x v="0"/>
    <x v="0"/>
    <x v="0"/>
    <s v="No"/>
    <s v="stable"/>
    <n v="3.6"/>
  </r>
  <r>
    <x v="751"/>
    <x v="33"/>
    <s v="Male"/>
    <x v="0"/>
    <x v="52"/>
    <x v="746"/>
    <d v="2024-12-04T00:00:00"/>
    <n v="14"/>
    <x v="0"/>
    <x v="0"/>
    <x v="0"/>
    <s v="No"/>
    <s v="stable"/>
    <n v="3.6"/>
  </r>
  <r>
    <x v="752"/>
    <x v="7"/>
    <s v="Male"/>
    <x v="0"/>
    <x v="52"/>
    <x v="747"/>
    <d v="2024-12-05T00:00:00"/>
    <n v="14"/>
    <x v="0"/>
    <x v="0"/>
    <x v="0"/>
    <s v="Yes"/>
    <s v="stable"/>
    <n v="3.6"/>
  </r>
  <r>
    <x v="753"/>
    <x v="33"/>
    <s v="Male"/>
    <x v="0"/>
    <x v="52"/>
    <x v="748"/>
    <d v="2024-12-06T00:00:00"/>
    <n v="14"/>
    <x v="0"/>
    <x v="0"/>
    <x v="0"/>
    <s v="No"/>
    <s v="stable"/>
    <n v="3.6"/>
  </r>
  <r>
    <x v="754"/>
    <x v="6"/>
    <s v="Male"/>
    <x v="0"/>
    <x v="52"/>
    <x v="749"/>
    <d v="2024-12-07T00:00:00"/>
    <n v="14"/>
    <x v="0"/>
    <x v="0"/>
    <x v="0"/>
    <s v="Yes"/>
    <s v="stable"/>
    <n v="3.6"/>
  </r>
  <r>
    <x v="755"/>
    <x v="11"/>
    <s v="Male"/>
    <x v="0"/>
    <x v="6"/>
    <x v="750"/>
    <d v="2024-12-08T00:00:00"/>
    <n v="14"/>
    <x v="0"/>
    <x v="0"/>
    <x v="0"/>
    <s v="No"/>
    <s v="stable"/>
    <n v="3.6"/>
  </r>
  <r>
    <x v="756"/>
    <x v="19"/>
    <s v="Male"/>
    <x v="0"/>
    <x v="6"/>
    <x v="751"/>
    <d v="2024-12-09T00:00:00"/>
    <n v="14"/>
    <x v="0"/>
    <x v="0"/>
    <x v="0"/>
    <s v="No"/>
    <s v="stable"/>
    <n v="3.6"/>
  </r>
  <r>
    <x v="757"/>
    <x v="14"/>
    <s v="Male"/>
    <x v="0"/>
    <x v="6"/>
    <x v="752"/>
    <d v="2024-12-10T00:00:00"/>
    <n v="14"/>
    <x v="0"/>
    <x v="0"/>
    <x v="0"/>
    <s v="No"/>
    <s v="stable"/>
    <n v="3.6"/>
  </r>
  <r>
    <x v="758"/>
    <x v="33"/>
    <s v="Male"/>
    <x v="0"/>
    <x v="6"/>
    <x v="753"/>
    <d v="2024-12-11T00:00:00"/>
    <n v="14"/>
    <x v="0"/>
    <x v="0"/>
    <x v="0"/>
    <s v="Yes"/>
    <s v="stable"/>
    <n v="3.6"/>
  </r>
  <r>
    <x v="759"/>
    <x v="33"/>
    <s v="Male"/>
    <x v="0"/>
    <x v="6"/>
    <x v="754"/>
    <d v="2024-12-12T00:00:00"/>
    <n v="14"/>
    <x v="0"/>
    <x v="0"/>
    <x v="0"/>
    <s v="No"/>
    <s v="stable"/>
    <n v="3.6"/>
  </r>
  <r>
    <x v="760"/>
    <x v="6"/>
    <s v="Male"/>
    <x v="0"/>
    <x v="6"/>
    <x v="755"/>
    <d v="2024-12-13T00:00:00"/>
    <n v="14"/>
    <x v="0"/>
    <x v="0"/>
    <x v="0"/>
    <s v="Yes"/>
    <s v="stable"/>
    <n v="3.6"/>
  </r>
  <r>
    <x v="761"/>
    <x v="18"/>
    <s v="Male"/>
    <x v="0"/>
    <x v="6"/>
    <x v="756"/>
    <d v="2024-12-14T00:00:00"/>
    <n v="14"/>
    <x v="0"/>
    <x v="0"/>
    <x v="0"/>
    <s v="No"/>
    <s v="stable"/>
    <n v="3.6"/>
  </r>
  <r>
    <x v="762"/>
    <x v="34"/>
    <s v="Male"/>
    <x v="0"/>
    <x v="6"/>
    <x v="757"/>
    <d v="2024-12-15T00:00:00"/>
    <n v="14"/>
    <x v="0"/>
    <x v="0"/>
    <x v="0"/>
    <s v="Yes"/>
    <s v="stable"/>
    <n v="3.6"/>
  </r>
  <r>
    <x v="763"/>
    <x v="19"/>
    <s v="Male"/>
    <x v="0"/>
    <x v="6"/>
    <x v="758"/>
    <d v="2024-12-16T00:00:00"/>
    <n v="14"/>
    <x v="0"/>
    <x v="0"/>
    <x v="0"/>
    <s v="Yes"/>
    <s v="stable"/>
    <n v="3.6"/>
  </r>
  <r>
    <x v="764"/>
    <x v="33"/>
    <s v="Male"/>
    <x v="0"/>
    <x v="6"/>
    <x v="759"/>
    <d v="2024-12-17T00:00:00"/>
    <n v="14"/>
    <x v="0"/>
    <x v="0"/>
    <x v="0"/>
    <s v="Yes"/>
    <s v="stable"/>
    <n v="3.6"/>
  </r>
  <r>
    <x v="765"/>
    <x v="7"/>
    <s v="Male"/>
    <x v="0"/>
    <x v="6"/>
    <x v="760"/>
    <d v="2024-12-18T00:00:00"/>
    <n v="14"/>
    <x v="0"/>
    <x v="0"/>
    <x v="0"/>
    <s v="No"/>
    <s v="stable"/>
    <n v="3.6"/>
  </r>
  <r>
    <x v="766"/>
    <x v="81"/>
    <s v="Female"/>
    <x v="8"/>
    <x v="93"/>
    <x v="761"/>
    <d v="2025-01-29T00:00:00"/>
    <n v="9"/>
    <x v="130"/>
    <x v="1"/>
    <x v="8"/>
    <s v="Yes"/>
    <s v="stable"/>
    <n v="3.6"/>
  </r>
  <r>
    <x v="767"/>
    <x v="34"/>
    <s v="Male"/>
    <x v="7"/>
    <x v="12"/>
    <x v="762"/>
    <d v="2025-02-10T00:00:00"/>
    <n v="5"/>
    <x v="50"/>
    <x v="1"/>
    <x v="7"/>
    <s v="Yes"/>
    <s v="stable"/>
    <n v="2.6"/>
  </r>
  <r>
    <x v="768"/>
    <x v="88"/>
    <s v="Female"/>
    <x v="1"/>
    <x v="3"/>
    <x v="763"/>
    <d v="2025-02-12T00:00:00"/>
    <n v="2"/>
    <x v="53"/>
    <x v="0"/>
    <x v="1"/>
    <s v="No"/>
    <s v="stable"/>
    <n v="2.4"/>
  </r>
  <r>
    <x v="769"/>
    <x v="87"/>
    <s v="Male"/>
    <x v="7"/>
    <x v="12"/>
    <x v="764"/>
    <d v="2025-02-19T00:00:00"/>
    <n v="7"/>
    <x v="115"/>
    <x v="0"/>
    <x v="7"/>
    <s v="No"/>
    <s v="stable"/>
    <n v="2.2999999999999998"/>
  </r>
  <r>
    <x v="770"/>
    <x v="31"/>
    <s v="Male"/>
    <x v="7"/>
    <x v="12"/>
    <x v="765"/>
    <d v="2025-03-03T00:00:00"/>
    <n v="3"/>
    <x v="53"/>
    <x v="2"/>
    <x v="7"/>
    <s v="No"/>
    <s v="stable"/>
    <n v="4"/>
  </r>
  <r>
    <x v="771"/>
    <x v="41"/>
    <s v="Female"/>
    <x v="6"/>
    <x v="10"/>
    <x v="766"/>
    <d v="2025-03-09T00:00:00"/>
    <n v="5"/>
    <x v="22"/>
    <x v="0"/>
    <x v="6"/>
    <s v="Yes"/>
    <s v="stable"/>
    <n v="3.4"/>
  </r>
  <r>
    <x v="772"/>
    <x v="60"/>
    <s v="Male"/>
    <x v="4"/>
    <x v="66"/>
    <x v="767"/>
    <d v="2025-03-20T00:00:00"/>
    <n v="8"/>
    <x v="57"/>
    <x v="2"/>
    <x v="4"/>
    <s v="Yes"/>
    <s v="stable"/>
    <n v="5"/>
  </r>
  <r>
    <x v="773"/>
    <x v="47"/>
    <s v="Female"/>
    <x v="3"/>
    <x v="32"/>
    <x v="768"/>
    <d v="2025-03-19T00:00:00"/>
    <n v="3"/>
    <x v="127"/>
    <x v="2"/>
    <x v="3"/>
    <s v="No"/>
    <s v="stable"/>
    <n v="4"/>
  </r>
  <r>
    <x v="774"/>
    <x v="51"/>
    <s v="Female"/>
    <x v="3"/>
    <x v="21"/>
    <x v="769"/>
    <d v="2025-04-03T00:00:00"/>
    <n v="6"/>
    <x v="173"/>
    <x v="1"/>
    <x v="3"/>
    <s v="Yes"/>
    <s v="stable"/>
    <n v="4"/>
  </r>
  <r>
    <x v="775"/>
    <x v="89"/>
    <s v="Female"/>
    <x v="4"/>
    <x v="94"/>
    <x v="770"/>
    <d v="2025-04-05T00:00:00"/>
    <n v="4"/>
    <x v="53"/>
    <x v="0"/>
    <x v="4"/>
    <s v="Yes"/>
    <s v="stable"/>
    <n v="4"/>
  </r>
  <r>
    <x v="776"/>
    <x v="62"/>
    <s v="Female"/>
    <x v="8"/>
    <x v="15"/>
    <x v="771"/>
    <d v="2025-04-10T00:00:00"/>
    <n v="5"/>
    <x v="4"/>
    <x v="1"/>
    <x v="8"/>
    <s v="Yes"/>
    <s v="stable"/>
    <n v="4"/>
  </r>
  <r>
    <x v="777"/>
    <x v="21"/>
    <s v="Male"/>
    <x v="8"/>
    <x v="95"/>
    <x v="772"/>
    <d v="2025-04-15T00:00:00"/>
    <n v="8"/>
    <x v="43"/>
    <x v="0"/>
    <x v="8"/>
    <s v="No"/>
    <s v="stable"/>
    <n v="4.5"/>
  </r>
  <r>
    <x v="778"/>
    <x v="57"/>
    <s v="Female"/>
    <x v="1"/>
    <x v="3"/>
    <x v="773"/>
    <d v="2025-04-13T00:00:00"/>
    <n v="2"/>
    <x v="129"/>
    <x v="2"/>
    <x v="9"/>
    <s v="No"/>
    <s v="stable"/>
    <n v="5"/>
  </r>
  <r>
    <x v="779"/>
    <x v="25"/>
    <s v="Male"/>
    <x v="3"/>
    <x v="35"/>
    <x v="774"/>
    <d v="2025-04-21T00:00:00"/>
    <n v="8"/>
    <x v="89"/>
    <x v="2"/>
    <x v="3"/>
    <s v="No"/>
    <s v="stable"/>
    <n v="4"/>
  </r>
  <r>
    <x v="780"/>
    <x v="62"/>
    <s v="Female"/>
    <x v="1"/>
    <x v="31"/>
    <x v="775"/>
    <d v="2025-04-17T00:00:00"/>
    <n v="2"/>
    <x v="102"/>
    <x v="1"/>
    <x v="1"/>
    <s v="No"/>
    <s v="stable"/>
    <n v="4"/>
  </r>
  <r>
    <x v="781"/>
    <x v="8"/>
    <s v="Female"/>
    <x v="5"/>
    <x v="9"/>
    <x v="776"/>
    <d v="2025-04-22T00:00:00"/>
    <n v="5"/>
    <x v="22"/>
    <x v="0"/>
    <x v="5"/>
    <s v="No"/>
    <s v="stable"/>
    <n v="4"/>
  </r>
  <r>
    <x v="782"/>
    <x v="10"/>
    <s v="Female"/>
    <x v="7"/>
    <x v="12"/>
    <x v="777"/>
    <d v="2025-04-26T00:00:00"/>
    <n v="8"/>
    <x v="32"/>
    <x v="2"/>
    <x v="7"/>
    <s v="Yes"/>
    <s v="stable"/>
    <n v="3"/>
  </r>
  <r>
    <x v="783"/>
    <x v="58"/>
    <s v="Male"/>
    <x v="3"/>
    <x v="55"/>
    <x v="778"/>
    <d v="2025-04-29T00:00:00"/>
    <n v="10"/>
    <x v="44"/>
    <x v="1"/>
    <x v="3"/>
    <s v="Yes"/>
    <s v="stable"/>
    <n v="4"/>
  </r>
  <r>
    <x v="784"/>
    <x v="28"/>
    <s v="Female"/>
    <x v="9"/>
    <x v="75"/>
    <x v="779"/>
    <d v="2025-04-29T00:00:00"/>
    <n v="4"/>
    <x v="174"/>
    <x v="1"/>
    <x v="9"/>
    <s v="Yes"/>
    <s v="stable"/>
    <n v="5"/>
  </r>
  <r>
    <x v="785"/>
    <x v="15"/>
    <s v="Male"/>
    <x v="6"/>
    <x v="96"/>
    <x v="780"/>
    <d v="2025-05-02T00:00:00"/>
    <n v="6"/>
    <x v="44"/>
    <x v="0"/>
    <x v="6"/>
    <s v="No"/>
    <s v="stable"/>
    <n v="4"/>
  </r>
  <r>
    <x v="786"/>
    <x v="28"/>
    <s v="Female"/>
    <x v="6"/>
    <x v="10"/>
    <x v="781"/>
    <d v="2025-05-09T00:00:00"/>
    <n v="9"/>
    <x v="85"/>
    <x v="0"/>
    <x v="6"/>
    <s v="No"/>
    <s v="stable"/>
    <n v="4"/>
  </r>
  <r>
    <x v="787"/>
    <x v="46"/>
    <s v="Female"/>
    <x v="2"/>
    <x v="65"/>
    <x v="782"/>
    <d v="2025-05-11T00:00:00"/>
    <n v="9"/>
    <x v="175"/>
    <x v="2"/>
    <x v="2"/>
    <s v="No"/>
    <s v="stable"/>
    <n v="3"/>
  </r>
  <r>
    <x v="788"/>
    <x v="42"/>
    <s v="Male"/>
    <x v="6"/>
    <x v="97"/>
    <x v="783"/>
    <d v="2025-05-09T00:00:00"/>
    <n v="5"/>
    <x v="46"/>
    <x v="1"/>
    <x v="6"/>
    <s v="Yes"/>
    <s v="stable"/>
    <n v="3"/>
  </r>
  <r>
    <x v="789"/>
    <x v="71"/>
    <s v="Female"/>
    <x v="3"/>
    <x v="7"/>
    <x v="784"/>
    <d v="2025-05-15T00:00:00"/>
    <n v="8"/>
    <x v="66"/>
    <x v="1"/>
    <x v="3"/>
    <s v="No"/>
    <s v="stable"/>
    <n v="5"/>
  </r>
  <r>
    <x v="790"/>
    <x v="15"/>
    <s v="Male"/>
    <x v="4"/>
    <x v="98"/>
    <x v="785"/>
    <d v="2025-05-16T00:00:00"/>
    <n v="7"/>
    <x v="103"/>
    <x v="0"/>
    <x v="4"/>
    <s v="No"/>
    <s v="stable"/>
    <n v="4.3"/>
  </r>
  <r>
    <x v="791"/>
    <x v="54"/>
    <s v="Male"/>
    <x v="8"/>
    <x v="15"/>
    <x v="786"/>
    <d v="2025-05-25T00:00:00"/>
    <n v="8"/>
    <x v="19"/>
    <x v="1"/>
    <x v="8"/>
    <s v="Yes"/>
    <s v="stable"/>
    <n v="5"/>
  </r>
  <r>
    <x v="792"/>
    <x v="77"/>
    <s v="Male"/>
    <x v="8"/>
    <x v="49"/>
    <x v="787"/>
    <d v="2025-05-29T00:00:00"/>
    <n v="14"/>
    <x v="176"/>
    <x v="1"/>
    <x v="8"/>
    <s v="No"/>
    <s v="stable"/>
    <n v="4"/>
  </r>
  <r>
    <x v="793"/>
    <x v="51"/>
    <s v="Female"/>
    <x v="6"/>
    <x v="10"/>
    <x v="788"/>
    <d v="2025-05-24T00:00:00"/>
    <n v="7"/>
    <x v="0"/>
    <x v="0"/>
    <x v="6"/>
    <s v="No"/>
    <s v="stable"/>
    <n v="4"/>
  </r>
  <r>
    <x v="794"/>
    <x v="22"/>
    <s v="Male"/>
    <x v="2"/>
    <x v="99"/>
    <x v="789"/>
    <d v="2025-05-26T00:00:00"/>
    <n v="6"/>
    <x v="177"/>
    <x v="2"/>
    <x v="2"/>
    <s v="Yes"/>
    <s v="stable"/>
    <n v="4"/>
  </r>
  <r>
    <x v="795"/>
    <x v="25"/>
    <s v="Female"/>
    <x v="9"/>
    <x v="100"/>
    <x v="790"/>
    <d v="2025-05-25T00:00:00"/>
    <n v="3"/>
    <x v="35"/>
    <x v="0"/>
    <x v="9"/>
    <s v="No"/>
    <s v="stable"/>
    <n v="3"/>
  </r>
  <r>
    <x v="796"/>
    <x v="69"/>
    <s v="Male"/>
    <x v="6"/>
    <x v="10"/>
    <x v="791"/>
    <d v="2025-05-25T00:00:00"/>
    <n v="1"/>
    <x v="85"/>
    <x v="0"/>
    <x v="6"/>
    <s v="No"/>
    <s v="stable"/>
    <n v="3"/>
  </r>
  <r>
    <x v="797"/>
    <x v="21"/>
    <s v="Male"/>
    <x v="4"/>
    <x v="66"/>
    <x v="792"/>
    <d v="2025-06-02T00:00:00"/>
    <n v="7"/>
    <x v="90"/>
    <x v="0"/>
    <x v="4"/>
    <s v="Yes"/>
    <s v="stable"/>
    <n v="3"/>
  </r>
  <r>
    <x v="798"/>
    <x v="17"/>
    <s v="Female"/>
    <x v="6"/>
    <x v="89"/>
    <x v="793"/>
    <d v="2025-06-02T00:00:00"/>
    <n v="3"/>
    <x v="4"/>
    <x v="2"/>
    <x v="6"/>
    <s v="No"/>
    <s v="stable"/>
    <n v="4"/>
  </r>
  <r>
    <x v="799"/>
    <x v="41"/>
    <s v="Female"/>
    <x v="9"/>
    <x v="101"/>
    <x v="794"/>
    <d v="2025-06-06T00:00:00"/>
    <n v="3"/>
    <x v="0"/>
    <x v="2"/>
    <x v="9"/>
    <s v="Yes"/>
    <s v="stable"/>
    <n v="3"/>
  </r>
  <r>
    <x v="800"/>
    <x v="21"/>
    <s v="Male"/>
    <x v="2"/>
    <x v="62"/>
    <x v="795"/>
    <d v="2025-06-10T00:00:00"/>
    <n v="5"/>
    <x v="63"/>
    <x v="0"/>
    <x v="2"/>
    <s v="No"/>
    <s v="stable"/>
    <n v="3"/>
  </r>
  <r>
    <x v="801"/>
    <x v="42"/>
    <s v="Male"/>
    <x v="4"/>
    <x v="14"/>
    <x v="796"/>
    <d v="2025-06-12T00:00:00"/>
    <n v="5"/>
    <x v="40"/>
    <x v="1"/>
    <x v="4"/>
    <s v="Yes"/>
    <s v="stable"/>
    <n v="4"/>
  </r>
  <r>
    <x v="802"/>
    <x v="50"/>
    <s v="Male"/>
    <x v="8"/>
    <x v="26"/>
    <x v="797"/>
    <d v="2025-06-13T00:00:00"/>
    <n v="5"/>
    <x v="108"/>
    <x v="2"/>
    <x v="8"/>
    <s v="No"/>
    <s v="stable"/>
    <n v="4"/>
  </r>
  <r>
    <x v="803"/>
    <x v="9"/>
    <s v="Female"/>
    <x v="2"/>
    <x v="102"/>
    <x v="798"/>
    <d v="2025-06-21T00:00:00"/>
    <n v="11"/>
    <x v="57"/>
    <x v="0"/>
    <x v="2"/>
    <s v="Yes"/>
    <s v="stable"/>
    <n v="5"/>
  </r>
  <r>
    <x v="804"/>
    <x v="44"/>
    <s v="Female"/>
    <x v="8"/>
    <x v="103"/>
    <x v="799"/>
    <d v="2025-06-18T00:00:00"/>
    <n v="6"/>
    <x v="43"/>
    <x v="0"/>
    <x v="8"/>
    <s v="No"/>
    <s v="stable"/>
    <n v="3"/>
  </r>
  <r>
    <x v="805"/>
    <x v="25"/>
    <s v="Male"/>
    <x v="8"/>
    <x v="49"/>
    <x v="800"/>
    <d v="2025-06-20T00:00:00"/>
    <n v="6"/>
    <x v="45"/>
    <x v="0"/>
    <x v="8"/>
    <s v="No"/>
    <s v="stable"/>
    <n v="4"/>
  </r>
  <r>
    <x v="806"/>
    <x v="53"/>
    <s v="Male"/>
    <x v="2"/>
    <x v="5"/>
    <x v="801"/>
    <d v="2025-06-21T00:00:00"/>
    <n v="5"/>
    <x v="85"/>
    <x v="0"/>
    <x v="2"/>
    <s v="No"/>
    <s v="stable"/>
    <n v="3"/>
  </r>
  <r>
    <x v="807"/>
    <x v="73"/>
    <s v="Female"/>
    <x v="2"/>
    <x v="65"/>
    <x v="802"/>
    <d v="2025-06-24T00:00:00"/>
    <n v="6"/>
    <x v="178"/>
    <x v="2"/>
    <x v="2"/>
    <s v="Yes"/>
    <s v="stable"/>
    <n v="3"/>
  </r>
  <r>
    <x v="808"/>
    <x v="16"/>
    <s v="Male"/>
    <x v="4"/>
    <x v="88"/>
    <x v="803"/>
    <d v="2025-06-28T00:00:00"/>
    <n v="8"/>
    <x v="71"/>
    <x v="1"/>
    <x v="4"/>
    <s v="No"/>
    <s v="stable"/>
    <n v="4"/>
  </r>
  <r>
    <x v="809"/>
    <x v="42"/>
    <s v="Female"/>
    <x v="7"/>
    <x v="12"/>
    <x v="804"/>
    <d v="2025-06-29T00:00:00"/>
    <n v="7"/>
    <x v="90"/>
    <x v="0"/>
    <x v="7"/>
    <s v="Yes"/>
    <s v="stable"/>
    <n v="5"/>
  </r>
  <r>
    <x v="810"/>
    <x v="21"/>
    <s v="Male"/>
    <x v="7"/>
    <x v="50"/>
    <x v="805"/>
    <d v="2025-06-27T00:00:00"/>
    <n v="4"/>
    <x v="102"/>
    <x v="0"/>
    <x v="7"/>
    <s v="No"/>
    <s v="stable"/>
    <n v="4"/>
  </r>
  <r>
    <x v="811"/>
    <x v="43"/>
    <s v="Female"/>
    <x v="8"/>
    <x v="103"/>
    <x v="806"/>
    <d v="2025-06-29T00:00:00"/>
    <n v="4"/>
    <x v="179"/>
    <x v="0"/>
    <x v="8"/>
    <s v="No"/>
    <s v="stable"/>
    <n v="4"/>
  </r>
  <r>
    <x v="812"/>
    <x v="21"/>
    <s v="Male"/>
    <x v="2"/>
    <x v="5"/>
    <x v="807"/>
    <d v="2025-06-27T00:00:00"/>
    <n v="1"/>
    <x v="20"/>
    <x v="1"/>
    <x v="2"/>
    <s v="No"/>
    <s v="stable"/>
    <n v="3"/>
  </r>
  <r>
    <x v="813"/>
    <x v="31"/>
    <s v="Female"/>
    <x v="1"/>
    <x v="31"/>
    <x v="808"/>
    <d v="2025-07-05T00:00:00"/>
    <n v="6"/>
    <x v="22"/>
    <x v="2"/>
    <x v="1"/>
    <s v="No"/>
    <s v="stable"/>
    <n v="5"/>
  </r>
  <r>
    <x v="814"/>
    <x v="25"/>
    <s v="Male"/>
    <x v="1"/>
    <x v="4"/>
    <x v="809"/>
    <d v="2025-07-04T00:00:00"/>
    <n v="4"/>
    <x v="162"/>
    <x v="1"/>
    <x v="1"/>
    <s v="Yes"/>
    <s v="stable"/>
    <n v="3"/>
  </r>
  <r>
    <x v="815"/>
    <x v="18"/>
    <s v="Female"/>
    <x v="4"/>
    <x v="104"/>
    <x v="810"/>
    <d v="2025-07-10T00:00:00"/>
    <n v="8"/>
    <x v="40"/>
    <x v="1"/>
    <x v="4"/>
    <s v="Yes"/>
    <s v="stable"/>
    <n v="4"/>
  </r>
  <r>
    <x v="816"/>
    <x v="19"/>
    <s v="Female"/>
    <x v="2"/>
    <x v="105"/>
    <x v="811"/>
    <d v="2025-07-12T00:00:00"/>
    <n v="8"/>
    <x v="36"/>
    <x v="0"/>
    <x v="2"/>
    <s v="Yes"/>
    <s v="stable"/>
    <n v="3"/>
  </r>
  <r>
    <x v="817"/>
    <x v="16"/>
    <s v="Male"/>
    <x v="1"/>
    <x v="79"/>
    <x v="812"/>
    <d v="2025-07-06T00:00:00"/>
    <n v="1"/>
    <x v="20"/>
    <x v="2"/>
    <x v="1"/>
    <s v="No"/>
    <s v="stable"/>
    <n v="4"/>
  </r>
  <r>
    <x v="818"/>
    <x v="44"/>
    <s v="Male"/>
    <x v="2"/>
    <x v="60"/>
    <x v="813"/>
    <d v="2025-07-21T00:00:00"/>
    <n v="14"/>
    <x v="180"/>
    <x v="0"/>
    <x v="2"/>
    <s v="Yes"/>
    <s v="stable"/>
    <n v="3"/>
  </r>
  <r>
    <x v="819"/>
    <x v="25"/>
    <s v="Female"/>
    <x v="5"/>
    <x v="17"/>
    <x v="814"/>
    <d v="2025-07-14T00:00:00"/>
    <n v="6"/>
    <x v="181"/>
    <x v="2"/>
    <x v="5"/>
    <s v="No"/>
    <s v="stable"/>
    <n v="4"/>
  </r>
  <r>
    <x v="820"/>
    <x v="43"/>
    <s v="Female"/>
    <x v="0"/>
    <x v="6"/>
    <x v="815"/>
    <d v="2025-07-15T00:00:00"/>
    <n v="5"/>
    <x v="43"/>
    <x v="0"/>
    <x v="0"/>
    <s v="Yes"/>
    <s v="stable"/>
    <n v="2"/>
  </r>
  <r>
    <x v="821"/>
    <x v="48"/>
    <s v="Male"/>
    <x v="5"/>
    <x v="9"/>
    <x v="816"/>
    <d v="2025-07-14T00:00:00"/>
    <n v="4"/>
    <x v="85"/>
    <x v="2"/>
    <x v="5"/>
    <s v="No"/>
    <s v="stable"/>
    <n v="4"/>
  </r>
  <r>
    <x v="822"/>
    <x v="25"/>
    <s v="Male"/>
    <x v="2"/>
    <x v="99"/>
    <x v="817"/>
    <d v="2025-07-20T00:00:00"/>
    <n v="7"/>
    <x v="182"/>
    <x v="2"/>
    <x v="2"/>
    <s v="Yes"/>
    <s v="stable"/>
    <n v="3"/>
  </r>
  <r>
    <x v="823"/>
    <x v="52"/>
    <s v="Female"/>
    <x v="7"/>
    <x v="12"/>
    <x v="818"/>
    <d v="2025-07-20T00:00:00"/>
    <n v="3"/>
    <x v="42"/>
    <x v="2"/>
    <x v="7"/>
    <s v="Yes"/>
    <s v="stable"/>
    <n v="2"/>
  </r>
  <r>
    <x v="824"/>
    <x v="32"/>
    <s v="Male"/>
    <x v="5"/>
    <x v="61"/>
    <x v="819"/>
    <d v="2025-07-29T00:00:00"/>
    <n v="9"/>
    <x v="53"/>
    <x v="2"/>
    <x v="5"/>
    <s v="No"/>
    <s v="stable"/>
    <n v="3"/>
  </r>
  <r>
    <x v="825"/>
    <x v="88"/>
    <s v="Female"/>
    <x v="6"/>
    <x v="16"/>
    <x v="820"/>
    <d v="2025-07-31T00:00:00"/>
    <n v="9"/>
    <x v="2"/>
    <x v="1"/>
    <x v="6"/>
    <s v="Yes"/>
    <s v="stable"/>
    <n v="4"/>
  </r>
  <r>
    <x v="826"/>
    <x v="65"/>
    <s v="Female"/>
    <x v="5"/>
    <x v="48"/>
    <x v="821"/>
    <d v="2025-07-30T00:00:00"/>
    <n v="7"/>
    <x v="6"/>
    <x v="0"/>
    <x v="5"/>
    <s v="No"/>
    <s v="stable"/>
    <n v="3"/>
  </r>
  <r>
    <x v="827"/>
    <x v="25"/>
    <s v="Female"/>
    <x v="9"/>
    <x v="30"/>
    <x v="822"/>
    <d v="2025-08-03T00:00:00"/>
    <n v="9"/>
    <x v="183"/>
    <x v="0"/>
    <x v="9"/>
    <s v="No"/>
    <s v="stable"/>
    <n v="3"/>
  </r>
  <r>
    <x v="828"/>
    <x v="14"/>
    <s v="Male"/>
    <x v="7"/>
    <x v="20"/>
    <x v="823"/>
    <d v="2025-08-04T00:00:00"/>
    <n v="8"/>
    <x v="87"/>
    <x v="1"/>
    <x v="7"/>
    <s v="Yes"/>
    <s v="stable"/>
    <n v="3"/>
  </r>
  <r>
    <x v="829"/>
    <x v="15"/>
    <s v="Male"/>
    <x v="2"/>
    <x v="5"/>
    <x v="824"/>
    <d v="2025-08-09T00:00:00"/>
    <n v="11"/>
    <x v="0"/>
    <x v="1"/>
    <x v="2"/>
    <s v="Yes"/>
    <s v="stable"/>
    <n v="3"/>
  </r>
  <r>
    <x v="830"/>
    <x v="37"/>
    <s v="Male"/>
    <x v="8"/>
    <x v="15"/>
    <x v="825"/>
    <d v="2025-08-07T00:00:00"/>
    <n v="6"/>
    <x v="44"/>
    <x v="0"/>
    <x v="8"/>
    <s v="Yes"/>
    <s v="stable"/>
    <n v="3"/>
  </r>
  <r>
    <x v="831"/>
    <x v="42"/>
    <s v="Female"/>
    <x v="2"/>
    <x v="62"/>
    <x v="826"/>
    <d v="2025-08-09T00:00:00"/>
    <n v="5"/>
    <x v="20"/>
    <x v="2"/>
    <x v="2"/>
    <s v="No"/>
    <s v="stable"/>
    <n v="4"/>
  </r>
  <r>
    <x v="832"/>
    <x v="25"/>
    <s v="Male"/>
    <x v="5"/>
    <x v="61"/>
    <x v="827"/>
    <d v="2025-08-14T00:00:00"/>
    <n v="8"/>
    <x v="0"/>
    <x v="0"/>
    <x v="5"/>
    <s v="Yes"/>
    <s v="stable"/>
    <n v="3"/>
  </r>
  <r>
    <x v="833"/>
    <x v="21"/>
    <s v="Female"/>
    <x v="9"/>
    <x v="51"/>
    <x v="828"/>
    <d v="2025-08-13T00:00:00"/>
    <n v="5"/>
    <x v="184"/>
    <x v="0"/>
    <x v="9"/>
    <s v="Yes"/>
    <s v="stable"/>
    <n v="4"/>
  </r>
  <r>
    <x v="834"/>
    <x v="42"/>
    <s v="Female"/>
    <x v="2"/>
    <x v="65"/>
    <x v="829"/>
    <d v="2025-08-22T00:00:00"/>
    <n v="12"/>
    <x v="171"/>
    <x v="1"/>
    <x v="2"/>
    <s v="No"/>
    <s v="stable"/>
    <n v="4"/>
  </r>
  <r>
    <x v="835"/>
    <x v="25"/>
    <s v="Female"/>
    <x v="9"/>
    <x v="33"/>
    <x v="830"/>
    <d v="2025-08-20T00:00:00"/>
    <n v="8"/>
    <x v="43"/>
    <x v="2"/>
    <x v="9"/>
    <s v="Yes"/>
    <s v="stable"/>
    <n v="4"/>
  </r>
  <r>
    <x v="836"/>
    <x v="62"/>
    <s v="Female"/>
    <x v="5"/>
    <x v="61"/>
    <x v="831"/>
    <d v="2025-08-20T00:00:00"/>
    <n v="6"/>
    <x v="65"/>
    <x v="2"/>
    <x v="5"/>
    <s v="Yes"/>
    <s v="stable"/>
    <n v="3"/>
  </r>
  <r>
    <x v="837"/>
    <x v="22"/>
    <s v="Male"/>
    <x v="4"/>
    <x v="8"/>
    <x v="832"/>
    <d v="2025-08-27T00:00:00"/>
    <n v="11"/>
    <x v="0"/>
    <x v="1"/>
    <x v="4"/>
    <s v="Yes"/>
    <s v="stable"/>
    <n v="3"/>
  </r>
  <r>
    <x v="838"/>
    <x v="11"/>
    <s v="Female"/>
    <x v="2"/>
    <x v="44"/>
    <x v="833"/>
    <d v="2025-08-30T00:00:00"/>
    <n v="10"/>
    <x v="45"/>
    <x v="2"/>
    <x v="12"/>
    <s v="No"/>
    <s v="stable"/>
    <n v="3"/>
  </r>
  <r>
    <x v="839"/>
    <x v="40"/>
    <s v="Female"/>
    <x v="5"/>
    <x v="9"/>
    <x v="834"/>
    <d v="2025-08-31T00:00:00"/>
    <n v="10"/>
    <x v="71"/>
    <x v="2"/>
    <x v="13"/>
    <s v="Yes"/>
    <s v="stable"/>
    <n v="3"/>
  </r>
  <r>
    <x v="840"/>
    <x v="63"/>
    <s v="Male"/>
    <x v="7"/>
    <x v="106"/>
    <x v="835"/>
    <d v="2025-08-31T00:00:00"/>
    <n v="9"/>
    <x v="87"/>
    <x v="2"/>
    <x v="7"/>
    <s v="No"/>
    <s v="stable"/>
    <n v="4"/>
  </r>
  <r>
    <x v="841"/>
    <x v="33"/>
    <s v="Female"/>
    <x v="3"/>
    <x v="46"/>
    <x v="836"/>
    <d v="2025-09-02T00:00:00"/>
    <n v="7"/>
    <x v="185"/>
    <x v="1"/>
    <x v="3"/>
    <s v="No"/>
    <s v="stable"/>
    <n v="3"/>
  </r>
  <r>
    <x v="842"/>
    <x v="25"/>
    <s v="Female"/>
    <x v="3"/>
    <x v="32"/>
    <x v="837"/>
    <d v="2025-09-02T00:00:00"/>
    <n v="5"/>
    <x v="32"/>
    <x v="2"/>
    <x v="3"/>
    <s v="No"/>
    <s v="stable"/>
    <n v="3"/>
  </r>
  <r>
    <x v="843"/>
    <x v="14"/>
    <s v="Female"/>
    <x v="3"/>
    <x v="7"/>
    <x v="838"/>
    <d v="2025-09-05T00:00:00"/>
    <n v="6"/>
    <x v="186"/>
    <x v="0"/>
    <x v="3"/>
    <s v="No"/>
    <s v="stable"/>
    <n v="3"/>
  </r>
  <r>
    <x v="844"/>
    <x v="25"/>
    <s v="Male"/>
    <x v="6"/>
    <x v="10"/>
    <x v="839"/>
    <d v="2025-09-05T00:00:00"/>
    <n v="5"/>
    <x v="187"/>
    <x v="1"/>
    <x v="6"/>
    <s v="Yes"/>
    <s v="stable"/>
    <n v="3"/>
  </r>
  <r>
    <x v="845"/>
    <x v="28"/>
    <s v="Female"/>
    <x v="5"/>
    <x v="61"/>
    <x v="840"/>
    <d v="2025-09-08T00:00:00"/>
    <n v="6"/>
    <x v="188"/>
    <x v="0"/>
    <x v="5"/>
    <s v="Yes"/>
    <s v="stable"/>
    <n v="5"/>
  </r>
  <r>
    <x v="846"/>
    <x v="25"/>
    <s v="Male"/>
    <x v="4"/>
    <x v="107"/>
    <x v="841"/>
    <d v="2025-09-11T00:00:00"/>
    <n v="7"/>
    <x v="43"/>
    <x v="0"/>
    <x v="4"/>
    <s v="No"/>
    <s v="stable"/>
    <n v="3"/>
  </r>
  <r>
    <x v="847"/>
    <x v="17"/>
    <s v="Female"/>
    <x v="4"/>
    <x v="108"/>
    <x v="842"/>
    <d v="2025-09-20T00:00:00"/>
    <n v="14"/>
    <x v="189"/>
    <x v="0"/>
    <x v="4"/>
    <s v="No"/>
    <s v="stable"/>
    <n v="3"/>
  </r>
  <r>
    <x v="848"/>
    <x v="25"/>
    <s v="Male"/>
    <x v="4"/>
    <x v="8"/>
    <x v="843"/>
    <d v="2025-09-13T00:00:00"/>
    <n v="5"/>
    <x v="115"/>
    <x v="2"/>
    <x v="4"/>
    <s v="No"/>
    <s v="stable"/>
    <n v="2"/>
  </r>
  <r>
    <x v="849"/>
    <x v="73"/>
    <s v="Female"/>
    <x v="2"/>
    <x v="44"/>
    <x v="844"/>
    <d v="2025-09-30T00:00:00"/>
    <n v="18"/>
    <x v="83"/>
    <x v="0"/>
    <x v="2"/>
    <s v="No"/>
    <s v="stable"/>
    <n v="2"/>
  </r>
  <r>
    <x v="850"/>
    <x v="45"/>
    <s v="Male"/>
    <x v="7"/>
    <x v="12"/>
    <x v="845"/>
    <d v="2025-09-24T00:00:00"/>
    <n v="10"/>
    <x v="44"/>
    <x v="0"/>
    <x v="7"/>
    <s v="No"/>
    <s v="stable"/>
    <n v="2"/>
  </r>
  <r>
    <x v="851"/>
    <x v="62"/>
    <s v="Male"/>
    <x v="2"/>
    <x v="5"/>
    <x v="846"/>
    <d v="2025-09-28T00:00:00"/>
    <n v="13"/>
    <x v="43"/>
    <x v="1"/>
    <x v="2"/>
    <s v="Yes"/>
    <s v="stable"/>
    <n v="3"/>
  </r>
  <r>
    <x v="852"/>
    <x v="49"/>
    <s v="Female"/>
    <x v="1"/>
    <x v="31"/>
    <x v="847"/>
    <d v="2025-09-20T00:00:00"/>
    <n v="3"/>
    <x v="36"/>
    <x v="2"/>
    <x v="1"/>
    <s v="Yes"/>
    <s v="stable"/>
    <n v="5"/>
  </r>
  <r>
    <x v="853"/>
    <x v="25"/>
    <s v="Female"/>
    <x v="0"/>
    <x v="6"/>
    <x v="848"/>
    <d v="2025-09-30T00:00:00"/>
    <n v="11"/>
    <x v="1"/>
    <x v="2"/>
    <x v="0"/>
    <s v="No"/>
    <s v="stable"/>
    <n v="5"/>
  </r>
  <r>
    <x v="854"/>
    <x v="14"/>
    <s v="Male"/>
    <x v="2"/>
    <x v="67"/>
    <x v="849"/>
    <d v="2025-10-01T00:00:00"/>
    <n v="9"/>
    <x v="3"/>
    <x v="0"/>
    <x v="2"/>
    <s v="Yes"/>
    <s v="stable"/>
    <n v="2"/>
  </r>
  <r>
    <x v="855"/>
    <x v="15"/>
    <s v="Male"/>
    <x v="2"/>
    <x v="5"/>
    <x v="850"/>
    <d v="2025-10-01T00:00:00"/>
    <n v="6"/>
    <x v="7"/>
    <x v="0"/>
    <x v="2"/>
    <s v="No"/>
    <s v="stable"/>
    <n v="4"/>
  </r>
  <r>
    <x v="856"/>
    <x v="25"/>
    <s v="Male"/>
    <x v="4"/>
    <x v="109"/>
    <x v="851"/>
    <d v="2025-10-01T00:00:00"/>
    <n v="4"/>
    <x v="32"/>
    <x v="0"/>
    <x v="4"/>
    <s v="No"/>
    <s v="stable"/>
    <n v="2"/>
  </r>
  <r>
    <x v="857"/>
    <x v="19"/>
    <s v="Male"/>
    <x v="3"/>
    <x v="70"/>
    <x v="852"/>
    <d v="2025-10-05T00:00:00"/>
    <n v="6"/>
    <x v="101"/>
    <x v="2"/>
    <x v="3"/>
    <s v="No"/>
    <s v="stable"/>
    <n v="3"/>
  </r>
  <r>
    <x v="858"/>
    <x v="25"/>
    <s v="Female"/>
    <x v="6"/>
    <x v="10"/>
    <x v="853"/>
    <d v="2025-10-05T00:00:00"/>
    <n v="5"/>
    <x v="20"/>
    <x v="0"/>
    <x v="6"/>
    <s v="Yes"/>
    <s v="stable"/>
    <n v="4"/>
  </r>
  <r>
    <x v="859"/>
    <x v="54"/>
    <s v="Male"/>
    <x v="8"/>
    <x v="24"/>
    <x v="854"/>
    <d v="2025-10-15T00:00:00"/>
    <n v="11"/>
    <x v="36"/>
    <x v="1"/>
    <x v="8"/>
    <s v="No"/>
    <s v="stable"/>
    <n v="5"/>
  </r>
  <r>
    <x v="860"/>
    <x v="21"/>
    <s v="Female"/>
    <x v="8"/>
    <x v="13"/>
    <x v="855"/>
    <d v="2025-10-20T00:00:00"/>
    <n v="15"/>
    <x v="43"/>
    <x v="0"/>
    <x v="8"/>
    <s v="Yes"/>
    <s v="stable"/>
    <n v="4"/>
  </r>
  <r>
    <x v="861"/>
    <x v="17"/>
    <s v="Female"/>
    <x v="2"/>
    <x v="5"/>
    <x v="856"/>
    <d v="2025-10-15T00:00:00"/>
    <n v="9"/>
    <x v="44"/>
    <x v="2"/>
    <x v="2"/>
    <s v="No"/>
    <s v="stable"/>
    <n v="4"/>
  </r>
  <r>
    <x v="862"/>
    <x v="34"/>
    <s v="Male"/>
    <x v="8"/>
    <x v="15"/>
    <x v="857"/>
    <d v="2025-10-21T00:00:00"/>
    <n v="14"/>
    <x v="46"/>
    <x v="0"/>
    <x v="8"/>
    <s v="Yes"/>
    <s v="stable"/>
    <n v="3"/>
  </r>
  <r>
    <x v="863"/>
    <x v="39"/>
    <s v="Female"/>
    <x v="5"/>
    <x v="61"/>
    <x v="858"/>
    <d v="2025-10-19T00:00:00"/>
    <n v="7"/>
    <x v="53"/>
    <x v="2"/>
    <x v="5"/>
    <s v="No"/>
    <s v="stable"/>
    <n v="5"/>
  </r>
  <r>
    <x v="864"/>
    <x v="41"/>
    <s v="Female"/>
    <x v="6"/>
    <x v="10"/>
    <x v="859"/>
    <d v="2025-10-20T00:00:00"/>
    <n v="7"/>
    <x v="22"/>
    <x v="2"/>
    <x v="6"/>
    <s v="Yes"/>
    <s v="stable"/>
    <n v="5"/>
  </r>
  <r>
    <x v="865"/>
    <x v="26"/>
    <s v="Male"/>
    <x v="3"/>
    <x v="7"/>
    <x v="860"/>
    <d v="2025-10-21T00:00:00"/>
    <n v="6"/>
    <x v="47"/>
    <x v="1"/>
    <x v="3"/>
    <s v="Yes"/>
    <s v="stable"/>
    <n v="4"/>
  </r>
  <r>
    <x v="866"/>
    <x v="87"/>
    <s v="Female"/>
    <x v="2"/>
    <x v="60"/>
    <x v="861"/>
    <d v="2025-10-20T00:00:00"/>
    <n v="3"/>
    <x v="1"/>
    <x v="2"/>
    <x v="2"/>
    <s v="Yes"/>
    <s v="stable"/>
    <n v="4"/>
  </r>
  <r>
    <x v="867"/>
    <x v="14"/>
    <s v="Female"/>
    <x v="3"/>
    <x v="7"/>
    <x v="862"/>
    <d v="2025-10-27T00:00:00"/>
    <n v="8"/>
    <x v="36"/>
    <x v="2"/>
    <x v="3"/>
    <s v="No"/>
    <s v="stable"/>
    <n v="5"/>
  </r>
  <r>
    <x v="868"/>
    <x v="7"/>
    <s v="Female"/>
    <x v="8"/>
    <x v="13"/>
    <x v="863"/>
    <d v="2025-10-30T00:00:00"/>
    <n v="10"/>
    <x v="43"/>
    <x v="1"/>
    <x v="8"/>
    <s v="Yes"/>
    <s v="stable"/>
    <n v="5"/>
  </r>
  <r>
    <x v="869"/>
    <x v="28"/>
    <s v="Male"/>
    <x v="3"/>
    <x v="110"/>
    <x v="864"/>
    <d v="2025-10-30T00:00:00"/>
    <n v="8"/>
    <x v="46"/>
    <x v="0"/>
    <x v="3"/>
    <s v="Yes"/>
    <s v="stable"/>
    <n v="4"/>
  </r>
  <r>
    <x v="870"/>
    <x v="21"/>
    <s v="Male"/>
    <x v="6"/>
    <x v="37"/>
    <x v="865"/>
    <d v="2025-10-28T00:00:00"/>
    <n v="3"/>
    <x v="44"/>
    <x v="2"/>
    <x v="6"/>
    <s v="No"/>
    <s v="stable"/>
    <n v="4"/>
  </r>
  <r>
    <x v="871"/>
    <x v="43"/>
    <s v="Female"/>
    <x v="2"/>
    <x v="5"/>
    <x v="866"/>
    <d v="2025-10-30T00:00:00"/>
    <n v="4"/>
    <x v="44"/>
    <x v="2"/>
    <x v="2"/>
    <s v="Yes"/>
    <s v="stable"/>
    <n v="5"/>
  </r>
  <r>
    <x v="872"/>
    <x v="41"/>
    <s v="Female"/>
    <x v="6"/>
    <x v="37"/>
    <x v="867"/>
    <d v="2025-11-10T00:00:00"/>
    <n v="10"/>
    <x v="63"/>
    <x v="0"/>
    <x v="6"/>
    <s v="Yes"/>
    <s v="stable"/>
    <n v="4.5"/>
  </r>
  <r>
    <x v="873"/>
    <x v="25"/>
    <s v="Male"/>
    <x v="2"/>
    <x v="44"/>
    <x v="868"/>
    <d v="2025-11-15T00:00:00"/>
    <n v="13"/>
    <x v="46"/>
    <x v="0"/>
    <x v="2"/>
    <s v="No"/>
    <s v="stable"/>
    <n v="5"/>
  </r>
  <r>
    <x v="874"/>
    <x v="70"/>
    <s v="Female"/>
    <x v="2"/>
    <x v="44"/>
    <x v="869"/>
    <d v="2025-11-09T00:00:00"/>
    <n v="5"/>
    <x v="43"/>
    <x v="1"/>
    <x v="2"/>
    <s v="Yes"/>
    <s v="stable"/>
    <n v="3.4"/>
  </r>
  <r>
    <x v="875"/>
    <x v="48"/>
    <s v="Female"/>
    <x v="5"/>
    <x v="48"/>
    <x v="870"/>
    <d v="2025-11-20T00:00:00"/>
    <n v="15"/>
    <x v="0"/>
    <x v="0"/>
    <x v="5"/>
    <s v="No"/>
    <s v="stable"/>
    <n v="3.5"/>
  </r>
  <r>
    <x v="876"/>
    <x v="20"/>
    <s v="Female"/>
    <x v="2"/>
    <x v="67"/>
    <x v="871"/>
    <d v="2025-11-30T00:00:00"/>
    <n v="17"/>
    <x v="46"/>
    <x v="2"/>
    <x v="2"/>
    <s v="No"/>
    <s v="stable"/>
    <n v="2"/>
  </r>
  <r>
    <x v="877"/>
    <x v="25"/>
    <s v="Female"/>
    <x v="7"/>
    <x v="50"/>
    <x v="872"/>
    <d v="2025-11-17T00:00:00"/>
    <n v="3"/>
    <x v="4"/>
    <x v="1"/>
    <x v="7"/>
    <s v="Yes"/>
    <s v="stable"/>
    <n v="4"/>
  </r>
  <r>
    <x v="878"/>
    <x v="88"/>
    <s v="Male"/>
    <x v="8"/>
    <x v="15"/>
    <x v="873"/>
    <d v="2025-11-20T00:00:00"/>
    <n v="4"/>
    <x v="127"/>
    <x v="0"/>
    <x v="8"/>
    <s v="Yes"/>
    <s v="stable"/>
    <n v="4"/>
  </r>
  <r>
    <x v="879"/>
    <x v="25"/>
    <s v="Male"/>
    <x v="2"/>
    <x v="44"/>
    <x v="874"/>
    <d v="2025-11-18T00:00:00"/>
    <n v="1"/>
    <x v="49"/>
    <x v="0"/>
    <x v="2"/>
    <s v="No"/>
    <s v="stable"/>
    <n v="3"/>
  </r>
  <r>
    <x v="880"/>
    <x v="53"/>
    <s v="Female"/>
    <x v="4"/>
    <x v="14"/>
    <x v="875"/>
    <d v="2025-11-21T00:00:00"/>
    <n v="3"/>
    <x v="0"/>
    <x v="2"/>
    <x v="4"/>
    <s v="No"/>
    <s v="stable"/>
    <n v="4"/>
  </r>
  <r>
    <x v="881"/>
    <x v="62"/>
    <s v="Female"/>
    <x v="3"/>
    <x v="23"/>
    <x v="876"/>
    <d v="2025-11-30T00:00:00"/>
    <n v="8"/>
    <x v="63"/>
    <x v="1"/>
    <x v="3"/>
    <s v="Yes"/>
    <s v="stable"/>
    <n v="5"/>
  </r>
  <r>
    <x v="882"/>
    <x v="16"/>
    <s v="Male"/>
    <x v="8"/>
    <x v="58"/>
    <x v="877"/>
    <d v="2025-12-02T00:00:00"/>
    <n v="7"/>
    <x v="71"/>
    <x v="2"/>
    <x v="8"/>
    <s v="Yes"/>
    <s v="stable"/>
    <n v="5"/>
  </r>
  <r>
    <x v="883"/>
    <x v="11"/>
    <s v="Female"/>
    <x v="3"/>
    <x v="35"/>
    <x v="878"/>
    <d v="2025-12-09T00:00:00"/>
    <n v="11"/>
    <x v="169"/>
    <x v="0"/>
    <x v="3"/>
    <s v="Yes"/>
    <s v="stable"/>
    <n v="3"/>
  </r>
  <r>
    <x v="884"/>
    <x v="7"/>
    <s v="Male"/>
    <x v="2"/>
    <x v="65"/>
    <x v="879"/>
    <d v="2025-12-10T00:00:00"/>
    <n v="12"/>
    <x v="93"/>
    <x v="1"/>
    <x v="8"/>
    <s v="No"/>
    <s v="stable"/>
    <n v="2"/>
  </r>
  <r>
    <x v="885"/>
    <x v="62"/>
    <s v="Male"/>
    <x v="4"/>
    <x v="8"/>
    <x v="880"/>
    <d v="2025-12-12T00:00:00"/>
    <n v="8"/>
    <x v="93"/>
    <x v="0"/>
    <x v="4"/>
    <s v="Yes"/>
    <s v="stable"/>
    <n v="5"/>
  </r>
  <r>
    <x v="886"/>
    <x v="42"/>
    <s v="Male"/>
    <x v="5"/>
    <x v="48"/>
    <x v="881"/>
    <d v="2025-12-10T00:00:00"/>
    <n v="4"/>
    <x v="46"/>
    <x v="1"/>
    <x v="5"/>
    <s v="Yes"/>
    <s v="stable"/>
    <n v="5"/>
  </r>
  <r>
    <x v="887"/>
    <x v="25"/>
    <s v="Female"/>
    <x v="5"/>
    <x v="68"/>
    <x v="882"/>
    <d v="2025-12-12T00:00:00"/>
    <n v="5"/>
    <x v="0"/>
    <x v="1"/>
    <x v="5"/>
    <s v="No"/>
    <s v="stable"/>
    <n v="4"/>
  </r>
  <r>
    <x v="888"/>
    <x v="25"/>
    <s v="Male"/>
    <x v="7"/>
    <x v="12"/>
    <x v="883"/>
    <d v="2025-12-15T00:00:00"/>
    <n v="5"/>
    <x v="43"/>
    <x v="1"/>
    <x v="7"/>
    <s v="Yes"/>
    <s v="stable"/>
    <n v="1"/>
  </r>
  <r>
    <x v="889"/>
    <x v="16"/>
    <s v="Male"/>
    <x v="4"/>
    <x v="8"/>
    <x v="884"/>
    <d v="2025-12-21T00:00:00"/>
    <n v="9"/>
    <x v="190"/>
    <x v="0"/>
    <x v="4"/>
    <s v="Yes"/>
    <s v="stable"/>
    <n v="2"/>
  </r>
  <r>
    <x v="890"/>
    <x v="54"/>
    <s v="Male"/>
    <x v="5"/>
    <x v="45"/>
    <x v="885"/>
    <d v="2025-12-22T00:00:00"/>
    <n v="9"/>
    <x v="36"/>
    <x v="2"/>
    <x v="5"/>
    <s v="No"/>
    <s v="stable"/>
    <n v="3"/>
  </r>
  <r>
    <x v="891"/>
    <x v="27"/>
    <s v="Female"/>
    <x v="6"/>
    <x v="10"/>
    <x v="886"/>
    <d v="2025-12-25T00:00:00"/>
    <n v="9"/>
    <x v="35"/>
    <x v="1"/>
    <x v="6"/>
    <s v="Yes"/>
    <s v="stable"/>
    <n v="5"/>
  </r>
  <r>
    <x v="892"/>
    <x v="7"/>
    <s v="Female"/>
    <x v="0"/>
    <x v="52"/>
    <x v="590"/>
    <d v="2025-12-28T00:00:00"/>
    <n v="7"/>
    <x v="32"/>
    <x v="0"/>
    <x v="0"/>
    <s v="No"/>
    <s v="stable"/>
    <n v="2"/>
  </r>
  <r>
    <x v="893"/>
    <x v="25"/>
    <s v="Male"/>
    <x v="1"/>
    <x v="3"/>
    <x v="887"/>
    <d v="2025-12-28T00:00:00"/>
    <n v="5"/>
    <x v="87"/>
    <x v="2"/>
    <x v="1"/>
    <s v="No"/>
    <s v="stable"/>
    <n v="4"/>
  </r>
  <r>
    <x v="894"/>
    <x v="16"/>
    <s v="Male"/>
    <x v="1"/>
    <x v="3"/>
    <x v="888"/>
    <d v="2025-12-31T00:00:00"/>
    <n v="6"/>
    <x v="2"/>
    <x v="1"/>
    <x v="1"/>
    <s v="Yes"/>
    <s v="stable"/>
    <n v="5"/>
  </r>
  <r>
    <x v="895"/>
    <x v="25"/>
    <s v="Female"/>
    <x v="9"/>
    <x v="30"/>
    <x v="889"/>
    <d v="2026-01-01T00:00:00"/>
    <n v="4"/>
    <x v="22"/>
    <x v="0"/>
    <x v="9"/>
    <s v="No"/>
    <s v="stable"/>
    <n v="4.3"/>
  </r>
  <r>
    <x v="896"/>
    <x v="28"/>
    <s v="Female"/>
    <x v="6"/>
    <x v="10"/>
    <x v="890"/>
    <d v="2026-01-02T00:00:00"/>
    <n v="4"/>
    <x v="32"/>
    <x v="0"/>
    <x v="6"/>
    <s v="Yes"/>
    <s v="stable"/>
    <n v="4.4000000000000004"/>
  </r>
  <r>
    <x v="897"/>
    <x v="5"/>
    <s v="Male"/>
    <x v="2"/>
    <x v="60"/>
    <x v="891"/>
    <d v="2026-01-21T00:00:00"/>
    <n v="18"/>
    <x v="76"/>
    <x v="0"/>
    <x v="2"/>
    <s v="No"/>
    <s v="stable"/>
    <n v="3"/>
  </r>
  <r>
    <x v="898"/>
    <x v="25"/>
    <s v="Male"/>
    <x v="5"/>
    <x v="48"/>
    <x v="892"/>
    <d v="2026-01-19T00:00:00"/>
    <n v="15"/>
    <x v="191"/>
    <x v="0"/>
    <x v="5"/>
    <s v="Yes"/>
    <s v="stable"/>
    <n v="2"/>
  </r>
  <r>
    <x v="899"/>
    <x v="15"/>
    <s v="Male"/>
    <x v="8"/>
    <x v="58"/>
    <x v="893"/>
    <d v="2026-01-10T00:00:00"/>
    <n v="5"/>
    <x v="40"/>
    <x v="0"/>
    <x v="8"/>
    <s v="Yes"/>
    <s v="stable"/>
    <n v="2.4"/>
  </r>
  <r>
    <x v="900"/>
    <x v="63"/>
    <s v="Female"/>
    <x v="4"/>
    <x v="8"/>
    <x v="894"/>
    <d v="2026-01-18T00:00:00"/>
    <n v="10"/>
    <x v="47"/>
    <x v="2"/>
    <x v="4"/>
    <s v="Yes"/>
    <s v="stable"/>
    <n v="3"/>
  </r>
  <r>
    <x v="901"/>
    <x v="25"/>
    <s v="Female"/>
    <x v="4"/>
    <x v="8"/>
    <x v="895"/>
    <d v="2026-01-20T00:00:00"/>
    <n v="11"/>
    <x v="87"/>
    <x v="2"/>
    <x v="4"/>
    <s v="No"/>
    <s v="stable"/>
    <n v="4"/>
  </r>
  <r>
    <x v="902"/>
    <x v="81"/>
    <s v="Male"/>
    <x v="3"/>
    <x v="7"/>
    <x v="896"/>
    <d v="2026-01-25T00:00:00"/>
    <n v="13"/>
    <x v="192"/>
    <x v="0"/>
    <x v="3"/>
    <s v="Yes"/>
    <s v="stable"/>
    <n v="2"/>
  </r>
  <r>
    <x v="903"/>
    <x v="25"/>
    <s v="Male"/>
    <x v="0"/>
    <x v="6"/>
    <x v="897"/>
    <d v="2026-01-20T00:00:00"/>
    <n v="7"/>
    <x v="0"/>
    <x v="2"/>
    <x v="0"/>
    <s v="Yes"/>
    <s v="stable"/>
    <n v="1"/>
  </r>
  <r>
    <x v="904"/>
    <x v="18"/>
    <s v="Male"/>
    <x v="2"/>
    <x v="69"/>
    <x v="898"/>
    <d v="2026-01-19T00:00:00"/>
    <n v="5"/>
    <x v="193"/>
    <x v="2"/>
    <x v="2"/>
    <s v="Yes"/>
    <s v="stable"/>
    <n v="2"/>
  </r>
  <r>
    <x v="905"/>
    <x v="19"/>
    <s v="Female"/>
    <x v="2"/>
    <x v="60"/>
    <x v="899"/>
    <d v="2026-02-01T00:00:00"/>
    <n v="13"/>
    <x v="194"/>
    <x v="0"/>
    <x v="2"/>
    <s v="Yes"/>
    <s v="stable"/>
    <n v="1"/>
  </r>
  <r>
    <x v="906"/>
    <x v="71"/>
    <s v="Female"/>
    <x v="3"/>
    <x v="35"/>
    <x v="900"/>
    <d v="2026-01-31T00:00:00"/>
    <n v="11"/>
    <x v="44"/>
    <x v="2"/>
    <x v="3"/>
    <s v="No"/>
    <s v="stable"/>
    <n v="2"/>
  </r>
  <r>
    <x v="907"/>
    <x v="25"/>
    <s v="Female"/>
    <x v="3"/>
    <x v="21"/>
    <x v="901"/>
    <d v="2026-01-29T00:00:00"/>
    <n v="8"/>
    <x v="62"/>
    <x v="2"/>
    <x v="3"/>
    <s v="No"/>
    <s v="stable"/>
    <n v="3"/>
  </r>
  <r>
    <x v="908"/>
    <x v="25"/>
    <s v="Male"/>
    <x v="8"/>
    <x v="58"/>
    <x v="902"/>
    <d v="2026-02-03T00:00:00"/>
    <n v="12"/>
    <x v="47"/>
    <x v="2"/>
    <x v="8"/>
    <s v="No"/>
    <s v="stable"/>
    <n v="4"/>
  </r>
  <r>
    <x v="909"/>
    <x v="18"/>
    <s v="Female"/>
    <x v="8"/>
    <x v="13"/>
    <x v="903"/>
    <d v="2026-01-31T00:00:00"/>
    <n v="8"/>
    <x v="44"/>
    <x v="2"/>
    <x v="8"/>
    <s v="Yes"/>
    <s v="stable"/>
    <m/>
  </r>
  <r>
    <x v="910"/>
    <x v="25"/>
    <s v="Female"/>
    <x v="7"/>
    <x v="12"/>
    <x v="904"/>
    <d v="2026-02-01T00:00:00"/>
    <n v="8"/>
    <x v="4"/>
    <x v="0"/>
    <x v="7"/>
    <s v="No"/>
    <s v="stable"/>
    <n v="5"/>
  </r>
  <r>
    <x v="911"/>
    <x v="17"/>
    <s v="Male"/>
    <x v="3"/>
    <x v="7"/>
    <x v="905"/>
    <d v="2026-02-15T00:00:00"/>
    <n v="19"/>
    <x v="195"/>
    <x v="1"/>
    <x v="3"/>
    <s v="Yes"/>
    <s v="stable"/>
    <n v="4.7"/>
  </r>
  <r>
    <x v="912"/>
    <x v="25"/>
    <s v="Female"/>
    <x v="9"/>
    <x v="30"/>
    <x v="906"/>
    <d v="2026-02-10T00:00:00"/>
    <n v="10"/>
    <x v="196"/>
    <x v="0"/>
    <x v="9"/>
    <s v="No"/>
    <s v="stable"/>
    <n v="4.9000000000000004"/>
  </r>
  <r>
    <x v="913"/>
    <x v="19"/>
    <s v="Female"/>
    <x v="6"/>
    <x v="10"/>
    <x v="907"/>
    <d v="2026-02-11T00:00:00"/>
    <n v="10"/>
    <x v="178"/>
    <x v="1"/>
    <x v="6"/>
    <s v="No"/>
    <s v="stable"/>
    <n v="5"/>
  </r>
  <r>
    <x v="914"/>
    <x v="25"/>
    <s v="Male"/>
    <x v="5"/>
    <x v="45"/>
    <x v="908"/>
    <d v="2026-02-10T00:00:00"/>
    <n v="9"/>
    <x v="0"/>
    <x v="0"/>
    <x v="5"/>
    <s v="Yes"/>
    <s v="stable"/>
    <n v="4"/>
  </r>
  <r>
    <x v="915"/>
    <x v="42"/>
    <s v="Male"/>
    <x v="8"/>
    <x v="15"/>
    <x v="909"/>
    <d v="2026-02-11T00:00:00"/>
    <n v="10"/>
    <x v="64"/>
    <x v="0"/>
    <x v="8"/>
    <s v="No"/>
    <s v="stable"/>
    <n v="3"/>
  </r>
  <r>
    <x v="916"/>
    <x v="11"/>
    <s v="Male"/>
    <x v="0"/>
    <x v="52"/>
    <x v="910"/>
    <d v="2026-02-10T00:00:00"/>
    <n v="6"/>
    <x v="197"/>
    <x v="1"/>
    <x v="0"/>
    <s v="No"/>
    <s v="stable"/>
    <n v="3.5"/>
  </r>
  <r>
    <x v="917"/>
    <x v="25"/>
    <s v="Male"/>
    <x v="4"/>
    <x v="111"/>
    <x v="911"/>
    <d v="2026-02-09T00:00:00"/>
    <n v="4"/>
    <x v="0"/>
    <x v="0"/>
    <x v="4"/>
    <s v="No"/>
    <s v="stable"/>
    <n v="3.6"/>
  </r>
  <r>
    <x v="918"/>
    <x v="6"/>
    <s v="Female"/>
    <x v="9"/>
    <x v="51"/>
    <x v="912"/>
    <d v="2026-02-21T00:00:00"/>
    <n v="9"/>
    <x v="171"/>
    <x v="2"/>
    <x v="9"/>
    <s v="Yes"/>
    <s v="stable"/>
    <n v="4"/>
  </r>
  <r>
    <x v="919"/>
    <x v="73"/>
    <s v="Male"/>
    <x v="3"/>
    <x v="35"/>
    <x v="913"/>
    <d v="2026-02-19T00:00:00"/>
    <n v="6"/>
    <x v="190"/>
    <x v="2"/>
    <x v="3"/>
    <s v="Yes"/>
    <s v="stable"/>
    <n v="4"/>
  </r>
  <r>
    <x v="920"/>
    <x v="25"/>
    <s v="Male"/>
    <x v="4"/>
    <x v="111"/>
    <x v="914"/>
    <d v="2026-03-01T00:00:00"/>
    <n v="7"/>
    <x v="63"/>
    <x v="2"/>
    <x v="4"/>
    <s v="Yes"/>
    <s v="stable"/>
    <n v="3"/>
  </r>
  <r>
    <x v="921"/>
    <x v="25"/>
    <s v="Female"/>
    <x v="1"/>
    <x v="3"/>
    <x v="915"/>
    <d v="2026-03-08T00:00:00"/>
    <n v="6"/>
    <x v="7"/>
    <x v="0"/>
    <x v="1"/>
    <s v="No"/>
    <s v="stable"/>
    <n v="3"/>
  </r>
  <r>
    <x v="922"/>
    <x v="14"/>
    <s v="Female"/>
    <x v="3"/>
    <x v="7"/>
    <x v="916"/>
    <d v="2026-03-15T00:00:00"/>
    <n v="11"/>
    <x v="43"/>
    <x v="1"/>
    <x v="3"/>
    <s v="No"/>
    <s v="stable"/>
    <n v="1"/>
  </r>
  <r>
    <x v="923"/>
    <x v="25"/>
    <s v="Male"/>
    <x v="5"/>
    <x v="61"/>
    <x v="917"/>
    <d v="2026-03-10T00:00:00"/>
    <n v="4"/>
    <x v="43"/>
    <x v="2"/>
    <x v="5"/>
    <s v="No"/>
    <s v="stable"/>
    <n v="3"/>
  </r>
  <r>
    <x v="924"/>
    <x v="11"/>
    <s v="Male"/>
    <x v="1"/>
    <x v="4"/>
    <x v="918"/>
    <d v="2026-03-15T00:00:00"/>
    <n v="8"/>
    <x v="178"/>
    <x v="2"/>
    <x v="1"/>
    <s v="No"/>
    <s v="stable"/>
    <n v="4"/>
  </r>
  <r>
    <x v="925"/>
    <x v="13"/>
    <s v="Male"/>
    <x v="7"/>
    <x v="12"/>
    <x v="919"/>
    <d v="2026-03-14T00:00:00"/>
    <n v="4"/>
    <x v="35"/>
    <x v="2"/>
    <x v="7"/>
    <s v="No"/>
    <s v="stable"/>
    <n v="3"/>
  </r>
  <r>
    <x v="926"/>
    <x v="12"/>
    <s v="Male"/>
    <x v="0"/>
    <x v="52"/>
    <x v="920"/>
    <d v="2026-03-20T00:00:00"/>
    <n v="9"/>
    <x v="57"/>
    <x v="1"/>
    <x v="0"/>
    <s v="Yes"/>
    <s v="stable"/>
    <n v="2"/>
  </r>
  <r>
    <x v="927"/>
    <x v="21"/>
    <s v="Female"/>
    <x v="9"/>
    <x v="51"/>
    <x v="921"/>
    <d v="2026-03-21T00:00:00"/>
    <n v="9"/>
    <x v="40"/>
    <x v="1"/>
    <x v="9"/>
    <s v="No"/>
    <s v="stable"/>
    <n v="1"/>
  </r>
  <r>
    <x v="928"/>
    <x v="19"/>
    <s v="Female"/>
    <x v="3"/>
    <x v="64"/>
    <x v="922"/>
    <d v="2026-03-24T00:00:00"/>
    <n v="9"/>
    <x v="35"/>
    <x v="1"/>
    <x v="3"/>
    <s v="Yes"/>
    <s v="stable"/>
    <n v="4"/>
  </r>
  <r>
    <x v="929"/>
    <x v="33"/>
    <s v="Male"/>
    <x v="3"/>
    <x v="35"/>
    <x v="923"/>
    <d v="2026-03-25T00:00:00"/>
    <n v="8"/>
    <x v="40"/>
    <x v="1"/>
    <x v="3"/>
    <s v="No"/>
    <s v="stable"/>
    <n v="4"/>
  </r>
  <r>
    <x v="930"/>
    <x v="6"/>
    <s v="Female"/>
    <x v="3"/>
    <x v="35"/>
    <x v="924"/>
    <d v="2026-03-30T00:00:00"/>
    <n v="12"/>
    <x v="140"/>
    <x v="0"/>
    <x v="3"/>
    <s v="Yes"/>
    <s v="stable"/>
    <n v="4"/>
  </r>
  <r>
    <x v="931"/>
    <x v="25"/>
    <s v="Female"/>
    <x v="3"/>
    <x v="21"/>
    <x v="925"/>
    <d v="2026-03-22T00:00:00"/>
    <n v="2"/>
    <x v="136"/>
    <x v="0"/>
    <x v="3"/>
    <s v="Yes"/>
    <s v="stable"/>
    <n v="5"/>
  </r>
  <r>
    <x v="932"/>
    <x v="34"/>
    <s v="Male"/>
    <x v="6"/>
    <x v="10"/>
    <x v="926"/>
    <d v="2026-03-29T00:00:00"/>
    <n v="8"/>
    <x v="46"/>
    <x v="1"/>
    <x v="6"/>
    <s v="Yes"/>
    <s v="stable"/>
    <n v="4"/>
  </r>
  <r>
    <x v="933"/>
    <x v="13"/>
    <s v="Female"/>
    <x v="9"/>
    <x v="112"/>
    <x v="927"/>
    <d v="2026-03-30T00:00:00"/>
    <n v="8"/>
    <x v="169"/>
    <x v="1"/>
    <x v="9"/>
    <s v="No"/>
    <s v="stable"/>
    <n v="4"/>
  </r>
  <r>
    <x v="934"/>
    <x v="16"/>
    <s v="Male"/>
    <x v="5"/>
    <x v="72"/>
    <x v="928"/>
    <d v="2026-04-01T00:00:00"/>
    <n v="7"/>
    <x v="198"/>
    <x v="0"/>
    <x v="5"/>
    <s v="No"/>
    <s v="stable"/>
    <n v="4"/>
  </r>
  <r>
    <x v="935"/>
    <x v="15"/>
    <s v="Female"/>
    <x v="9"/>
    <x v="30"/>
    <x v="929"/>
    <d v="2026-04-02T00:00:00"/>
    <n v="7"/>
    <x v="199"/>
    <x v="0"/>
    <x v="9"/>
    <s v="Yes"/>
    <s v="stable"/>
    <n v="5"/>
  </r>
  <r>
    <x v="936"/>
    <x v="17"/>
    <s v="Male"/>
    <x v="0"/>
    <x v="6"/>
    <x v="930"/>
    <d v="2026-04-10T00:00:00"/>
    <n v="14"/>
    <x v="150"/>
    <x v="1"/>
    <x v="0"/>
    <s v="No"/>
    <s v="stable"/>
    <n v="3"/>
  </r>
  <r>
    <x v="937"/>
    <x v="6"/>
    <s v="Female"/>
    <x v="0"/>
    <x v="6"/>
    <x v="931"/>
    <d v="2026-04-09T00:00:00"/>
    <n v="10"/>
    <x v="11"/>
    <x v="1"/>
    <x v="0"/>
    <s v="Yes"/>
    <s v="stable"/>
    <n v="2"/>
  </r>
  <r>
    <x v="938"/>
    <x v="19"/>
    <s v="Male"/>
    <x v="0"/>
    <x v="52"/>
    <x v="932"/>
    <d v="2026-04-15T00:00:00"/>
    <n v="10"/>
    <x v="46"/>
    <x v="0"/>
    <x v="0"/>
    <s v="No"/>
    <s v="stable"/>
    <n v="8"/>
  </r>
  <r>
    <x v="939"/>
    <x v="7"/>
    <s v="Male"/>
    <x v="0"/>
    <x v="52"/>
    <x v="933"/>
    <d v="2026-04-11T00:00:00"/>
    <n v="3"/>
    <x v="46"/>
    <x v="2"/>
    <x v="0"/>
    <s v="No"/>
    <s v="stable"/>
    <n v="33"/>
  </r>
  <r>
    <x v="940"/>
    <x v="7"/>
    <s v="Male"/>
    <x v="3"/>
    <x v="70"/>
    <x v="934"/>
    <d v="2026-04-25T00:00:00"/>
    <n v="6"/>
    <x v="93"/>
    <x v="2"/>
    <x v="3"/>
    <s v="Yes"/>
    <s v="stable"/>
    <n v="33"/>
  </r>
  <r>
    <x v="941"/>
    <x v="70"/>
    <s v="Male"/>
    <x v="3"/>
    <x v="46"/>
    <x v="935"/>
    <d v="2026-04-26T00:00:00"/>
    <n v="6"/>
    <x v="47"/>
    <x v="2"/>
    <x v="3"/>
    <s v="No"/>
    <s v="stable"/>
    <n v="4"/>
  </r>
  <r>
    <x v="942"/>
    <x v="34"/>
    <s v="Male"/>
    <x v="3"/>
    <x v="46"/>
    <x v="936"/>
    <d v="2026-05-15T00:00:00"/>
    <n v="14"/>
    <x v="66"/>
    <x v="2"/>
    <x v="3"/>
    <s v="No"/>
    <s v="stable"/>
    <n v="5"/>
  </r>
  <r>
    <x v="943"/>
    <x v="6"/>
    <s v="Female"/>
    <x v="3"/>
    <x v="70"/>
    <x v="937"/>
    <d v="2026-04-30T00:00:00"/>
    <n v="8"/>
    <x v="200"/>
    <x v="2"/>
    <x v="3"/>
    <s v="No"/>
    <s v="stable"/>
    <n v="3"/>
  </r>
  <r>
    <x v="944"/>
    <x v="18"/>
    <s v="Female"/>
    <x v="3"/>
    <x v="46"/>
    <x v="938"/>
    <d v="2026-05-01T00:00:00"/>
    <n v="8"/>
    <x v="150"/>
    <x v="2"/>
    <x v="3"/>
    <s v="Yes"/>
    <s v="stable"/>
    <n v="2"/>
  </r>
  <r>
    <x v="945"/>
    <x v="14"/>
    <s v="Female"/>
    <x v="3"/>
    <x v="46"/>
    <x v="939"/>
    <d v="2026-05-05T00:00:00"/>
    <n v="11"/>
    <x v="43"/>
    <x v="0"/>
    <x v="3"/>
    <s v="No"/>
    <s v="stable"/>
    <n v="1"/>
  </r>
  <r>
    <x v="946"/>
    <x v="7"/>
    <s v="Male"/>
    <x v="3"/>
    <x v="70"/>
    <x v="940"/>
    <d v="2025-04-29T00:00:00"/>
    <n v="4"/>
    <x v="201"/>
    <x v="0"/>
    <x v="3"/>
    <s v="Yes"/>
    <s v="stable"/>
    <n v="5"/>
  </r>
  <r>
    <x v="947"/>
    <x v="55"/>
    <s v="Male"/>
    <x v="3"/>
    <x v="21"/>
    <x v="941"/>
    <d v="2026-05-05T00:00:00"/>
    <n v="9"/>
    <x v="197"/>
    <x v="0"/>
    <x v="3"/>
    <s v="No"/>
    <s v="stable"/>
    <n v="5.4"/>
  </r>
  <r>
    <x v="948"/>
    <x v="6"/>
    <s v="Female"/>
    <x v="3"/>
    <x v="49"/>
    <x v="942"/>
    <d v="2026-05-10T00:00:00"/>
    <n v="13"/>
    <x v="202"/>
    <x v="0"/>
    <x v="3"/>
    <s v="Yes"/>
    <s v="stable"/>
    <n v="5.3"/>
  </r>
  <r>
    <x v="949"/>
    <x v="34"/>
    <s v="Male"/>
    <x v="3"/>
    <x v="46"/>
    <x v="943"/>
    <d v="2026-05-15T00:00:00"/>
    <n v="17"/>
    <x v="203"/>
    <x v="0"/>
    <x v="3"/>
    <s v="Yes"/>
    <s v="stable"/>
    <n v="3"/>
  </r>
  <r>
    <x v="950"/>
    <x v="17"/>
    <s v="Male"/>
    <x v="3"/>
    <x v="21"/>
    <x v="944"/>
    <d v="2026-05-10T00:00:00"/>
    <n v="11"/>
    <x v="204"/>
    <x v="0"/>
    <x v="3"/>
    <s v="Yes"/>
    <s v="stable"/>
    <n v="5.8"/>
  </r>
  <r>
    <x v="951"/>
    <x v="18"/>
    <s v="Male"/>
    <x v="3"/>
    <x v="35"/>
    <x v="945"/>
    <d v="2026-05-16T00:00:00"/>
    <n v="16"/>
    <x v="205"/>
    <x v="0"/>
    <x v="3"/>
    <s v="No"/>
    <s v="stable"/>
    <n v="5.9"/>
  </r>
  <r>
    <x v="952"/>
    <x v="6"/>
    <s v="Female"/>
    <x v="3"/>
    <x v="70"/>
    <x v="946"/>
    <d v="2026-05-10T00:00:00"/>
    <n v="10"/>
    <x v="44"/>
    <x v="0"/>
    <x v="3"/>
    <s v="No"/>
    <s v="stable"/>
    <n v="3"/>
  </r>
  <r>
    <x v="953"/>
    <x v="11"/>
    <s v="Female"/>
    <x v="3"/>
    <x v="53"/>
    <x v="947"/>
    <d v="2026-05-13T00:00:00"/>
    <n v="11"/>
    <x v="46"/>
    <x v="0"/>
    <x v="3"/>
    <s v="Yes"/>
    <s v="stable"/>
    <n v="2"/>
  </r>
  <r>
    <x v="954"/>
    <x v="7"/>
    <s v="Male"/>
    <x v="5"/>
    <x v="113"/>
    <x v="948"/>
    <d v="2026-06-10T00:00:00"/>
    <n v="12"/>
    <x v="206"/>
    <x v="0"/>
    <x v="5"/>
    <s v="No"/>
    <s v="stable"/>
    <n v="4"/>
  </r>
  <r>
    <x v="955"/>
    <x v="18"/>
    <s v="Male"/>
    <x v="5"/>
    <x v="72"/>
    <x v="949"/>
    <d v="2026-06-12T00:00:00"/>
    <n v="14"/>
    <x v="207"/>
    <x v="0"/>
    <x v="5"/>
    <s v="Yes"/>
    <s v="stable"/>
    <n v="5"/>
  </r>
  <r>
    <x v="956"/>
    <x v="39"/>
    <s v="Female"/>
    <x v="5"/>
    <x v="48"/>
    <x v="950"/>
    <d v="2026-06-10T00:00:00"/>
    <n v="11"/>
    <x v="145"/>
    <x v="0"/>
    <x v="5"/>
    <s v="No"/>
    <s v="stable"/>
    <n v="4"/>
  </r>
  <r>
    <x v="957"/>
    <x v="17"/>
    <s v="Female"/>
    <x v="5"/>
    <x v="45"/>
    <x v="951"/>
    <d v="2026-06-05T00:00:00"/>
    <n v="5"/>
    <x v="208"/>
    <x v="0"/>
    <x v="5"/>
    <s v="Yes"/>
    <s v="stable"/>
    <n v="3"/>
  </r>
  <r>
    <x v="958"/>
    <x v="42"/>
    <s v="Female"/>
    <x v="5"/>
    <x v="48"/>
    <x v="952"/>
    <d v="2026-06-10T00:00:00"/>
    <n v="10"/>
    <x v="46"/>
    <x v="0"/>
    <x v="5"/>
    <s v="Yes"/>
    <s v="stable"/>
    <n v="4"/>
  </r>
  <r>
    <x v="959"/>
    <x v="81"/>
    <s v="Male"/>
    <x v="5"/>
    <x v="61"/>
    <x v="953"/>
    <d v="2026-06-12T00:00:00"/>
    <n v="10"/>
    <x v="47"/>
    <x v="0"/>
    <x v="5"/>
    <s v="No"/>
    <s v="stable"/>
    <n v="5"/>
  </r>
  <r>
    <x v="960"/>
    <x v="6"/>
    <s v="Male"/>
    <x v="5"/>
    <x v="61"/>
    <x v="954"/>
    <d v="2026-06-10T00:00:00"/>
    <n v="7"/>
    <x v="209"/>
    <x v="0"/>
    <x v="5"/>
    <s v="No"/>
    <s v="stable"/>
    <n v="3"/>
  </r>
  <r>
    <x v="961"/>
    <x v="15"/>
    <s v="Male"/>
    <x v="5"/>
    <x v="45"/>
    <x v="955"/>
    <d v="2026-06-24T00:00:00"/>
    <n v="20"/>
    <x v="210"/>
    <x v="0"/>
    <x v="5"/>
    <s v="Yes"/>
    <s v="stable"/>
    <n v="4"/>
  </r>
  <r>
    <x v="962"/>
    <x v="17"/>
    <s v="Male"/>
    <x v="5"/>
    <x v="45"/>
    <x v="956"/>
    <d v="2026-06-25T00:00:00"/>
    <n v="20"/>
    <x v="153"/>
    <x v="0"/>
    <x v="5"/>
    <s v="No"/>
    <s v="stable"/>
    <n v="5"/>
  </r>
  <r>
    <x v="963"/>
    <x v="17"/>
    <s v="Male"/>
    <x v="5"/>
    <x v="48"/>
    <x v="957"/>
    <d v="2026-07-06T00:00:00"/>
    <n v="20"/>
    <x v="4"/>
    <x v="0"/>
    <x v="5"/>
    <s v="Yes"/>
    <s v="stable"/>
    <n v="4"/>
  </r>
  <r>
    <x v="964"/>
    <x v="12"/>
    <s v="Female"/>
    <x v="5"/>
    <x v="48"/>
    <x v="958"/>
    <d v="2026-07-07T00:00:00"/>
    <n v="20"/>
    <x v="36"/>
    <x v="0"/>
    <x v="5"/>
    <s v="No"/>
    <s v="stable"/>
    <n v="5"/>
  </r>
  <r>
    <x v="965"/>
    <x v="15"/>
    <s v="Female"/>
    <x v="1"/>
    <x v="3"/>
    <x v="959"/>
    <d v="2026-07-23T00:00:00"/>
    <n v="19"/>
    <x v="6"/>
    <x v="0"/>
    <x v="1"/>
    <s v="Yes"/>
    <s v="stable"/>
    <n v="3"/>
  </r>
  <r>
    <x v="966"/>
    <x v="16"/>
    <s v="Female"/>
    <x v="1"/>
    <x v="3"/>
    <x v="960"/>
    <d v="2026-07-24T00:00:00"/>
    <n v="19"/>
    <x v="40"/>
    <x v="0"/>
    <x v="1"/>
    <s v="No"/>
    <s v="stable"/>
    <n v="4"/>
  </r>
  <r>
    <x v="967"/>
    <x v="55"/>
    <s v="Female"/>
    <x v="1"/>
    <x v="3"/>
    <x v="961"/>
    <d v="2026-07-25T00:00:00"/>
    <n v="19"/>
    <x v="20"/>
    <x v="0"/>
    <x v="1"/>
    <s v="Yes"/>
    <s v="stable"/>
    <n v="5"/>
  </r>
  <r>
    <x v="968"/>
    <x v="17"/>
    <s v="Female"/>
    <x v="1"/>
    <x v="4"/>
    <x v="962"/>
    <d v="2026-07-26T00:00:00"/>
    <n v="19"/>
    <x v="94"/>
    <x v="0"/>
    <x v="1"/>
    <s v="No"/>
    <s v="stable"/>
    <n v="4"/>
  </r>
  <r>
    <x v="969"/>
    <x v="15"/>
    <s v="Female"/>
    <x v="1"/>
    <x v="4"/>
    <x v="963"/>
    <d v="2026-07-27T00:00:00"/>
    <n v="19"/>
    <x v="128"/>
    <x v="0"/>
    <x v="1"/>
    <s v="Yes"/>
    <s v="stable"/>
    <n v="3"/>
  </r>
  <r>
    <x v="970"/>
    <x v="16"/>
    <s v="Female"/>
    <x v="1"/>
    <x v="4"/>
    <x v="964"/>
    <d v="2026-07-28T00:00:00"/>
    <n v="19"/>
    <x v="211"/>
    <x v="1"/>
    <x v="1"/>
    <s v="Yes"/>
    <s v="stable"/>
    <n v="4"/>
  </r>
  <r>
    <x v="971"/>
    <x v="18"/>
    <s v="Female"/>
    <x v="1"/>
    <x v="4"/>
    <x v="965"/>
    <d v="2026-07-29T00:00:00"/>
    <n v="19"/>
    <x v="117"/>
    <x v="1"/>
    <x v="1"/>
    <s v="Yes"/>
    <s v="stable"/>
    <n v="3"/>
  </r>
  <r>
    <x v="972"/>
    <x v="17"/>
    <s v="Female"/>
    <x v="1"/>
    <x v="4"/>
    <x v="966"/>
    <d v="2026-07-30T00:00:00"/>
    <n v="19"/>
    <x v="51"/>
    <x v="1"/>
    <x v="1"/>
    <s v="No"/>
    <s v="stable"/>
    <n v="4"/>
  </r>
  <r>
    <x v="973"/>
    <x v="15"/>
    <s v="Female"/>
    <x v="1"/>
    <x v="4"/>
    <x v="967"/>
    <d v="2026-07-31T00:00:00"/>
    <n v="19"/>
    <x v="7"/>
    <x v="1"/>
    <x v="1"/>
    <s v="No"/>
    <s v="stable"/>
    <n v="33"/>
  </r>
  <r>
    <x v="974"/>
    <x v="18"/>
    <s v="Female"/>
    <x v="1"/>
    <x v="4"/>
    <x v="968"/>
    <d v="2026-08-01T00:00:00"/>
    <n v="19"/>
    <x v="101"/>
    <x v="1"/>
    <x v="1"/>
    <s v="Yes"/>
    <s v="stable"/>
    <n v="4"/>
  </r>
  <r>
    <x v="975"/>
    <x v="17"/>
    <s v="Female"/>
    <x v="1"/>
    <x v="4"/>
    <x v="969"/>
    <d v="2026-08-02T00:00:00"/>
    <n v="19"/>
    <x v="110"/>
    <x v="1"/>
    <x v="1"/>
    <s v="No"/>
    <s v="stable"/>
    <n v="3"/>
  </r>
  <r>
    <x v="976"/>
    <x v="18"/>
    <s v="Female"/>
    <x v="1"/>
    <x v="4"/>
    <x v="970"/>
    <d v="2026-08-03T00:00:00"/>
    <n v="19"/>
    <x v="162"/>
    <x v="1"/>
    <x v="1"/>
    <s v="Yes"/>
    <s v="stable"/>
    <n v="4"/>
  </r>
  <r>
    <x v="977"/>
    <x v="18"/>
    <s v="Female"/>
    <x v="1"/>
    <x v="4"/>
    <x v="971"/>
    <d v="2026-08-04T00:00:00"/>
    <n v="19"/>
    <x v="163"/>
    <x v="1"/>
    <x v="1"/>
    <s v="Yes"/>
    <s v="stable"/>
    <n v="3"/>
  </r>
  <r>
    <x v="978"/>
    <x v="6"/>
    <s v="Female"/>
    <x v="1"/>
    <x v="4"/>
    <x v="972"/>
    <d v="2026-08-05T00:00:00"/>
    <n v="19"/>
    <x v="7"/>
    <x v="1"/>
    <x v="1"/>
    <s v="No"/>
    <s v="stable"/>
    <n v="43"/>
  </r>
  <r>
    <x v="979"/>
    <x v="7"/>
    <s v="Female"/>
    <x v="1"/>
    <x v="4"/>
    <x v="973"/>
    <d v="2026-08-06T00:00:00"/>
    <n v="19"/>
    <x v="4"/>
    <x v="1"/>
    <x v="1"/>
    <s v="No"/>
    <s v="stable"/>
    <n v="3"/>
  </r>
  <r>
    <x v="980"/>
    <x v="7"/>
    <s v="Female"/>
    <x v="1"/>
    <x v="1"/>
    <x v="974"/>
    <d v="2026-08-07T00:00:00"/>
    <n v="19"/>
    <x v="32"/>
    <x v="1"/>
    <x v="1"/>
    <s v="Yes"/>
    <s v="stable"/>
    <n v="4"/>
  </r>
  <r>
    <x v="981"/>
    <x v="18"/>
    <s v="Female"/>
    <x v="1"/>
    <x v="1"/>
    <x v="975"/>
    <d v="2026-08-24T00:00:00"/>
    <n v="10"/>
    <x v="109"/>
    <x v="1"/>
    <x v="1"/>
    <s v="Yes"/>
    <s v="stable"/>
    <n v="4"/>
  </r>
  <r>
    <x v="982"/>
    <x v="39"/>
    <s v="Female"/>
    <x v="1"/>
    <x v="1"/>
    <x v="976"/>
    <d v="2026-08-25T00:00:00"/>
    <n v="10"/>
    <x v="212"/>
    <x v="1"/>
    <x v="1"/>
    <s v="Yes"/>
    <s v="stable"/>
    <n v="4"/>
  </r>
  <r>
    <x v="983"/>
    <x v="26"/>
    <s v="Female"/>
    <x v="1"/>
    <x v="1"/>
    <x v="977"/>
    <d v="2026-08-26T00:00:00"/>
    <n v="10"/>
    <x v="32"/>
    <x v="1"/>
    <x v="1"/>
    <s v="No"/>
    <s v="stable"/>
    <n v="4"/>
  </r>
  <r>
    <x v="984"/>
    <x v="39"/>
    <s v="Female"/>
    <x v="1"/>
    <x v="1"/>
    <x v="978"/>
    <d v="2026-08-27T00:00:00"/>
    <n v="10"/>
    <x v="57"/>
    <x v="1"/>
    <x v="1"/>
    <s v="No"/>
    <s v="stable"/>
    <n v="4"/>
  </r>
  <r>
    <x v="985"/>
    <x v="12"/>
    <s v="Female"/>
    <x v="1"/>
    <x v="1"/>
    <x v="979"/>
    <d v="2026-08-28T00:00:00"/>
    <n v="10"/>
    <x v="42"/>
    <x v="1"/>
    <x v="1"/>
    <s v="Yes"/>
    <s v="stable"/>
    <n v="4"/>
  </r>
  <r>
    <x v="986"/>
    <x v="12"/>
    <s v="Female"/>
    <x v="1"/>
    <x v="1"/>
    <x v="980"/>
    <d v="2026-08-29T00:00:00"/>
    <n v="10"/>
    <x v="22"/>
    <x v="1"/>
    <x v="1"/>
    <s v="No"/>
    <s v="stable"/>
    <n v="4"/>
  </r>
  <r>
    <x v="987"/>
    <x v="15"/>
    <s v="Female"/>
    <x v="1"/>
    <x v="1"/>
    <x v="981"/>
    <d v="2026-08-30T00:00:00"/>
    <n v="10"/>
    <x v="22"/>
    <x v="1"/>
    <x v="1"/>
    <s v="Yes"/>
    <s v="stable"/>
    <n v="4"/>
  </r>
  <r>
    <x v="988"/>
    <x v="16"/>
    <s v="Female"/>
    <x v="1"/>
    <x v="1"/>
    <x v="982"/>
    <d v="2026-08-31T00:00:00"/>
    <n v="10"/>
    <x v="87"/>
    <x v="1"/>
    <x v="1"/>
    <s v="No"/>
    <s v="stable"/>
    <n v="4"/>
  </r>
  <r>
    <x v="989"/>
    <x v="21"/>
    <s v="Female"/>
    <x v="1"/>
    <x v="1"/>
    <x v="983"/>
    <d v="2026-09-01T00:00:00"/>
    <n v="10"/>
    <x v="4"/>
    <x v="1"/>
    <x v="1"/>
    <s v="Yes"/>
    <s v="stable"/>
    <n v="4"/>
  </r>
  <r>
    <x v="990"/>
    <x v="15"/>
    <s v="Female"/>
    <x v="1"/>
    <x v="1"/>
    <x v="984"/>
    <d v="2026-09-02T00:00:00"/>
    <n v="10"/>
    <x v="2"/>
    <x v="1"/>
    <x v="1"/>
    <s v="Yes"/>
    <s v="stable"/>
    <n v="4"/>
  </r>
  <r>
    <x v="991"/>
    <x v="17"/>
    <s v="Female"/>
    <x v="1"/>
    <x v="1"/>
    <x v="985"/>
    <d v="2026-09-03T00:00:00"/>
    <n v="10"/>
    <x v="213"/>
    <x v="1"/>
    <x v="1"/>
    <s v="Yes"/>
    <s v="stable"/>
    <n v="4"/>
  </r>
  <r>
    <x v="992"/>
    <x v="18"/>
    <s v="Female"/>
    <x v="1"/>
    <x v="1"/>
    <x v="986"/>
    <d v="2026-09-04T00:00:00"/>
    <n v="10"/>
    <x v="87"/>
    <x v="1"/>
    <x v="1"/>
    <s v="No"/>
    <s v="stable"/>
    <n v="4"/>
  </r>
  <r>
    <x v="993"/>
    <x v="18"/>
    <s v="Female"/>
    <x v="1"/>
    <x v="1"/>
    <x v="987"/>
    <d v="2026-09-05T00:00:00"/>
    <n v="10"/>
    <x v="4"/>
    <x v="1"/>
    <x v="1"/>
    <s v="No"/>
    <s v="stable"/>
    <n v="4"/>
  </r>
  <r>
    <x v="994"/>
    <x v="13"/>
    <s v="Female"/>
    <x v="1"/>
    <x v="1"/>
    <x v="988"/>
    <d v="2026-09-06T00:00:00"/>
    <n v="10"/>
    <x v="7"/>
    <x v="1"/>
    <x v="1"/>
    <s v="Yes"/>
    <s v="stable"/>
    <n v="4"/>
  </r>
  <r>
    <x v="995"/>
    <x v="6"/>
    <s v="Female"/>
    <x v="1"/>
    <x v="1"/>
    <x v="989"/>
    <d v="2026-09-07T00:00:00"/>
    <n v="10"/>
    <x v="1"/>
    <x v="1"/>
    <x v="1"/>
    <s v="No"/>
    <s v="stable"/>
    <n v="4"/>
  </r>
  <r>
    <x v="996"/>
    <x v="11"/>
    <s v="Female"/>
    <x v="1"/>
    <x v="1"/>
    <x v="990"/>
    <d v="2026-09-08T00:00:00"/>
    <n v="10"/>
    <x v="50"/>
    <x v="1"/>
    <x v="1"/>
    <s v="Yes"/>
    <s v="stable"/>
    <n v="4"/>
  </r>
  <r>
    <x v="997"/>
    <x v="11"/>
    <s v="Female"/>
    <x v="1"/>
    <x v="1"/>
    <x v="991"/>
    <d v="2026-09-09T00:00:00"/>
    <n v="10"/>
    <x v="87"/>
    <x v="1"/>
    <x v="1"/>
    <s v="Yes"/>
    <s v="stable"/>
    <n v="4"/>
  </r>
  <r>
    <x v="998"/>
    <x v="6"/>
    <s v="Female"/>
    <x v="1"/>
    <x v="1"/>
    <x v="992"/>
    <d v="2026-09-10T00:00:00"/>
    <n v="10"/>
    <x v="4"/>
    <x v="1"/>
    <x v="1"/>
    <s v="No"/>
    <s v="stable"/>
    <n v="4"/>
  </r>
  <r>
    <x v="999"/>
    <x v="34"/>
    <s v="Female"/>
    <x v="1"/>
    <x v="1"/>
    <x v="993"/>
    <d v="2024-01-11T00:00:00"/>
    <n v="10"/>
    <x v="85"/>
    <x v="1"/>
    <x v="1"/>
    <s v="No"/>
    <s v="sts"/>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5A3DB5-DB12-482A-AD55-C4E6C57C8A30}"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133" firstHeaderRow="1" firstDataRow="1" firstDataCol="1"/>
  <pivotFields count="17">
    <pivotField dataField="1" showAll="0"/>
    <pivotField showAll="0"/>
    <pivotField showAll="0"/>
    <pivotField showAll="0"/>
    <pivotField axis="axisRow" showAll="0">
      <items count="115">
        <item x="101"/>
        <item x="52"/>
        <item x="80"/>
        <item x="18"/>
        <item x="44"/>
        <item x="36"/>
        <item x="58"/>
        <item x="24"/>
        <item x="49"/>
        <item x="13"/>
        <item x="99"/>
        <item x="63"/>
        <item x="93"/>
        <item x="20"/>
        <item x="91"/>
        <item x="28"/>
        <item x="34"/>
        <item x="103"/>
        <item x="112"/>
        <item x="108"/>
        <item x="46"/>
        <item x="50"/>
        <item x="72"/>
        <item x="81"/>
        <item x="98"/>
        <item x="65"/>
        <item x="38"/>
        <item x="64"/>
        <item x="22"/>
        <item x="62"/>
        <item x="45"/>
        <item x="9"/>
        <item x="88"/>
        <item x="47"/>
        <item x="14"/>
        <item x="8"/>
        <item x="97"/>
        <item x="10"/>
        <item x="71"/>
        <item x="23"/>
        <item x="78"/>
        <item x="16"/>
        <item x="100"/>
        <item x="54"/>
        <item x="21"/>
        <item x="12"/>
        <item x="74"/>
        <item x="6"/>
        <item x="0"/>
        <item x="107"/>
        <item x="90"/>
        <item x="66"/>
        <item x="109"/>
        <item x="53"/>
        <item x="17"/>
        <item x="68"/>
        <item x="35"/>
        <item x="32"/>
        <item x="26"/>
        <item x="86"/>
        <item x="27"/>
        <item x="95"/>
        <item x="104"/>
        <item x="75"/>
        <item x="84"/>
        <item x="83"/>
        <item x="79"/>
        <item x="5"/>
        <item x="55"/>
        <item x="4"/>
        <item x="102"/>
        <item x="2"/>
        <item x="82"/>
        <item x="105"/>
        <item x="25"/>
        <item x="77"/>
        <item x="87"/>
        <item x="94"/>
        <item x="59"/>
        <item x="70"/>
        <item x="56"/>
        <item x="111"/>
        <item x="106"/>
        <item x="110"/>
        <item x="57"/>
        <item x="60"/>
        <item x="69"/>
        <item x="3"/>
        <item x="1"/>
        <item x="31"/>
        <item x="113"/>
        <item x="19"/>
        <item x="92"/>
        <item x="96"/>
        <item x="37"/>
        <item x="7"/>
        <item x="11"/>
        <item x="67"/>
        <item x="40"/>
        <item x="39"/>
        <item x="85"/>
        <item x="76"/>
        <item x="15"/>
        <item x="43"/>
        <item x="48"/>
        <item x="89"/>
        <item x="29"/>
        <item x="51"/>
        <item x="42"/>
        <item x="41"/>
        <item x="30"/>
        <item x="33"/>
        <item x="73"/>
        <item x="61"/>
        <item t="default"/>
      </items>
    </pivotField>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1766FA-3D04-42D5-AFAD-F99ECA10910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7">
    <pivotField dataField="1" showAll="0"/>
    <pivotField showAll="0"/>
    <pivotField showAll="0"/>
    <pivotField axis="axisRow" showAll="0">
      <items count="12">
        <item x="7"/>
        <item x="1"/>
        <item x="6"/>
        <item x="5"/>
        <item x="9"/>
        <item x="10"/>
        <item x="0"/>
        <item x="3"/>
        <item x="8"/>
        <item x="4"/>
        <item x="2"/>
        <item t="default"/>
      </items>
    </pivotField>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2">
    <i>
      <x/>
    </i>
    <i>
      <x v="1"/>
    </i>
    <i>
      <x v="2"/>
    </i>
    <i>
      <x v="3"/>
    </i>
    <i>
      <x v="4"/>
    </i>
    <i>
      <x v="5"/>
    </i>
    <i>
      <x v="6"/>
    </i>
    <i>
      <x v="7"/>
    </i>
    <i>
      <x v="8"/>
    </i>
    <i>
      <x v="9"/>
    </i>
    <i>
      <x v="10"/>
    </i>
    <i t="grand">
      <x/>
    </i>
  </rowItems>
  <colItems count="1">
    <i/>
  </colItems>
  <dataFields count="1">
    <dataField name="Count of PATIENT ID" fld="0" subtotal="count" baseField="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508C48-F215-4BD4-AD24-D3C6C939E3A8}"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5" firstHeaderRow="1" firstDataRow="1" firstDataCol="1"/>
  <pivotFields count="17">
    <pivotField showAll="0"/>
    <pivotField showAll="0"/>
    <pivotField showAll="0"/>
    <pivotField axis="axisRow" showAll="0">
      <items count="12">
        <item x="7"/>
        <item x="1"/>
        <item x="6"/>
        <item x="5"/>
        <item x="9"/>
        <item x="10"/>
        <item x="0"/>
        <item x="3"/>
        <item x="8"/>
        <item x="4"/>
        <item x="2"/>
        <item t="default"/>
      </items>
    </pivotField>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dataField="1" showAll="0">
      <items count="215">
        <item x="188"/>
        <item x="119"/>
        <item x="164"/>
        <item x="90"/>
        <item x="86"/>
        <item x="184"/>
        <item x="20"/>
        <item x="160"/>
        <item x="9"/>
        <item x="181"/>
        <item x="133"/>
        <item x="210"/>
        <item x="85"/>
        <item x="62"/>
        <item x="208"/>
        <item x="74"/>
        <item x="138"/>
        <item x="199"/>
        <item x="193"/>
        <item x="187"/>
        <item x="198"/>
        <item x="94"/>
        <item x="39"/>
        <item x="136"/>
        <item x="186"/>
        <item x="143"/>
        <item x="80"/>
        <item x="88"/>
        <item x="84"/>
        <item x="128"/>
        <item x="102"/>
        <item x="144"/>
        <item x="42"/>
        <item x="10"/>
        <item x="61"/>
        <item x="155"/>
        <item x="75"/>
        <item x="127"/>
        <item x="161"/>
        <item x="68"/>
        <item x="34"/>
        <item x="211"/>
        <item x="67"/>
        <item x="69"/>
        <item x="73"/>
        <item x="158"/>
        <item x="21"/>
        <item x="159"/>
        <item x="11"/>
        <item x="49"/>
        <item x="58"/>
        <item x="117"/>
        <item x="179"/>
        <item x="59"/>
        <item x="115"/>
        <item x="107"/>
        <item x="129"/>
        <item x="22"/>
        <item x="157"/>
        <item x="12"/>
        <item x="23"/>
        <item x="154"/>
        <item x="70"/>
        <item x="116"/>
        <item x="162"/>
        <item x="156"/>
        <item x="101"/>
        <item x="51"/>
        <item x="113"/>
        <item x="114"/>
        <item x="103"/>
        <item x="106"/>
        <item x="53"/>
        <item x="29"/>
        <item x="6"/>
        <item x="118"/>
        <item x="30"/>
        <item x="13"/>
        <item x="31"/>
        <item x="122"/>
        <item x="191"/>
        <item x="55"/>
        <item x="110"/>
        <item x="130"/>
        <item x="72"/>
        <item x="50"/>
        <item x="131"/>
        <item x="28"/>
        <item x="1"/>
        <item x="5"/>
        <item x="19"/>
        <item x="14"/>
        <item x="99"/>
        <item x="185"/>
        <item x="41"/>
        <item x="163"/>
        <item x="111"/>
        <item x="183"/>
        <item x="54"/>
        <item x="2"/>
        <item x="17"/>
        <item x="18"/>
        <item x="149"/>
        <item x="8"/>
        <item x="27"/>
        <item x="7"/>
        <item x="32"/>
        <item x="104"/>
        <item x="112"/>
        <item x="52"/>
        <item x="108"/>
        <item x="56"/>
        <item x="40"/>
        <item x="213"/>
        <item x="16"/>
        <item x="25"/>
        <item x="87"/>
        <item x="173"/>
        <item x="109"/>
        <item x="3"/>
        <item x="4"/>
        <item x="24"/>
        <item x="15"/>
        <item x="212"/>
        <item x="57"/>
        <item x="105"/>
        <item x="26"/>
        <item x="36"/>
        <item x="35"/>
        <item x="170"/>
        <item x="82"/>
        <item x="0"/>
        <item x="65"/>
        <item x="177"/>
        <item x="174"/>
        <item x="175"/>
        <item x="81"/>
        <item x="91"/>
        <item x="167"/>
        <item x="45"/>
        <item x="123"/>
        <item x="37"/>
        <item x="63"/>
        <item x="77"/>
        <item x="132"/>
        <item x="153"/>
        <item x="100"/>
        <item x="137"/>
        <item x="71"/>
        <item x="124"/>
        <item x="168"/>
        <item x="38"/>
        <item x="44"/>
        <item x="150"/>
        <item x="121"/>
        <item x="139"/>
        <item x="43"/>
        <item x="125"/>
        <item x="209"/>
        <item x="152"/>
        <item x="206"/>
        <item x="169"/>
        <item x="46"/>
        <item x="78"/>
        <item x="98"/>
        <item x="200"/>
        <item x="92"/>
        <item x="142"/>
        <item x="79"/>
        <item x="151"/>
        <item x="171"/>
        <item x="126"/>
        <item x="93"/>
        <item x="120"/>
        <item x="207"/>
        <item x="190"/>
        <item x="165"/>
        <item x="83"/>
        <item x="47"/>
        <item x="145"/>
        <item x="95"/>
        <item x="96"/>
        <item x="89"/>
        <item x="60"/>
        <item x="166"/>
        <item x="176"/>
        <item x="48"/>
        <item x="172"/>
        <item x="178"/>
        <item x="180"/>
        <item x="64"/>
        <item x="205"/>
        <item x="134"/>
        <item x="76"/>
        <item x="146"/>
        <item x="66"/>
        <item x="97"/>
        <item x="201"/>
        <item x="194"/>
        <item x="195"/>
        <item x="189"/>
        <item x="182"/>
        <item x="33"/>
        <item x="197"/>
        <item x="204"/>
        <item x="140"/>
        <item x="196"/>
        <item x="141"/>
        <item x="147"/>
        <item x="135"/>
        <item x="202"/>
        <item x="203"/>
        <item x="148"/>
        <item x="192"/>
        <item t="default"/>
      </items>
    </pivotField>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12">
    <i>
      <x/>
    </i>
    <i>
      <x v="1"/>
    </i>
    <i>
      <x v="2"/>
    </i>
    <i>
      <x v="3"/>
    </i>
    <i>
      <x v="4"/>
    </i>
    <i>
      <x v="5"/>
    </i>
    <i>
      <x v="6"/>
    </i>
    <i>
      <x v="7"/>
    </i>
    <i>
      <x v="8"/>
    </i>
    <i>
      <x v="9"/>
    </i>
    <i>
      <x v="10"/>
    </i>
    <i t="grand">
      <x/>
    </i>
  </rowItems>
  <colItems count="1">
    <i/>
  </colItems>
  <dataFields count="1">
    <dataField name="Sum of TREATMENT COS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851931-89B1-4FB7-9B24-8A9A4BE8F06A}"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0:F22" firstHeaderRow="1" firstDataRow="1" firstDataCol="1"/>
  <pivotFields count="17">
    <pivotField showAll="0"/>
    <pivotField showAll="0"/>
    <pivotField showAll="0"/>
    <pivotField axis="axisRow" showAll="0">
      <items count="12">
        <item x="7"/>
        <item x="1"/>
        <item x="6"/>
        <item x="5"/>
        <item x="9"/>
        <item x="10"/>
        <item x="0"/>
        <item x="3"/>
        <item x="8"/>
        <item x="4"/>
        <item x="2"/>
        <item t="default"/>
      </items>
    </pivotField>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12">
    <i>
      <x/>
    </i>
    <i>
      <x v="1"/>
    </i>
    <i>
      <x v="2"/>
    </i>
    <i>
      <x v="3"/>
    </i>
    <i>
      <x v="4"/>
    </i>
    <i>
      <x v="5"/>
    </i>
    <i>
      <x v="6"/>
    </i>
    <i>
      <x v="7"/>
    </i>
    <i>
      <x v="8"/>
    </i>
    <i>
      <x v="9"/>
    </i>
    <i>
      <x v="10"/>
    </i>
    <i t="grand">
      <x/>
    </i>
  </rowItems>
  <colItems count="1">
    <i/>
  </colItems>
  <dataFields count="1">
    <dataField name="Average of LENGTH OF STAY" fld="7" subtotal="average"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6A0277-1934-4030-8AAB-5504C757AE0C}"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7:K1028" firstHeaderRow="1" firstDataRow="1" firstDataCol="1"/>
  <pivotFields count="17">
    <pivotField axis="axisRow" showAll="0">
      <items count="1001">
        <item x="497"/>
        <item x="112"/>
        <item x="498"/>
        <item x="113"/>
        <item x="499"/>
        <item x="500"/>
        <item x="766"/>
        <item x="114"/>
        <item x="501"/>
        <item x="115"/>
        <item x="502"/>
        <item x="116"/>
        <item x="117"/>
        <item x="118"/>
        <item x="503"/>
        <item x="119"/>
        <item x="767"/>
        <item x="120"/>
        <item x="768"/>
        <item x="769"/>
        <item x="122"/>
        <item x="504"/>
        <item x="505"/>
        <item x="506"/>
        <item x="507"/>
        <item x="770"/>
        <item x="771"/>
        <item x="123"/>
        <item x="124"/>
        <item x="508"/>
        <item x="772"/>
        <item x="509"/>
        <item x="773"/>
        <item x="510"/>
        <item x="511"/>
        <item x="512"/>
        <item x="513"/>
        <item x="514"/>
        <item x="125"/>
        <item x="126"/>
        <item x="515"/>
        <item x="774"/>
        <item x="127"/>
        <item x="775"/>
        <item x="516"/>
        <item x="128"/>
        <item x="129"/>
        <item x="776"/>
        <item x="517"/>
        <item x="777"/>
        <item x="130"/>
        <item x="131"/>
        <item x="132"/>
        <item x="778"/>
        <item x="518"/>
        <item x="779"/>
        <item x="519"/>
        <item x="780"/>
        <item x="520"/>
        <item x="781"/>
        <item x="782"/>
        <item x="783"/>
        <item x="521"/>
        <item x="522"/>
        <item x="523"/>
        <item x="524"/>
        <item x="133"/>
        <item x="784"/>
        <item x="785"/>
        <item x="134"/>
        <item x="135"/>
        <item x="525"/>
        <item x="786"/>
        <item x="136"/>
        <item x="787"/>
        <item x="137"/>
        <item x="788"/>
        <item x="138"/>
        <item x="789"/>
        <item x="139"/>
        <item x="140"/>
        <item x="790"/>
        <item x="526"/>
        <item x="528"/>
        <item x="529"/>
        <item x="791"/>
        <item x="141"/>
        <item x="792"/>
        <item x="142"/>
        <item x="793"/>
        <item x="530"/>
        <item x="143"/>
        <item x="794"/>
        <item x="144"/>
        <item x="795"/>
        <item x="531"/>
        <item x="796"/>
        <item x="532"/>
        <item x="797"/>
        <item x="145"/>
        <item x="533"/>
        <item x="146"/>
        <item x="798"/>
        <item x="147"/>
        <item x="534"/>
        <item x="148"/>
        <item x="799"/>
        <item x="149"/>
        <item x="800"/>
        <item x="150"/>
        <item x="801"/>
        <item x="802"/>
        <item x="151"/>
        <item x="803"/>
        <item x="535"/>
        <item x="804"/>
        <item x="152"/>
        <item x="805"/>
        <item x="536"/>
        <item x="806"/>
        <item x="537"/>
        <item x="807"/>
        <item x="538"/>
        <item x="808"/>
        <item x="539"/>
        <item x="809"/>
        <item x="810"/>
        <item x="153"/>
        <item x="811"/>
        <item x="812"/>
        <item x="154"/>
        <item x="155"/>
        <item x="813"/>
        <item x="814"/>
        <item x="540"/>
        <item x="815"/>
        <item x="156"/>
        <item x="816"/>
        <item x="817"/>
        <item x="157"/>
        <item x="818"/>
        <item x="819"/>
        <item x="158"/>
        <item x="820"/>
        <item x="821"/>
        <item x="541"/>
        <item x="822"/>
        <item x="542"/>
        <item x="543"/>
        <item x="544"/>
        <item x="159"/>
        <item x="823"/>
        <item x="160"/>
        <item x="824"/>
        <item x="161"/>
        <item x="825"/>
        <item x="826"/>
        <item x="545"/>
        <item x="162"/>
        <item x="546"/>
        <item x="827"/>
        <item x="828"/>
        <item x="163"/>
        <item x="829"/>
        <item x="547"/>
        <item x="548"/>
        <item x="830"/>
        <item x="164"/>
        <item x="831"/>
        <item x="549"/>
        <item x="832"/>
        <item x="165"/>
        <item x="833"/>
        <item x="166"/>
        <item x="550"/>
        <item x="834"/>
        <item x="835"/>
        <item x="551"/>
        <item x="836"/>
        <item x="552"/>
        <item x="837"/>
        <item x="167"/>
        <item x="168"/>
        <item x="553"/>
        <item x="838"/>
        <item x="839"/>
        <item x="840"/>
        <item x="554"/>
        <item x="555"/>
        <item x="556"/>
        <item x="841"/>
        <item x="557"/>
        <item x="842"/>
        <item x="558"/>
        <item x="843"/>
        <item x="559"/>
        <item x="844"/>
        <item x="845"/>
        <item x="560"/>
        <item x="846"/>
        <item x="561"/>
        <item x="847"/>
        <item x="562"/>
        <item x="563"/>
        <item x="848"/>
        <item x="169"/>
        <item x="170"/>
        <item x="849"/>
        <item x="171"/>
        <item x="850"/>
        <item x="851"/>
        <item x="172"/>
        <item x="852"/>
        <item x="173"/>
        <item x="853"/>
        <item x="564"/>
        <item x="565"/>
        <item x="854"/>
        <item x="174"/>
        <item x="175"/>
        <item x="855"/>
        <item x="176"/>
        <item x="856"/>
        <item x="177"/>
        <item x="857"/>
        <item x="178"/>
        <item x="858"/>
        <item x="179"/>
        <item x="180"/>
        <item x="859"/>
        <item x="860"/>
        <item x="861"/>
        <item x="862"/>
        <item x="566"/>
        <item x="567"/>
        <item x="568"/>
        <item x="569"/>
        <item x="863"/>
        <item x="864"/>
        <item x="570"/>
        <item x="865"/>
        <item x="181"/>
        <item x="866"/>
        <item x="182"/>
        <item x="867"/>
        <item x="868"/>
        <item x="571"/>
        <item x="869"/>
        <item x="183"/>
        <item x="184"/>
        <item x="870"/>
        <item x="871"/>
        <item x="572"/>
        <item x="185"/>
        <item x="186"/>
        <item x="187"/>
        <item x="188"/>
        <item x="872"/>
        <item x="873"/>
        <item x="573"/>
        <item x="874"/>
        <item x="875"/>
        <item x="189"/>
        <item x="190"/>
        <item x="574"/>
        <item x="575"/>
        <item x="191"/>
        <item x="576"/>
        <item x="577"/>
        <item x="876"/>
        <item x="877"/>
        <item x="192"/>
        <item x="878"/>
        <item x="879"/>
        <item x="880"/>
        <item x="578"/>
        <item x="579"/>
        <item x="193"/>
        <item x="881"/>
        <item x="194"/>
        <item x="195"/>
        <item x="882"/>
        <item x="196"/>
        <item x="883"/>
        <item x="884"/>
        <item x="197"/>
        <item x="198"/>
        <item x="580"/>
        <item x="581"/>
        <item x="582"/>
        <item x="885"/>
        <item x="583"/>
        <item x="886"/>
        <item x="887"/>
        <item x="584"/>
        <item x="585"/>
        <item x="888"/>
        <item x="199"/>
        <item x="889"/>
        <item x="890"/>
        <item x="586"/>
        <item x="587"/>
        <item x="891"/>
        <item x="588"/>
        <item x="589"/>
        <item x="590"/>
        <item x="591"/>
        <item x="592"/>
        <item x="892"/>
        <item x="200"/>
        <item x="893"/>
        <item x="894"/>
        <item x="201"/>
        <item x="202"/>
        <item x="895"/>
        <item x="896"/>
        <item x="203"/>
        <item x="204"/>
        <item x="205"/>
        <item x="206"/>
        <item x="207"/>
        <item x="897"/>
        <item x="898"/>
        <item x="899"/>
        <item x="208"/>
        <item x="209"/>
        <item x="900"/>
        <item x="901"/>
        <item x="210"/>
        <item x="211"/>
        <item x="902"/>
        <item x="903"/>
        <item x="904"/>
        <item x="212"/>
        <item x="213"/>
        <item x="214"/>
        <item x="215"/>
        <item x="905"/>
        <item x="906"/>
        <item x="907"/>
        <item x="908"/>
        <item x="909"/>
        <item x="910"/>
        <item x="216"/>
        <item x="217"/>
        <item x="911"/>
        <item x="593"/>
        <item x="594"/>
        <item x="912"/>
        <item x="913"/>
        <item x="914"/>
        <item x="915"/>
        <item x="218"/>
        <item x="916"/>
        <item x="917"/>
        <item x="219"/>
        <item x="121"/>
        <item x="220"/>
        <item x="221"/>
        <item x="222"/>
        <item x="223"/>
        <item x="918"/>
        <item x="919"/>
        <item x="224"/>
        <item x="595"/>
        <item x="596"/>
        <item x="597"/>
        <item x="598"/>
        <item x="599"/>
        <item x="600"/>
        <item x="601"/>
        <item x="920"/>
        <item x="602"/>
        <item x="603"/>
        <item x="604"/>
        <item x="605"/>
        <item x="225"/>
        <item x="606"/>
        <item x="226"/>
        <item x="921"/>
        <item x="227"/>
        <item x="922"/>
        <item x="228"/>
        <item x="923"/>
        <item x="924"/>
        <item x="229"/>
        <item x="230"/>
        <item x="925"/>
        <item x="926"/>
        <item x="927"/>
        <item x="231"/>
        <item x="232"/>
        <item x="928"/>
        <item x="233"/>
        <item x="929"/>
        <item x="930"/>
        <item x="234"/>
        <item x="931"/>
        <item x="932"/>
        <item x="933"/>
        <item x="607"/>
        <item x="608"/>
        <item x="934"/>
        <item x="935"/>
        <item x="936"/>
        <item x="609"/>
        <item x="937"/>
        <item x="235"/>
        <item x="236"/>
        <item x="237"/>
        <item x="238"/>
        <item x="239"/>
        <item x="240"/>
        <item x="938"/>
        <item x="241"/>
        <item x="242"/>
        <item x="243"/>
        <item x="939"/>
        <item x="244"/>
        <item x="610"/>
        <item x="245"/>
        <item x="611"/>
        <item x="246"/>
        <item x="612"/>
        <item x="247"/>
        <item x="613"/>
        <item x="248"/>
        <item x="940"/>
        <item x="941"/>
        <item x="942"/>
        <item x="943"/>
        <item x="944"/>
        <item x="945"/>
        <item x="946"/>
        <item x="947"/>
        <item x="948"/>
        <item x="949"/>
        <item x="950"/>
        <item x="951"/>
        <item x="952"/>
        <item x="953"/>
        <item x="614"/>
        <item x="615"/>
        <item x="616"/>
        <item x="249"/>
        <item x="617"/>
        <item x="618"/>
        <item x="619"/>
        <item x="527"/>
        <item x="620"/>
        <item x="250"/>
        <item x="621"/>
        <item x="251"/>
        <item x="622"/>
        <item x="623"/>
        <item x="624"/>
        <item x="625"/>
        <item x="626"/>
        <item x="627"/>
        <item x="252"/>
        <item x="253"/>
        <item x="254"/>
        <item x="255"/>
        <item x="256"/>
        <item x="628"/>
        <item x="257"/>
        <item x="258"/>
        <item x="259"/>
        <item x="629"/>
        <item x="954"/>
        <item x="955"/>
        <item x="956"/>
        <item x="957"/>
        <item x="958"/>
        <item x="959"/>
        <item x="960"/>
        <item x="961"/>
        <item x="962"/>
        <item x="630"/>
        <item x="631"/>
        <item x="632"/>
        <item x="633"/>
        <item x="634"/>
        <item x="635"/>
        <item x="636"/>
        <item x="637"/>
        <item x="638"/>
        <item x="639"/>
        <item x="963"/>
        <item x="964"/>
        <item x="640"/>
        <item x="641"/>
        <item x="260"/>
        <item x="261"/>
        <item x="262"/>
        <item x="263"/>
        <item x="264"/>
        <item x="265"/>
        <item x="266"/>
        <item x="267"/>
        <item x="268"/>
        <item x="269"/>
        <item x="270"/>
        <item x="271"/>
        <item x="272"/>
        <item x="273"/>
        <item x="965"/>
        <item x="966"/>
        <item x="967"/>
        <item x="968"/>
        <item x="969"/>
        <item x="970"/>
        <item x="971"/>
        <item x="972"/>
        <item x="973"/>
        <item x="974"/>
        <item x="975"/>
        <item x="976"/>
        <item x="977"/>
        <item x="978"/>
        <item x="979"/>
        <item x="980"/>
        <item x="274"/>
        <item x="275"/>
        <item x="276"/>
        <item x="277"/>
        <item x="278"/>
        <item x="279"/>
        <item x="280"/>
        <item x="281"/>
        <item x="282"/>
        <item x="283"/>
        <item x="284"/>
        <item x="285"/>
        <item x="286"/>
        <item x="287"/>
        <item x="288"/>
        <item x="289"/>
        <item x="290"/>
        <item x="291"/>
        <item x="292"/>
        <item x="293"/>
        <item x="294"/>
        <item x="295"/>
        <item x="296"/>
        <item x="297"/>
        <item x="298"/>
        <item x="981"/>
        <item x="982"/>
        <item x="983"/>
        <item x="984"/>
        <item x="985"/>
        <item x="986"/>
        <item x="987"/>
        <item x="988"/>
        <item x="989"/>
        <item x="990"/>
        <item x="991"/>
        <item x="992"/>
        <item x="993"/>
        <item x="994"/>
        <item x="995"/>
        <item x="996"/>
        <item x="997"/>
        <item x="998"/>
        <item x="999"/>
        <item x="668"/>
        <item x="13"/>
        <item x="14"/>
        <item x="15"/>
        <item x="16"/>
        <item x="17"/>
        <item x="329"/>
        <item x="330"/>
        <item x="331"/>
        <item x="332"/>
        <item x="333"/>
        <item x="334"/>
        <item x="335"/>
        <item x="336"/>
        <item x="337"/>
        <item x="338"/>
        <item x="339"/>
        <item x="340"/>
        <item x="341"/>
        <item x="342"/>
        <item x="343"/>
        <item x="344"/>
        <item x="345"/>
        <item x="346"/>
        <item x="347"/>
        <item x="348"/>
        <item x="349"/>
        <item x="350"/>
        <item x="669"/>
        <item x="670"/>
        <item x="671"/>
        <item x="672"/>
        <item x="673"/>
        <item x="674"/>
        <item x="675"/>
        <item x="676"/>
        <item x="677"/>
        <item x="678"/>
        <item x="679"/>
        <item x="680"/>
        <item x="681"/>
        <item x="351"/>
        <item x="682"/>
        <item x="683"/>
        <item x="684"/>
        <item x="685"/>
        <item x="686"/>
        <item x="687"/>
        <item x="18"/>
        <item x="19"/>
        <item x="352"/>
        <item x="353"/>
        <item x="354"/>
        <item x="355"/>
        <item x="356"/>
        <item x="357"/>
        <item x="358"/>
        <item x="359"/>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749"/>
        <item x="750"/>
        <item x="751"/>
        <item x="752"/>
        <item x="753"/>
        <item x="754"/>
        <item x="755"/>
        <item x="756"/>
        <item x="757"/>
        <item x="758"/>
        <item x="759"/>
        <item x="760"/>
        <item x="761"/>
        <item x="762"/>
        <item x="763"/>
        <item x="764"/>
        <item x="765"/>
        <item x="85"/>
        <item x="86"/>
        <item x="87"/>
        <item x="88"/>
        <item x="89"/>
        <item x="90"/>
        <item x="91"/>
        <item x="92"/>
        <item x="93"/>
        <item x="94"/>
        <item x="95"/>
        <item x="96"/>
        <item x="97"/>
        <item x="98"/>
        <item x="99"/>
        <item x="100"/>
        <item x="101"/>
        <item x="102"/>
        <item x="103"/>
        <item x="104"/>
        <item x="105"/>
        <item x="106"/>
        <item x="107"/>
        <item x="108"/>
        <item x="109"/>
        <item x="110"/>
        <item x="111"/>
        <item x="0"/>
        <item x="1"/>
        <item x="2"/>
        <item x="3"/>
        <item x="4"/>
        <item x="5"/>
        <item x="6"/>
        <item x="7"/>
        <item x="8"/>
        <item x="9"/>
        <item x="10"/>
        <item x="11"/>
        <item x="12"/>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642"/>
        <item x="643"/>
        <item x="644"/>
        <item x="645"/>
        <item x="646"/>
        <item x="647"/>
        <item x="648"/>
        <item x="649"/>
        <item x="650"/>
        <item x="651"/>
        <item x="652"/>
        <item x="653"/>
        <item x="654"/>
        <item x="655"/>
        <item x="656"/>
        <item x="657"/>
        <item x="658"/>
        <item x="659"/>
        <item x="660"/>
        <item x="661"/>
        <item x="662"/>
        <item x="663"/>
        <item x="664"/>
        <item x="665"/>
        <item x="666"/>
        <item x="667"/>
        <item t="default"/>
      </items>
    </pivotField>
    <pivotField dataField="1" showAll="0">
      <items count="91">
        <item x="69"/>
        <item x="55"/>
        <item x="61"/>
        <item x="68"/>
        <item x="67"/>
        <item x="65"/>
        <item x="54"/>
        <item x="62"/>
        <item x="16"/>
        <item x="22"/>
        <item x="23"/>
        <item x="24"/>
        <item x="86"/>
        <item x="85"/>
        <item x="57"/>
        <item x="53"/>
        <item x="32"/>
        <item x="21"/>
        <item x="43"/>
        <item x="15"/>
        <item x="25"/>
        <item x="49"/>
        <item x="27"/>
        <item x="28"/>
        <item x="29"/>
        <item x="30"/>
        <item x="31"/>
        <item x="20"/>
        <item x="12"/>
        <item x="42"/>
        <item x="17"/>
        <item x="26"/>
        <item x="60"/>
        <item x="80"/>
        <item x="89"/>
        <item x="81"/>
        <item x="47"/>
        <item x="79"/>
        <item x="38"/>
        <item x="13"/>
        <item x="41"/>
        <item x="18"/>
        <item x="39"/>
        <item x="88"/>
        <item x="87"/>
        <item x="51"/>
        <item x="52"/>
        <item x="37"/>
        <item x="36"/>
        <item x="35"/>
        <item x="34"/>
        <item x="40"/>
        <item x="6"/>
        <item x="70"/>
        <item x="78"/>
        <item x="56"/>
        <item x="48"/>
        <item x="50"/>
        <item x="8"/>
        <item x="9"/>
        <item x="10"/>
        <item x="11"/>
        <item x="44"/>
        <item x="7"/>
        <item x="72"/>
        <item x="59"/>
        <item x="82"/>
        <item x="74"/>
        <item x="75"/>
        <item x="76"/>
        <item x="77"/>
        <item x="58"/>
        <item x="33"/>
        <item x="71"/>
        <item x="14"/>
        <item x="45"/>
        <item x="46"/>
        <item x="0"/>
        <item x="1"/>
        <item x="2"/>
        <item x="3"/>
        <item x="4"/>
        <item x="83"/>
        <item x="19"/>
        <item x="73"/>
        <item x="63"/>
        <item x="66"/>
        <item x="84"/>
        <item x="5"/>
        <item x="64"/>
        <item t="default"/>
      </items>
    </pivotField>
    <pivotField showAll="0"/>
    <pivotField showAll="0"/>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Average of AGE" fld="1"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AEB72B-9361-48F6-BF04-614645A3CE84}"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8:F39" firstHeaderRow="1" firstDataRow="1" firstDataCol="1"/>
  <pivotFields count="17">
    <pivotField dataField="1" showAll="0"/>
    <pivotField showAll="0"/>
    <pivotField showAll="0"/>
    <pivotField showAll="0"/>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axis="axisRow" showAll="0">
      <items count="15">
        <item h="1" x="13"/>
        <item h="1" x="12"/>
        <item x="5"/>
        <item x="3"/>
        <item x="1"/>
        <item x="6"/>
        <item h="1" x="11"/>
        <item x="7"/>
        <item x="0"/>
        <item x="9"/>
        <item x="4"/>
        <item h="1" x="10"/>
        <item x="2"/>
        <item x="8"/>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11">
    <i>
      <x v="2"/>
    </i>
    <i>
      <x v="3"/>
    </i>
    <i>
      <x v="4"/>
    </i>
    <i>
      <x v="5"/>
    </i>
    <i>
      <x v="7"/>
    </i>
    <i>
      <x v="8"/>
    </i>
    <i>
      <x v="9"/>
    </i>
    <i>
      <x v="10"/>
    </i>
    <i>
      <x v="12"/>
    </i>
    <i>
      <x v="13"/>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3413C0-898F-49BF-B48A-E65EF18A1AAC}"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8" firstHeaderRow="1" firstDataRow="1" firstDataCol="1"/>
  <pivotFields count="17">
    <pivotField dataField="1" showAll="0"/>
    <pivotField showAll="0"/>
    <pivotField showAll="0"/>
    <pivotField showAll="0"/>
    <pivotField showAll="0"/>
    <pivotField axis="axisRow"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6"/>
    <field x="15"/>
    <field x="14"/>
    <field x="5"/>
  </rowFields>
  <rowItems count="5">
    <i>
      <x v="1"/>
    </i>
    <i>
      <x v="2"/>
    </i>
    <i>
      <x v="3"/>
    </i>
    <i>
      <x v="4"/>
    </i>
    <i t="grand">
      <x/>
    </i>
  </rowItems>
  <colItems count="1">
    <i/>
  </colItems>
  <dataFields count="1">
    <dataField name="Count of PATIENT ID" fld="0" subtotal="count" baseField="0" baseItem="0"/>
  </dataField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2"/>
          </reference>
        </references>
      </pivotArea>
    </chartFormat>
    <chartFormat chart="2" format="9">
      <pivotArea type="data" outline="0" fieldPosition="0">
        <references count="2">
          <reference field="4294967294" count="1" selected="0">
            <x v="0"/>
          </reference>
          <reference field="16" count="1" selected="0">
            <x v="3"/>
          </reference>
        </references>
      </pivotArea>
    </chartFormat>
    <chartFormat chart="2" format="10">
      <pivotArea type="data" outline="0" fieldPosition="0">
        <references count="2">
          <reference field="4294967294" count="1" selected="0">
            <x v="0"/>
          </reference>
          <reference field="16" count="1" selected="0">
            <x v="4"/>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1"/>
          </reference>
        </references>
      </pivotArea>
    </chartFormat>
    <chartFormat chart="3" format="8">
      <pivotArea type="data" outline="0" fieldPosition="0">
        <references count="2">
          <reference field="4294967294" count="1" selected="0">
            <x v="0"/>
          </reference>
          <reference field="16" count="1" selected="0">
            <x v="2"/>
          </reference>
        </references>
      </pivotArea>
    </chartFormat>
    <chartFormat chart="3" format="9">
      <pivotArea type="data" outline="0" fieldPosition="0">
        <references count="2">
          <reference field="4294967294" count="1" selected="0">
            <x v="0"/>
          </reference>
          <reference field="16" count="1" selected="0">
            <x v="3"/>
          </reference>
        </references>
      </pivotArea>
    </chartFormat>
    <chartFormat chart="3" format="10">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7D7388-58B2-44A1-B8F4-38BFBF82684B}"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9:K23" firstHeaderRow="1" firstDataRow="1" firstDataCol="1"/>
  <pivotFields count="17">
    <pivotField dataField="1" showAll="0"/>
    <pivotField showAll="0"/>
    <pivotField showAll="0"/>
    <pivotField showAll="0"/>
    <pivotField showAll="0"/>
    <pivotField numFmtId="14" showAll="0">
      <items count="995">
        <item x="0"/>
        <item x="1"/>
        <item x="2"/>
        <item x="3"/>
        <item x="4"/>
        <item x="5"/>
        <item x="6"/>
        <item x="7"/>
        <item x="8"/>
        <item x="9"/>
        <item x="10"/>
        <item x="11"/>
        <item x="12"/>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637"/>
        <item x="638"/>
        <item x="639"/>
        <item x="640"/>
        <item x="641"/>
        <item x="642"/>
        <item x="643"/>
        <item x="644"/>
        <item x="645"/>
        <item x="646"/>
        <item x="647"/>
        <item x="648"/>
        <item x="649"/>
        <item x="650"/>
        <item x="651"/>
        <item x="652"/>
        <item x="653"/>
        <item x="654"/>
        <item x="655"/>
        <item x="656"/>
        <item x="657"/>
        <item x="658"/>
        <item x="659"/>
        <item x="660"/>
        <item x="661"/>
        <item x="662"/>
        <item x="993"/>
        <item x="663"/>
        <item x="13"/>
        <item x="14"/>
        <item x="15"/>
        <item x="16"/>
        <item x="17"/>
        <item x="328"/>
        <item x="329"/>
        <item x="330"/>
        <item x="331"/>
        <item x="332"/>
        <item x="333"/>
        <item x="334"/>
        <item x="335"/>
        <item x="336"/>
        <item x="337"/>
        <item x="338"/>
        <item x="339"/>
        <item x="340"/>
        <item x="341"/>
        <item x="342"/>
        <item x="343"/>
        <item x="344"/>
        <item x="345"/>
        <item x="346"/>
        <item x="347"/>
        <item x="348"/>
        <item x="349"/>
        <item x="664"/>
        <item x="665"/>
        <item x="666"/>
        <item x="667"/>
        <item x="668"/>
        <item x="669"/>
        <item x="670"/>
        <item x="671"/>
        <item x="672"/>
        <item x="673"/>
        <item x="674"/>
        <item x="675"/>
        <item x="676"/>
        <item x="350"/>
        <item x="677"/>
        <item x="678"/>
        <item x="679"/>
        <item x="680"/>
        <item x="681"/>
        <item x="682"/>
        <item x="18"/>
        <item x="19"/>
        <item x="351"/>
        <item x="352"/>
        <item x="353"/>
        <item x="354"/>
        <item x="355"/>
        <item x="356"/>
        <item x="357"/>
        <item x="358"/>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744"/>
        <item x="745"/>
        <item x="746"/>
        <item x="747"/>
        <item x="748"/>
        <item x="749"/>
        <item x="750"/>
        <item x="751"/>
        <item x="752"/>
        <item x="753"/>
        <item x="754"/>
        <item x="755"/>
        <item x="756"/>
        <item x="757"/>
        <item x="758"/>
        <item x="759"/>
        <item x="760"/>
        <item x="85"/>
        <item x="86"/>
        <item x="87"/>
        <item x="88"/>
        <item x="89"/>
        <item x="90"/>
        <item x="91"/>
        <item x="92"/>
        <item x="93"/>
        <item x="94"/>
        <item x="95"/>
        <item x="96"/>
        <item x="97"/>
        <item x="98"/>
        <item x="99"/>
        <item x="100"/>
        <item x="101"/>
        <item x="102"/>
        <item x="103"/>
        <item x="104"/>
        <item x="105"/>
        <item x="106"/>
        <item x="107"/>
        <item x="108"/>
        <item x="109"/>
        <item x="110"/>
        <item x="111"/>
        <item x="496"/>
        <item x="112"/>
        <item x="497"/>
        <item x="113"/>
        <item x="498"/>
        <item x="499"/>
        <item x="761"/>
        <item x="114"/>
        <item x="500"/>
        <item x="115"/>
        <item x="501"/>
        <item x="116"/>
        <item x="117"/>
        <item x="118"/>
        <item x="502"/>
        <item x="119"/>
        <item x="762"/>
        <item x="120"/>
        <item x="763"/>
        <item x="764"/>
        <item x="121"/>
        <item x="503"/>
        <item x="504"/>
        <item x="505"/>
        <item x="506"/>
        <item x="765"/>
        <item x="766"/>
        <item x="122"/>
        <item x="123"/>
        <item x="507"/>
        <item x="767"/>
        <item x="508"/>
        <item x="768"/>
        <item x="509"/>
        <item x="510"/>
        <item x="511"/>
        <item x="512"/>
        <item x="513"/>
        <item x="124"/>
        <item x="125"/>
        <item x="514"/>
        <item x="769"/>
        <item x="126"/>
        <item x="770"/>
        <item x="515"/>
        <item x="127"/>
        <item x="128"/>
        <item x="771"/>
        <item x="516"/>
        <item x="772"/>
        <item x="129"/>
        <item x="130"/>
        <item x="131"/>
        <item x="773"/>
        <item x="517"/>
        <item x="774"/>
        <item x="518"/>
        <item x="775"/>
        <item x="519"/>
        <item x="776"/>
        <item x="777"/>
        <item x="778"/>
        <item x="520"/>
        <item x="521"/>
        <item x="522"/>
        <item x="523"/>
        <item x="132"/>
        <item x="779"/>
        <item x="780"/>
        <item x="133"/>
        <item x="134"/>
        <item x="524"/>
        <item x="781"/>
        <item x="135"/>
        <item x="782"/>
        <item x="136"/>
        <item x="783"/>
        <item x="137"/>
        <item x="784"/>
        <item x="138"/>
        <item x="139"/>
        <item x="785"/>
        <item x="525"/>
        <item x="526"/>
        <item x="527"/>
        <item x="786"/>
        <item x="140"/>
        <item x="787"/>
        <item x="141"/>
        <item x="788"/>
        <item x="528"/>
        <item x="142"/>
        <item x="789"/>
        <item x="143"/>
        <item x="790"/>
        <item x="529"/>
        <item x="791"/>
        <item x="530"/>
        <item x="792"/>
        <item x="144"/>
        <item x="531"/>
        <item x="145"/>
        <item x="793"/>
        <item x="146"/>
        <item x="532"/>
        <item x="147"/>
        <item x="794"/>
        <item x="148"/>
        <item x="795"/>
        <item x="149"/>
        <item x="796"/>
        <item x="797"/>
        <item x="150"/>
        <item x="798"/>
        <item x="533"/>
        <item x="799"/>
        <item x="151"/>
        <item x="800"/>
        <item x="534"/>
        <item x="801"/>
        <item x="535"/>
        <item x="802"/>
        <item x="536"/>
        <item x="803"/>
        <item x="537"/>
        <item x="804"/>
        <item x="805"/>
        <item x="152"/>
        <item x="806"/>
        <item x="807"/>
        <item x="153"/>
        <item x="154"/>
        <item x="808"/>
        <item x="809"/>
        <item x="538"/>
        <item x="810"/>
        <item x="155"/>
        <item x="811"/>
        <item x="812"/>
        <item x="156"/>
        <item x="813"/>
        <item x="814"/>
        <item x="157"/>
        <item x="815"/>
        <item x="816"/>
        <item x="539"/>
        <item x="817"/>
        <item x="540"/>
        <item x="541"/>
        <item x="542"/>
        <item x="158"/>
        <item x="818"/>
        <item x="159"/>
        <item x="819"/>
        <item x="160"/>
        <item x="820"/>
        <item x="821"/>
        <item x="543"/>
        <item x="161"/>
        <item x="544"/>
        <item x="822"/>
        <item x="823"/>
        <item x="162"/>
        <item x="824"/>
        <item x="545"/>
        <item x="546"/>
        <item x="825"/>
        <item x="163"/>
        <item x="826"/>
        <item x="547"/>
        <item x="827"/>
        <item x="164"/>
        <item x="828"/>
        <item x="165"/>
        <item x="548"/>
        <item x="829"/>
        <item x="830"/>
        <item x="549"/>
        <item x="831"/>
        <item x="550"/>
        <item x="832"/>
        <item x="166"/>
        <item x="167"/>
        <item x="551"/>
        <item x="833"/>
        <item x="834"/>
        <item x="835"/>
        <item x="552"/>
        <item x="553"/>
        <item x="554"/>
        <item x="836"/>
        <item x="555"/>
        <item x="837"/>
        <item x="556"/>
        <item x="838"/>
        <item x="557"/>
        <item x="839"/>
        <item x="840"/>
        <item x="558"/>
        <item x="841"/>
        <item x="559"/>
        <item x="842"/>
        <item x="560"/>
        <item x="561"/>
        <item x="843"/>
        <item x="168"/>
        <item x="169"/>
        <item x="844"/>
        <item x="170"/>
        <item x="845"/>
        <item x="846"/>
        <item x="171"/>
        <item x="847"/>
        <item x="172"/>
        <item x="848"/>
        <item x="562"/>
        <item x="563"/>
        <item x="849"/>
        <item x="173"/>
        <item x="174"/>
        <item x="850"/>
        <item x="175"/>
        <item x="851"/>
        <item x="176"/>
        <item x="852"/>
        <item x="177"/>
        <item x="853"/>
        <item x="178"/>
        <item x="179"/>
        <item x="854"/>
        <item x="855"/>
        <item x="856"/>
        <item x="857"/>
        <item x="564"/>
        <item x="565"/>
        <item x="566"/>
        <item x="567"/>
        <item x="858"/>
        <item x="859"/>
        <item x="568"/>
        <item x="860"/>
        <item x="180"/>
        <item x="861"/>
        <item x="181"/>
        <item x="862"/>
        <item x="863"/>
        <item x="569"/>
        <item x="864"/>
        <item x="182"/>
        <item x="183"/>
        <item x="865"/>
        <item x="866"/>
        <item x="570"/>
        <item x="184"/>
        <item x="185"/>
        <item x="186"/>
        <item x="187"/>
        <item x="867"/>
        <item x="868"/>
        <item x="571"/>
        <item x="869"/>
        <item x="870"/>
        <item x="188"/>
        <item x="189"/>
        <item x="572"/>
        <item x="573"/>
        <item x="190"/>
        <item x="574"/>
        <item x="575"/>
        <item x="871"/>
        <item x="872"/>
        <item x="191"/>
        <item x="873"/>
        <item x="874"/>
        <item x="875"/>
        <item x="576"/>
        <item x="577"/>
        <item x="192"/>
        <item x="876"/>
        <item x="193"/>
        <item x="194"/>
        <item x="877"/>
        <item x="195"/>
        <item x="878"/>
        <item x="879"/>
        <item x="196"/>
        <item x="197"/>
        <item x="578"/>
        <item x="579"/>
        <item x="580"/>
        <item x="880"/>
        <item x="581"/>
        <item x="881"/>
        <item x="882"/>
        <item x="582"/>
        <item x="583"/>
        <item x="883"/>
        <item x="198"/>
        <item x="884"/>
        <item x="885"/>
        <item x="584"/>
        <item x="585"/>
        <item x="886"/>
        <item x="586"/>
        <item x="587"/>
        <item x="588"/>
        <item x="589"/>
        <item x="590"/>
        <item x="199"/>
        <item x="887"/>
        <item x="888"/>
        <item x="200"/>
        <item x="201"/>
        <item x="889"/>
        <item x="890"/>
        <item x="202"/>
        <item x="203"/>
        <item x="204"/>
        <item x="205"/>
        <item x="206"/>
        <item x="891"/>
        <item x="892"/>
        <item x="893"/>
        <item x="207"/>
        <item x="208"/>
        <item x="894"/>
        <item x="895"/>
        <item x="209"/>
        <item x="210"/>
        <item x="896"/>
        <item x="897"/>
        <item x="898"/>
        <item x="211"/>
        <item x="212"/>
        <item x="213"/>
        <item x="214"/>
        <item x="899"/>
        <item x="900"/>
        <item x="901"/>
        <item x="902"/>
        <item x="903"/>
        <item x="904"/>
        <item x="215"/>
        <item x="216"/>
        <item x="905"/>
        <item x="591"/>
        <item x="592"/>
        <item x="906"/>
        <item x="907"/>
        <item x="908"/>
        <item x="909"/>
        <item x="217"/>
        <item x="910"/>
        <item x="911"/>
        <item x="218"/>
        <item x="219"/>
        <item x="220"/>
        <item x="221"/>
        <item x="222"/>
        <item x="912"/>
        <item x="913"/>
        <item x="223"/>
        <item x="593"/>
        <item x="594"/>
        <item x="595"/>
        <item x="596"/>
        <item x="597"/>
        <item x="598"/>
        <item x="599"/>
        <item x="914"/>
        <item x="600"/>
        <item x="601"/>
        <item x="602"/>
        <item x="603"/>
        <item x="224"/>
        <item x="604"/>
        <item x="225"/>
        <item x="915"/>
        <item x="226"/>
        <item x="916"/>
        <item x="227"/>
        <item x="917"/>
        <item x="918"/>
        <item x="228"/>
        <item x="229"/>
        <item x="919"/>
        <item x="920"/>
        <item x="921"/>
        <item x="230"/>
        <item x="231"/>
        <item x="922"/>
        <item x="232"/>
        <item x="923"/>
        <item x="924"/>
        <item x="233"/>
        <item x="925"/>
        <item x="926"/>
        <item x="927"/>
        <item x="605"/>
        <item x="606"/>
        <item x="928"/>
        <item x="929"/>
        <item x="930"/>
        <item x="607"/>
        <item x="931"/>
        <item x="234"/>
        <item x="235"/>
        <item x="236"/>
        <item x="237"/>
        <item x="238"/>
        <item x="239"/>
        <item x="932"/>
        <item x="240"/>
        <item x="241"/>
        <item x="242"/>
        <item x="933"/>
        <item x="243"/>
        <item x="608"/>
        <item x="244"/>
        <item x="609"/>
        <item x="245"/>
        <item x="610"/>
        <item x="246"/>
        <item x="611"/>
        <item x="247"/>
        <item x="934"/>
        <item x="935"/>
        <item x="936"/>
        <item x="937"/>
        <item x="938"/>
        <item x="939"/>
        <item x="940"/>
        <item x="941"/>
        <item x="942"/>
        <item x="943"/>
        <item x="944"/>
        <item x="945"/>
        <item x="946"/>
        <item x="947"/>
        <item x="612"/>
        <item x="613"/>
        <item x="614"/>
        <item x="248"/>
        <item x="615"/>
        <item x="616"/>
        <item x="617"/>
        <item x="618"/>
        <item x="249"/>
        <item x="619"/>
        <item x="250"/>
        <item x="620"/>
        <item x="621"/>
        <item x="622"/>
        <item x="251"/>
        <item x="252"/>
        <item x="253"/>
        <item x="254"/>
        <item x="255"/>
        <item x="623"/>
        <item x="256"/>
        <item x="257"/>
        <item x="258"/>
        <item x="624"/>
        <item x="948"/>
        <item x="949"/>
        <item x="950"/>
        <item x="951"/>
        <item x="952"/>
        <item x="953"/>
        <item x="954"/>
        <item x="955"/>
        <item x="956"/>
        <item x="625"/>
        <item x="626"/>
        <item x="627"/>
        <item x="628"/>
        <item x="629"/>
        <item x="630"/>
        <item x="631"/>
        <item x="632"/>
        <item x="633"/>
        <item x="634"/>
        <item x="957"/>
        <item x="958"/>
        <item x="635"/>
        <item x="636"/>
        <item x="259"/>
        <item x="260"/>
        <item x="261"/>
        <item x="262"/>
        <item x="263"/>
        <item x="264"/>
        <item x="265"/>
        <item x="266"/>
        <item x="267"/>
        <item x="268"/>
        <item x="269"/>
        <item x="270"/>
        <item x="271"/>
        <item x="272"/>
        <item x="959"/>
        <item x="960"/>
        <item x="961"/>
        <item x="962"/>
        <item x="963"/>
        <item x="964"/>
        <item x="965"/>
        <item x="966"/>
        <item x="967"/>
        <item x="968"/>
        <item x="969"/>
        <item x="970"/>
        <item x="971"/>
        <item x="972"/>
        <item x="973"/>
        <item x="974"/>
        <item x="273"/>
        <item x="274"/>
        <item x="275"/>
        <item x="276"/>
        <item x="277"/>
        <item x="278"/>
        <item x="279"/>
        <item x="280"/>
        <item x="281"/>
        <item x="282"/>
        <item x="283"/>
        <item x="284"/>
        <item x="285"/>
        <item x="286"/>
        <item x="287"/>
        <item x="288"/>
        <item x="289"/>
        <item x="290"/>
        <item x="291"/>
        <item x="292"/>
        <item x="293"/>
        <item x="294"/>
        <item x="295"/>
        <item x="296"/>
        <item x="297"/>
        <item x="975"/>
        <item x="976"/>
        <item x="977"/>
        <item x="978"/>
        <item x="979"/>
        <item x="980"/>
        <item x="981"/>
        <item x="982"/>
        <item x="983"/>
        <item x="984"/>
        <item x="985"/>
        <item x="986"/>
        <item x="987"/>
        <item x="988"/>
        <item x="989"/>
        <item x="990"/>
        <item x="991"/>
        <item x="992"/>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9"/>
  </rowFields>
  <rowItems count="4">
    <i>
      <x/>
    </i>
    <i>
      <x v="1"/>
    </i>
    <i>
      <x v="2"/>
    </i>
    <i t="grand">
      <x/>
    </i>
  </rowItems>
  <colItems count="1">
    <i/>
  </colItems>
  <dataFields count="1">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CBBE4115-6AE8-4431-B6DE-6DB2BCAB470F}" sourceName="DEPARTMENT ">
  <pivotTables>
    <pivotTable tabId="5" name="PivotTable1"/>
  </pivotTables>
  <data>
    <tabular pivotCacheId="612863002">
      <items count="11">
        <i x="7" s="1"/>
        <i x="1" s="1"/>
        <i x="6" s="1"/>
        <i x="5" s="1"/>
        <i x="9" s="1"/>
        <i x="10" s="1"/>
        <i x="0" s="1"/>
        <i x="3" s="1"/>
        <i x="8"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1835253A-C6BA-4F42-9257-A4C6C86B58D7}" sourceName="DIAGNOSIS">
  <pivotTables>
    <pivotTable tabId="5" name="PivotTable5"/>
  </pivotTables>
  <data>
    <tabular pivotCacheId="612863002">
      <items count="114">
        <i x="101" s="1"/>
        <i x="52" s="1"/>
        <i x="80" s="1"/>
        <i x="18" s="1"/>
        <i x="44" s="1"/>
        <i x="36" s="1"/>
        <i x="58" s="1"/>
        <i x="24" s="1"/>
        <i x="49" s="1"/>
        <i x="13" s="1"/>
        <i x="99" s="1"/>
        <i x="63" s="1"/>
        <i x="93" s="1"/>
        <i x="20" s="1"/>
        <i x="91" s="1"/>
        <i x="28" s="1"/>
        <i x="34" s="1"/>
        <i x="103" s="1"/>
        <i x="112" s="1"/>
        <i x="108" s="1"/>
        <i x="46" s="1"/>
        <i x="50" s="1"/>
        <i x="72" s="1"/>
        <i x="81" s="1"/>
        <i x="98" s="1"/>
        <i x="65" s="1"/>
        <i x="38" s="1"/>
        <i x="64" s="1"/>
        <i x="22" s="1"/>
        <i x="62" s="1"/>
        <i x="45" s="1"/>
        <i x="9" s="1"/>
        <i x="88" s="1"/>
        <i x="47" s="1"/>
        <i x="14" s="1"/>
        <i x="8" s="1"/>
        <i x="97" s="1"/>
        <i x="10" s="1"/>
        <i x="71" s="1"/>
        <i x="23" s="1"/>
        <i x="78" s="1"/>
        <i x="16" s="1"/>
        <i x="100" s="1"/>
        <i x="54" s="1"/>
        <i x="21" s="1"/>
        <i x="12" s="1"/>
        <i x="74" s="1"/>
        <i x="6" s="1"/>
        <i x="0" s="1"/>
        <i x="107" s="1"/>
        <i x="90" s="1"/>
        <i x="66" s="1"/>
        <i x="109" s="1"/>
        <i x="53" s="1"/>
        <i x="17" s="1"/>
        <i x="68" s="1"/>
        <i x="35" s="1"/>
        <i x="32" s="1"/>
        <i x="26" s="1"/>
        <i x="86" s="1"/>
        <i x="27" s="1"/>
        <i x="95" s="1"/>
        <i x="104" s="1"/>
        <i x="75" s="1"/>
        <i x="84" s="1"/>
        <i x="83" s="1"/>
        <i x="79" s="1"/>
        <i x="5" s="1"/>
        <i x="55" s="1"/>
        <i x="4" s="1"/>
        <i x="102" s="1"/>
        <i x="2" s="1"/>
        <i x="82" s="1"/>
        <i x="105" s="1"/>
        <i x="25" s="1"/>
        <i x="77" s="1"/>
        <i x="87" s="1"/>
        <i x="94" s="1"/>
        <i x="59" s="1"/>
        <i x="70" s="1"/>
        <i x="56" s="1"/>
        <i x="111" s="1"/>
        <i x="106" s="1"/>
        <i x="110" s="1"/>
        <i x="57" s="1"/>
        <i x="60" s="1"/>
        <i x="69" s="1"/>
        <i x="3" s="1"/>
        <i x="1" s="1"/>
        <i x="31" s="1"/>
        <i x="113" s="1"/>
        <i x="19" s="1"/>
        <i x="92" s="1"/>
        <i x="96" s="1"/>
        <i x="37" s="1"/>
        <i x="7" s="1"/>
        <i x="11" s="1"/>
        <i x="67" s="1"/>
        <i x="40" s="1"/>
        <i x="39" s="1"/>
        <i x="85" s="1"/>
        <i x="76" s="1"/>
        <i x="15" s="1"/>
        <i x="43" s="1"/>
        <i x="48" s="1"/>
        <i x="89" s="1"/>
        <i x="29" s="1"/>
        <i x="51" s="1"/>
        <i x="42" s="1"/>
        <i x="41" s="1"/>
        <i x="30" s="1"/>
        <i x="33" s="1"/>
        <i x="73" s="1"/>
        <i x="6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COST" xr10:uid="{1C39CD3B-0AE3-4865-9A1E-0A51AE00EA15}" sourceName="TREATMENT COST">
  <pivotTables>
    <pivotTable tabId="5" name="PivotTable8"/>
  </pivotTables>
  <data>
    <tabular pivotCacheId="612863002">
      <items count="214">
        <i x="188" s="1"/>
        <i x="119" s="1"/>
        <i x="164" s="1"/>
        <i x="90" s="1"/>
        <i x="86" s="1"/>
        <i x="184" s="1"/>
        <i x="20" s="1"/>
        <i x="160" s="1"/>
        <i x="9" s="1"/>
        <i x="181" s="1"/>
        <i x="133" s="1"/>
        <i x="210" s="1"/>
        <i x="85" s="1"/>
        <i x="62" s="1"/>
        <i x="208" s="1"/>
        <i x="74" s="1"/>
        <i x="138" s="1"/>
        <i x="199" s="1"/>
        <i x="193" s="1"/>
        <i x="187" s="1"/>
        <i x="198" s="1"/>
        <i x="94" s="1"/>
        <i x="39" s="1"/>
        <i x="136" s="1"/>
        <i x="186" s="1"/>
        <i x="143" s="1"/>
        <i x="80" s="1"/>
        <i x="88" s="1"/>
        <i x="84" s="1"/>
        <i x="128" s="1"/>
        <i x="102" s="1"/>
        <i x="144" s="1"/>
        <i x="42" s="1"/>
        <i x="10" s="1"/>
        <i x="61" s="1"/>
        <i x="155" s="1"/>
        <i x="75" s="1"/>
        <i x="127" s="1"/>
        <i x="161" s="1"/>
        <i x="68" s="1"/>
        <i x="34" s="1"/>
        <i x="211" s="1"/>
        <i x="67" s="1"/>
        <i x="69" s="1"/>
        <i x="73" s="1"/>
        <i x="158" s="1"/>
        <i x="21" s="1"/>
        <i x="159" s="1"/>
        <i x="11" s="1"/>
        <i x="49" s="1"/>
        <i x="58" s="1"/>
        <i x="117" s="1"/>
        <i x="179" s="1"/>
        <i x="59" s="1"/>
        <i x="115" s="1"/>
        <i x="107" s="1"/>
        <i x="129" s="1"/>
        <i x="22" s="1"/>
        <i x="157" s="1"/>
        <i x="12" s="1"/>
        <i x="23" s="1"/>
        <i x="154" s="1"/>
        <i x="70" s="1"/>
        <i x="116" s="1"/>
        <i x="162" s="1"/>
        <i x="156" s="1"/>
        <i x="101" s="1"/>
        <i x="51" s="1"/>
        <i x="113" s="1"/>
        <i x="114" s="1"/>
        <i x="103" s="1"/>
        <i x="106" s="1"/>
        <i x="53" s="1"/>
        <i x="29" s="1"/>
        <i x="6" s="1"/>
        <i x="118" s="1"/>
        <i x="30" s="1"/>
        <i x="13" s="1"/>
        <i x="31" s="1"/>
        <i x="122" s="1"/>
        <i x="191" s="1"/>
        <i x="55" s="1"/>
        <i x="110" s="1"/>
        <i x="130" s="1"/>
        <i x="72" s="1"/>
        <i x="50" s="1"/>
        <i x="131" s="1"/>
        <i x="28" s="1"/>
        <i x="1" s="1"/>
        <i x="5" s="1"/>
        <i x="19" s="1"/>
        <i x="14" s="1"/>
        <i x="99" s="1"/>
        <i x="185" s="1"/>
        <i x="41" s="1"/>
        <i x="163" s="1"/>
        <i x="111" s="1"/>
        <i x="183" s="1"/>
        <i x="54" s="1"/>
        <i x="2" s="1"/>
        <i x="17" s="1"/>
        <i x="18" s="1"/>
        <i x="149" s="1"/>
        <i x="8" s="1"/>
        <i x="27" s="1"/>
        <i x="7" s="1"/>
        <i x="32" s="1"/>
        <i x="104" s="1"/>
        <i x="112" s="1"/>
        <i x="52" s="1"/>
        <i x="108" s="1"/>
        <i x="56" s="1"/>
        <i x="40" s="1"/>
        <i x="213" s="1"/>
        <i x="16" s="1"/>
        <i x="25" s="1"/>
        <i x="87" s="1"/>
        <i x="173" s="1"/>
        <i x="109" s="1"/>
        <i x="3" s="1"/>
        <i x="4" s="1"/>
        <i x="24" s="1"/>
        <i x="15" s="1"/>
        <i x="212" s="1"/>
        <i x="57" s="1"/>
        <i x="105" s="1"/>
        <i x="26" s="1"/>
        <i x="36" s="1"/>
        <i x="35" s="1"/>
        <i x="170" s="1"/>
        <i x="82" s="1"/>
        <i x="0" s="1"/>
        <i x="65" s="1"/>
        <i x="177" s="1"/>
        <i x="174" s="1"/>
        <i x="175" s="1"/>
        <i x="81" s="1"/>
        <i x="91" s="1"/>
        <i x="167" s="1"/>
        <i x="45" s="1"/>
        <i x="123" s="1"/>
        <i x="37" s="1"/>
        <i x="63" s="1"/>
        <i x="77" s="1"/>
        <i x="132" s="1"/>
        <i x="153" s="1"/>
        <i x="100" s="1"/>
        <i x="137" s="1"/>
        <i x="71" s="1"/>
        <i x="124" s="1"/>
        <i x="168" s="1"/>
        <i x="38" s="1"/>
        <i x="44" s="1"/>
        <i x="150" s="1"/>
        <i x="121" s="1"/>
        <i x="139" s="1"/>
        <i x="43" s="1"/>
        <i x="125" s="1"/>
        <i x="209" s="1"/>
        <i x="152" s="1"/>
        <i x="206" s="1"/>
        <i x="169" s="1"/>
        <i x="46" s="1"/>
        <i x="78" s="1"/>
        <i x="98" s="1"/>
        <i x="200" s="1"/>
        <i x="92" s="1"/>
        <i x="142" s="1"/>
        <i x="79" s="1"/>
        <i x="151" s="1"/>
        <i x="171" s="1"/>
        <i x="126" s="1"/>
        <i x="93" s="1"/>
        <i x="120" s="1"/>
        <i x="207" s="1"/>
        <i x="190" s="1"/>
        <i x="165" s="1"/>
        <i x="83" s="1"/>
        <i x="47" s="1"/>
        <i x="145" s="1"/>
        <i x="95" s="1"/>
        <i x="96" s="1"/>
        <i x="89" s="1"/>
        <i x="60" s="1"/>
        <i x="166" s="1"/>
        <i x="176" s="1"/>
        <i x="48" s="1"/>
        <i x="172" s="1"/>
        <i x="178" s="1"/>
        <i x="180" s="1"/>
        <i x="64" s="1"/>
        <i x="205" s="1"/>
        <i x="134" s="1"/>
        <i x="76" s="1"/>
        <i x="146" s="1"/>
        <i x="66" s="1"/>
        <i x="97" s="1"/>
        <i x="201" s="1"/>
        <i x="194" s="1"/>
        <i x="195" s="1"/>
        <i x="189" s="1"/>
        <i x="182" s="1"/>
        <i x="33" s="1"/>
        <i x="197" s="1"/>
        <i x="204" s="1"/>
        <i x="140" s="1"/>
        <i x="196" s="1"/>
        <i x="141" s="1"/>
        <i x="147" s="1"/>
        <i x="135" s="1"/>
        <i x="202" s="1"/>
        <i x="203" s="1"/>
        <i x="148" s="1"/>
        <i x="19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330F5E7-EBE0-4FB6-9FCF-207CD1287EAA}" sourceName="AGE">
  <pivotTables>
    <pivotTable tabId="5" name="PivotTable2"/>
  </pivotTables>
  <data>
    <tabular pivotCacheId="612863002">
      <items count="90">
        <i x="69" s="1"/>
        <i x="55" s="1"/>
        <i x="61" s="1"/>
        <i x="68" s="1"/>
        <i x="67" s="1"/>
        <i x="65" s="1"/>
        <i x="54" s="1"/>
        <i x="62" s="1"/>
        <i x="16" s="1"/>
        <i x="22" s="1"/>
        <i x="23" s="1"/>
        <i x="24" s="1"/>
        <i x="86" s="1"/>
        <i x="85" s="1"/>
        <i x="57" s="1"/>
        <i x="53" s="1"/>
        <i x="32" s="1"/>
        <i x="21" s="1"/>
        <i x="43" s="1"/>
        <i x="15" s="1"/>
        <i x="25" s="1"/>
        <i x="49" s="1"/>
        <i x="27" s="1"/>
        <i x="28" s="1"/>
        <i x="29" s="1"/>
        <i x="30" s="1"/>
        <i x="31" s="1"/>
        <i x="20" s="1"/>
        <i x="12" s="1"/>
        <i x="42" s="1"/>
        <i x="17" s="1"/>
        <i x="26" s="1"/>
        <i x="60" s="1"/>
        <i x="80" s="1"/>
        <i x="89" s="1"/>
        <i x="81" s="1"/>
        <i x="47" s="1"/>
        <i x="79" s="1"/>
        <i x="38" s="1"/>
        <i x="13" s="1"/>
        <i x="41" s="1"/>
        <i x="18" s="1"/>
        <i x="39" s="1"/>
        <i x="88" s="1"/>
        <i x="87" s="1"/>
        <i x="51" s="1"/>
        <i x="52" s="1"/>
        <i x="37" s="1"/>
        <i x="36" s="1"/>
        <i x="35" s="1"/>
        <i x="34" s="1"/>
        <i x="40" s="1"/>
        <i x="6" s="1"/>
        <i x="70" s="1"/>
        <i x="78" s="1"/>
        <i x="56" s="1"/>
        <i x="48" s="1"/>
        <i x="50" s="1"/>
        <i x="8" s="1"/>
        <i x="9" s="1"/>
        <i x="10" s="1"/>
        <i x="11" s="1"/>
        <i x="44" s="1"/>
        <i x="7" s="1"/>
        <i x="72" s="1"/>
        <i x="59" s="1"/>
        <i x="82" s="1"/>
        <i x="74" s="1"/>
        <i x="75" s="1"/>
        <i x="76" s="1"/>
        <i x="77" s="1"/>
        <i x="58" s="1"/>
        <i x="33" s="1"/>
        <i x="71" s="1"/>
        <i x="14" s="1"/>
        <i x="45" s="1"/>
        <i x="46" s="1"/>
        <i x="0" s="1"/>
        <i x="1" s="1"/>
        <i x="2" s="1"/>
        <i x="3" s="1"/>
        <i x="4" s="1"/>
        <i x="83" s="1"/>
        <i x="19" s="1"/>
        <i x="73" s="1"/>
        <i x="63" s="1"/>
        <i x="66" s="1"/>
        <i x="84" s="1"/>
        <i x="5" s="1"/>
        <i x="6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 xr10:uid="{857D5C45-E9C7-4CCE-A877-6A234123E83C}" cache="Slicer_DEPARTMENT2" caption="DEPARTMENT " startItem="2" rowHeight="234950"/>
  <slicer name="DIAGNOSIS" xr10:uid="{96C1A9CD-427B-4E6D-97ED-6C48CA5D95A1}" cache="Slicer_DIAGNOSIS" caption="DIAGNOSIS" startItem="21" style="SlicerStyleLight6" rowHeight="234950"/>
  <slicer name="TREATMENT COST" xr10:uid="{CD5E4735-9DE7-4F33-B2DF-15CCFBC01E18}" cache="Slicer_TREATMENT_COST" caption="TREATMENT COST" rowHeight="234950"/>
  <slicer name="AGE" xr10:uid="{8E2FD1AB-BEA2-495F-AEFA-649863D4D04D}" cache="Slicer_AGE" caption="AGE" startItem="4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556961-DEB8-48A3-94AD-78DF740209FA}" name="Table2" displayName="Table2" ref="A1:N1001" totalsRowShown="0">
  <autoFilter ref="A1:N1001" xr:uid="{7E556961-DEB8-48A3-94AD-78DF740209FA}"/>
  <sortState xmlns:xlrd2="http://schemas.microsoft.com/office/spreadsheetml/2017/richdata2" ref="A2:N1001">
    <sortCondition ref="M1:M1001"/>
  </sortState>
  <tableColumns count="14">
    <tableColumn id="1" xr3:uid="{0F5FAF68-FDE0-4085-B279-EAEE959F92CF}" name="PATIENT ID"/>
    <tableColumn id="2" xr3:uid="{87B6D115-4804-4410-89D7-61E3FE9C22CB}" name="AGE"/>
    <tableColumn id="3" xr3:uid="{F5C4117D-B010-4097-B920-93C709E471BB}" name="GENDER"/>
    <tableColumn id="4" xr3:uid="{0DF42001-473F-49E8-A726-FAD64932B83F}" name="DEPARTMENT " dataDxfId="6"/>
    <tableColumn id="5" xr3:uid="{38DF76F5-24F2-4A74-92F5-F3CC2EB9C69D}" name="DIAGNOSIS"/>
    <tableColumn id="6" xr3:uid="{73801D4A-DC56-4A3C-9DBB-051AFAC1C05B}" name="ADMISSION DATE" dataDxfId="5"/>
    <tableColumn id="7" xr3:uid="{6501B393-1F53-4F16-BE7B-B5D8D7446276}" name="DISCHARGE DATE" dataDxfId="4"/>
    <tableColumn id="8" xr3:uid="{CF085491-5199-46BD-83C7-1CEC8185386F}" name="LENGTH OF STAY" dataDxfId="3"/>
    <tableColumn id="9" xr3:uid="{7C553309-E55B-4815-907A-045E3155B241}" name="TREATMENT COST" dataDxfId="2"/>
    <tableColumn id="10" xr3:uid="{E416B32D-F1B6-4ECE-A300-4773477E3BA3}" name="INSURANCE TYPE" dataDxfId="1"/>
    <tableColumn id="11" xr3:uid="{5376D7EA-3C2C-4245-B73E-6DDCE65A2533}" name="DOCTOR"/>
    <tableColumn id="12" xr3:uid="{FBDE375E-5030-408A-A9EC-CBDDFE27BEC1}" name="READMISSION"/>
    <tableColumn id="13" xr3:uid="{8FC72B4A-E23E-4647-851C-6B66A1DAE546}" name="OUTCOME" dataDxfId="0"/>
    <tableColumn id="14" xr3:uid="{D9D6A690-3932-45D0-B2DA-750CDCF76F2B}" name="SATISF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E7E6E-3074-4308-B243-694FE03DC098}">
  <dimension ref="A1:N1001"/>
  <sheetViews>
    <sheetView zoomScale="113" workbookViewId="0">
      <selection activeCell="E17" sqref="E17"/>
    </sheetView>
  </sheetViews>
  <sheetFormatPr defaultRowHeight="14.4" x14ac:dyDescent="0.3"/>
  <cols>
    <col min="1" max="1" width="9.5546875" customWidth="1"/>
    <col min="4" max="4" width="16" customWidth="1"/>
    <col min="5" max="5" width="20.77734375" customWidth="1"/>
    <col min="6" max="6" width="15" customWidth="1"/>
    <col min="7" max="7" width="14.77734375" customWidth="1"/>
    <col min="8" max="8" width="14.33203125" customWidth="1"/>
    <col min="9" max="9" width="15.88671875" customWidth="1"/>
    <col min="10" max="10" width="14.33203125" customWidth="1"/>
    <col min="11" max="11" width="12.5546875" customWidth="1"/>
    <col min="12" max="12" width="12" customWidth="1"/>
    <col min="13" max="13" width="9.21875" customWidth="1"/>
    <col min="14" max="14" width="12.88671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2">
        <v>45</v>
      </c>
      <c r="C2" s="2" t="s">
        <v>1014</v>
      </c>
      <c r="D2" s="2" t="s">
        <v>1015</v>
      </c>
      <c r="E2" s="2" t="s">
        <v>1016</v>
      </c>
      <c r="F2" s="3">
        <v>45658</v>
      </c>
      <c r="G2" s="3">
        <v>45667</v>
      </c>
      <c r="H2" s="2">
        <v>10</v>
      </c>
      <c r="I2" s="2">
        <v>25000</v>
      </c>
      <c r="J2" s="2" t="s">
        <v>1017</v>
      </c>
      <c r="K2" s="2" t="s">
        <v>1052</v>
      </c>
      <c r="L2" s="2" t="s">
        <v>1018</v>
      </c>
      <c r="M2" s="2" t="s">
        <v>1019</v>
      </c>
      <c r="N2" s="2">
        <v>4</v>
      </c>
    </row>
    <row r="3" spans="1:14" x14ac:dyDescent="0.3">
      <c r="A3" t="s">
        <v>15</v>
      </c>
      <c r="B3" s="2">
        <v>40</v>
      </c>
      <c r="C3" s="2" t="s">
        <v>1020</v>
      </c>
      <c r="D3" s="2" t="s">
        <v>1021</v>
      </c>
      <c r="E3" s="2" t="s">
        <v>1022</v>
      </c>
      <c r="F3" s="3">
        <v>45659</v>
      </c>
      <c r="G3" s="3">
        <v>45669</v>
      </c>
      <c r="H3" s="2">
        <v>10</v>
      </c>
      <c r="I3" s="2">
        <v>35000</v>
      </c>
      <c r="J3" s="2" t="s">
        <v>1023</v>
      </c>
      <c r="K3" s="2" t="s">
        <v>1147</v>
      </c>
      <c r="L3" s="2" t="s">
        <v>1018</v>
      </c>
      <c r="M3" s="2" t="s">
        <v>1024</v>
      </c>
      <c r="N3" s="2">
        <v>4.5</v>
      </c>
    </row>
    <row r="4" spans="1:14" x14ac:dyDescent="0.3">
      <c r="A4" t="s">
        <v>16</v>
      </c>
      <c r="B4" s="2">
        <v>42</v>
      </c>
      <c r="C4" s="2" t="s">
        <v>1014</v>
      </c>
      <c r="D4" s="2" t="s">
        <v>1025</v>
      </c>
      <c r="E4" s="2" t="s">
        <v>1026</v>
      </c>
      <c r="F4" s="3">
        <v>45661</v>
      </c>
      <c r="G4" s="3">
        <v>45663</v>
      </c>
      <c r="H4" s="2">
        <v>2</v>
      </c>
      <c r="I4" s="2">
        <v>20000</v>
      </c>
      <c r="J4" s="2" t="s">
        <v>1027</v>
      </c>
      <c r="K4" s="2" t="s">
        <v>1046</v>
      </c>
      <c r="L4" s="2" t="s">
        <v>1018</v>
      </c>
      <c r="M4" s="2" t="s">
        <v>1019</v>
      </c>
      <c r="N4" s="2">
        <v>4</v>
      </c>
    </row>
    <row r="5" spans="1:14" x14ac:dyDescent="0.3">
      <c r="A5" t="s">
        <v>17</v>
      </c>
      <c r="B5" s="2">
        <v>30</v>
      </c>
      <c r="C5" s="2" t="s">
        <v>1020</v>
      </c>
      <c r="D5" s="2" t="s">
        <v>1029</v>
      </c>
      <c r="E5" s="2" t="s">
        <v>1030</v>
      </c>
      <c r="F5" s="3">
        <v>45667</v>
      </c>
      <c r="G5" s="3">
        <v>45672</v>
      </c>
      <c r="H5" s="2">
        <v>5</v>
      </c>
      <c r="I5" s="2">
        <v>35000</v>
      </c>
      <c r="J5" s="2" t="s">
        <v>1023</v>
      </c>
      <c r="K5" s="2" t="s">
        <v>1033</v>
      </c>
      <c r="L5" s="2" t="s">
        <v>1018</v>
      </c>
      <c r="M5" s="2" t="s">
        <v>1024</v>
      </c>
      <c r="N5" s="2">
        <v>4</v>
      </c>
    </row>
    <row r="6" spans="1:14" x14ac:dyDescent="0.3">
      <c r="A6" t="s">
        <v>18</v>
      </c>
      <c r="B6" s="2">
        <v>50</v>
      </c>
      <c r="C6" s="2" t="s">
        <v>1014</v>
      </c>
      <c r="D6" s="2" t="s">
        <v>1031</v>
      </c>
      <c r="E6" s="2" t="s">
        <v>1032</v>
      </c>
      <c r="F6" s="3">
        <v>45672</v>
      </c>
      <c r="G6" s="3">
        <v>45677</v>
      </c>
      <c r="H6" s="2">
        <v>5</v>
      </c>
      <c r="I6" s="2">
        <v>40000</v>
      </c>
      <c r="J6" s="2" t="s">
        <v>1017</v>
      </c>
      <c r="K6" s="2" t="s">
        <v>1161</v>
      </c>
      <c r="L6" s="2" t="s">
        <v>1018</v>
      </c>
      <c r="M6" s="2" t="s">
        <v>1019</v>
      </c>
      <c r="N6" s="2">
        <v>3</v>
      </c>
    </row>
    <row r="7" spans="1:14" x14ac:dyDescent="0.3">
      <c r="A7" t="s">
        <v>19</v>
      </c>
      <c r="B7" s="2">
        <v>17</v>
      </c>
      <c r="C7" s="2" t="s">
        <v>1014</v>
      </c>
      <c r="D7" s="2" t="s">
        <v>1031</v>
      </c>
      <c r="E7" s="2" t="s">
        <v>1034</v>
      </c>
      <c r="F7" s="3">
        <v>45675</v>
      </c>
      <c r="G7" s="3">
        <v>45682</v>
      </c>
      <c r="H7" s="2">
        <v>7</v>
      </c>
      <c r="I7" s="2">
        <v>50000</v>
      </c>
      <c r="J7" s="2" t="s">
        <v>1023</v>
      </c>
      <c r="K7" s="2" t="s">
        <v>1161</v>
      </c>
      <c r="L7" s="2" t="s">
        <v>1018</v>
      </c>
      <c r="M7" s="2" t="s">
        <v>1019</v>
      </c>
      <c r="N7" s="2">
        <v>4.2</v>
      </c>
    </row>
    <row r="8" spans="1:14" x14ac:dyDescent="0.3">
      <c r="A8" t="s">
        <v>20</v>
      </c>
      <c r="B8" s="2">
        <v>39</v>
      </c>
      <c r="C8" s="2" t="s">
        <v>1020</v>
      </c>
      <c r="D8" s="2" t="s">
        <v>1035</v>
      </c>
      <c r="E8" s="2" t="s">
        <v>1036</v>
      </c>
      <c r="F8" s="3">
        <v>45677</v>
      </c>
      <c r="G8" s="3">
        <v>45686</v>
      </c>
      <c r="H8" s="2">
        <v>9</v>
      </c>
      <c r="I8" s="2">
        <v>60000</v>
      </c>
      <c r="J8" s="2" t="s">
        <v>1023</v>
      </c>
      <c r="K8" s="2" t="s">
        <v>1106</v>
      </c>
      <c r="L8" s="2" t="s">
        <v>1037</v>
      </c>
      <c r="M8" s="2" t="s">
        <v>1038</v>
      </c>
      <c r="N8" s="2">
        <v>3.6</v>
      </c>
    </row>
    <row r="9" spans="1:14" x14ac:dyDescent="0.3">
      <c r="A9" t="s">
        <v>21</v>
      </c>
      <c r="B9" s="2">
        <v>51</v>
      </c>
      <c r="C9" s="2" t="s">
        <v>1014</v>
      </c>
      <c r="D9" s="2" t="s">
        <v>1031</v>
      </c>
      <c r="E9" s="2" t="s">
        <v>1032</v>
      </c>
      <c r="F9" s="3">
        <v>45679</v>
      </c>
      <c r="G9" s="3">
        <v>45687</v>
      </c>
      <c r="H9" s="2">
        <v>8</v>
      </c>
      <c r="I9" s="2">
        <v>65000</v>
      </c>
      <c r="J9" s="2" t="s">
        <v>1027</v>
      </c>
      <c r="K9" s="2" t="s">
        <v>1161</v>
      </c>
      <c r="L9" s="2" t="s">
        <v>1018</v>
      </c>
      <c r="M9" s="2" t="s">
        <v>1024</v>
      </c>
      <c r="N9" s="2">
        <v>3.5</v>
      </c>
    </row>
    <row r="10" spans="1:14" x14ac:dyDescent="0.3">
      <c r="A10" t="s">
        <v>22</v>
      </c>
      <c r="B10" s="2">
        <v>59</v>
      </c>
      <c r="C10" s="2" t="s">
        <v>1020</v>
      </c>
      <c r="D10" s="2" t="s">
        <v>1039</v>
      </c>
      <c r="E10" s="2" t="s">
        <v>1040</v>
      </c>
      <c r="F10" s="3">
        <v>45681</v>
      </c>
      <c r="G10" s="3">
        <v>45690</v>
      </c>
      <c r="H10" s="2">
        <v>10</v>
      </c>
      <c r="I10" s="2">
        <v>40000</v>
      </c>
      <c r="J10" s="2" t="s">
        <v>1023</v>
      </c>
      <c r="K10" s="2" t="s">
        <v>1059</v>
      </c>
      <c r="L10" s="2" t="s">
        <v>1018</v>
      </c>
      <c r="M10" s="2" t="s">
        <v>1019</v>
      </c>
      <c r="N10" s="2">
        <v>3.4</v>
      </c>
    </row>
    <row r="11" spans="1:14" x14ac:dyDescent="0.3">
      <c r="A11" t="s">
        <v>23</v>
      </c>
      <c r="B11" s="2">
        <v>60</v>
      </c>
      <c r="C11" s="2" t="s">
        <v>1014</v>
      </c>
      <c r="D11" s="2" t="s">
        <v>1041</v>
      </c>
      <c r="E11" s="2" t="s">
        <v>1042</v>
      </c>
      <c r="F11" s="3">
        <v>45682</v>
      </c>
      <c r="G11" s="3">
        <v>45682</v>
      </c>
      <c r="H11" s="2">
        <v>0</v>
      </c>
      <c r="I11" s="2">
        <v>50000</v>
      </c>
      <c r="J11" s="2" t="s">
        <v>1027</v>
      </c>
      <c r="K11" s="2" t="s">
        <v>1128</v>
      </c>
      <c r="L11" s="2" t="s">
        <v>1018</v>
      </c>
      <c r="M11" s="2" t="s">
        <v>1024</v>
      </c>
      <c r="N11" s="2">
        <v>3.3</v>
      </c>
    </row>
    <row r="12" spans="1:14" x14ac:dyDescent="0.3">
      <c r="A12" t="s">
        <v>24</v>
      </c>
      <c r="B12" s="2">
        <v>18</v>
      </c>
      <c r="C12" s="2" t="s">
        <v>1014</v>
      </c>
      <c r="D12" s="2" t="s">
        <v>1039</v>
      </c>
      <c r="E12" s="2" t="s">
        <v>1043</v>
      </c>
      <c r="F12" s="3">
        <v>45683</v>
      </c>
      <c r="G12" s="3">
        <v>45685</v>
      </c>
      <c r="H12" s="2">
        <v>2</v>
      </c>
      <c r="I12" s="2">
        <v>32000</v>
      </c>
      <c r="J12" s="2" t="s">
        <v>1027</v>
      </c>
      <c r="K12" s="2" t="s">
        <v>1059</v>
      </c>
      <c r="L12" s="2" t="s">
        <v>1018</v>
      </c>
      <c r="M12" s="2" t="s">
        <v>1019</v>
      </c>
      <c r="N12" s="2">
        <v>3.2</v>
      </c>
    </row>
    <row r="13" spans="1:14" x14ac:dyDescent="0.3">
      <c r="A13" t="s">
        <v>25</v>
      </c>
      <c r="B13" s="2">
        <v>25</v>
      </c>
      <c r="C13" s="2" t="s">
        <v>1020</v>
      </c>
      <c r="D13" s="2" t="s">
        <v>1025</v>
      </c>
      <c r="E13" s="2" t="s">
        <v>1045</v>
      </c>
      <c r="F13" s="3">
        <v>45684</v>
      </c>
      <c r="G13" s="3">
        <v>45698</v>
      </c>
      <c r="H13" s="2">
        <v>14</v>
      </c>
      <c r="I13" s="2">
        <v>80000</v>
      </c>
      <c r="J13" s="2" t="s">
        <v>1023</v>
      </c>
      <c r="K13" s="2" t="s">
        <v>1046</v>
      </c>
      <c r="L13" s="2" t="s">
        <v>1037</v>
      </c>
      <c r="M13" s="2" t="s">
        <v>1024</v>
      </c>
      <c r="N13" s="2">
        <v>3.1</v>
      </c>
    </row>
    <row r="14" spans="1:14" x14ac:dyDescent="0.3">
      <c r="A14" t="s">
        <v>26</v>
      </c>
      <c r="B14" s="2">
        <v>28</v>
      </c>
      <c r="C14" s="2" t="s">
        <v>1014</v>
      </c>
      <c r="D14" s="2" t="s">
        <v>1015</v>
      </c>
      <c r="E14" s="2" t="s">
        <v>1016</v>
      </c>
      <c r="F14" s="3">
        <v>45686</v>
      </c>
      <c r="G14" s="3">
        <v>45688</v>
      </c>
      <c r="H14" s="2">
        <v>2</v>
      </c>
      <c r="I14" s="2">
        <v>55000</v>
      </c>
      <c r="J14" s="2" t="s">
        <v>1017</v>
      </c>
      <c r="K14" s="2" t="s">
        <v>1052</v>
      </c>
      <c r="L14" s="2" t="s">
        <v>1018</v>
      </c>
      <c r="M14" s="2" t="s">
        <v>1024</v>
      </c>
      <c r="N14" s="2">
        <v>3</v>
      </c>
    </row>
    <row r="15" spans="1:14" x14ac:dyDescent="0.3">
      <c r="A15" t="s">
        <v>27</v>
      </c>
      <c r="B15" s="2">
        <v>32</v>
      </c>
      <c r="C15" s="2" t="s">
        <v>1020</v>
      </c>
      <c r="D15" s="2" t="s">
        <v>1035</v>
      </c>
      <c r="E15" s="2" t="s">
        <v>1047</v>
      </c>
      <c r="F15" s="3">
        <v>45687</v>
      </c>
      <c r="G15" s="3">
        <v>45700</v>
      </c>
      <c r="H15" s="2">
        <v>13</v>
      </c>
      <c r="I15" s="2">
        <v>75000</v>
      </c>
      <c r="J15" s="2" t="s">
        <v>1023</v>
      </c>
      <c r="K15" s="2" t="s">
        <v>1106</v>
      </c>
      <c r="L15" s="2" t="s">
        <v>1037</v>
      </c>
      <c r="M15" s="2" t="s">
        <v>1024</v>
      </c>
      <c r="N15" s="2">
        <v>2.9</v>
      </c>
    </row>
    <row r="16" spans="1:14" x14ac:dyDescent="0.3">
      <c r="A16" t="s">
        <v>28</v>
      </c>
      <c r="B16" s="2">
        <v>33</v>
      </c>
      <c r="C16" s="2" t="s">
        <v>1020</v>
      </c>
      <c r="D16" s="2" t="s">
        <v>1048</v>
      </c>
      <c r="E16" s="2" t="s">
        <v>1049</v>
      </c>
      <c r="F16" s="3">
        <v>45690</v>
      </c>
      <c r="G16" s="3">
        <v>45692</v>
      </c>
      <c r="H16" s="2">
        <v>2</v>
      </c>
      <c r="I16" s="2">
        <v>34000</v>
      </c>
      <c r="J16" s="2" t="s">
        <v>1027</v>
      </c>
      <c r="K16" s="2" t="s">
        <v>1028</v>
      </c>
      <c r="L16" s="2" t="s">
        <v>1018</v>
      </c>
      <c r="M16" s="2" t="s">
        <v>1019</v>
      </c>
      <c r="N16" s="2">
        <v>2.8</v>
      </c>
    </row>
    <row r="17" spans="1:14" x14ac:dyDescent="0.3">
      <c r="A17" t="s">
        <v>29</v>
      </c>
      <c r="B17" s="2">
        <v>61</v>
      </c>
      <c r="C17" s="2" t="s">
        <v>1020</v>
      </c>
      <c r="D17" s="2" t="s">
        <v>1015</v>
      </c>
      <c r="E17" s="2" t="s">
        <v>1016</v>
      </c>
      <c r="F17" s="3">
        <v>45692</v>
      </c>
      <c r="G17" s="3">
        <v>45697</v>
      </c>
      <c r="H17" s="2">
        <v>5</v>
      </c>
      <c r="I17" s="2">
        <v>57000</v>
      </c>
      <c r="J17" s="2" t="s">
        <v>1023</v>
      </c>
      <c r="K17" s="2" t="s">
        <v>1052</v>
      </c>
      <c r="L17" s="2" t="s">
        <v>1037</v>
      </c>
      <c r="M17" s="2" t="s">
        <v>1024</v>
      </c>
      <c r="N17" s="2">
        <v>2.7</v>
      </c>
    </row>
    <row r="18" spans="1:14" x14ac:dyDescent="0.3">
      <c r="A18" t="s">
        <v>30</v>
      </c>
      <c r="B18" s="2">
        <v>54</v>
      </c>
      <c r="C18" s="2" t="s">
        <v>1014</v>
      </c>
      <c r="D18" s="2" t="s">
        <v>1015</v>
      </c>
      <c r="E18" s="2" t="s">
        <v>1016</v>
      </c>
      <c r="F18" s="3">
        <v>45693</v>
      </c>
      <c r="G18" s="3">
        <v>45698</v>
      </c>
      <c r="H18" s="2">
        <v>5</v>
      </c>
      <c r="I18" s="2">
        <v>65000</v>
      </c>
      <c r="J18" s="2" t="s">
        <v>1023</v>
      </c>
      <c r="K18" s="2" t="s">
        <v>1052</v>
      </c>
      <c r="L18" s="2" t="s">
        <v>1037</v>
      </c>
      <c r="M18" s="2" t="s">
        <v>1038</v>
      </c>
      <c r="N18" s="2">
        <v>2.6</v>
      </c>
    </row>
    <row r="19" spans="1:14" x14ac:dyDescent="0.3">
      <c r="A19" t="s">
        <v>31</v>
      </c>
      <c r="B19" s="2">
        <v>49</v>
      </c>
      <c r="C19" s="2" t="s">
        <v>1014</v>
      </c>
      <c r="D19" s="2" t="s">
        <v>1029</v>
      </c>
      <c r="E19" s="2" t="s">
        <v>1050</v>
      </c>
      <c r="F19" s="3">
        <v>45695</v>
      </c>
      <c r="G19" s="3">
        <v>45708</v>
      </c>
      <c r="H19" s="2">
        <v>13</v>
      </c>
      <c r="I19" s="2">
        <v>90000</v>
      </c>
      <c r="J19" s="2" t="s">
        <v>1023</v>
      </c>
      <c r="K19" s="2" t="s">
        <v>1033</v>
      </c>
      <c r="L19" s="2" t="s">
        <v>1037</v>
      </c>
      <c r="M19" s="2" t="s">
        <v>1024</v>
      </c>
      <c r="N19" s="2">
        <v>2.5</v>
      </c>
    </row>
    <row r="20" spans="1:14" x14ac:dyDescent="0.3">
      <c r="A20" t="s">
        <v>32</v>
      </c>
      <c r="B20" s="2">
        <v>47</v>
      </c>
      <c r="C20" s="2" t="s">
        <v>1020</v>
      </c>
      <c r="D20" s="2" t="s">
        <v>1039</v>
      </c>
      <c r="E20" s="2" t="s">
        <v>1043</v>
      </c>
      <c r="F20" s="3">
        <v>45698</v>
      </c>
      <c r="G20" s="3">
        <v>45700</v>
      </c>
      <c r="H20" s="2">
        <v>2</v>
      </c>
      <c r="I20" s="2">
        <v>55000</v>
      </c>
      <c r="J20" s="2" t="s">
        <v>1027</v>
      </c>
      <c r="K20" s="2" t="s">
        <v>1059</v>
      </c>
      <c r="L20" s="2" t="s">
        <v>1018</v>
      </c>
      <c r="M20" s="2" t="s">
        <v>1038</v>
      </c>
      <c r="N20" s="2">
        <v>2.4</v>
      </c>
    </row>
    <row r="21" spans="1:14" x14ac:dyDescent="0.3">
      <c r="A21" t="s">
        <v>33</v>
      </c>
      <c r="B21" s="2">
        <v>48</v>
      </c>
      <c r="C21" s="2" t="s">
        <v>1014</v>
      </c>
      <c r="D21" s="2" t="s">
        <v>1015</v>
      </c>
      <c r="E21" s="2" t="s">
        <v>1016</v>
      </c>
      <c r="F21" s="3">
        <v>45700</v>
      </c>
      <c r="G21" s="3">
        <v>45707</v>
      </c>
      <c r="H21" s="2">
        <v>7</v>
      </c>
      <c r="I21" s="2">
        <v>43000</v>
      </c>
      <c r="J21" s="2" t="s">
        <v>1027</v>
      </c>
      <c r="K21" s="2" t="s">
        <v>1052</v>
      </c>
      <c r="L21" s="2" t="s">
        <v>1018</v>
      </c>
      <c r="M21" s="2" t="s">
        <v>1038</v>
      </c>
      <c r="N21" s="2">
        <v>2.2999999999999998</v>
      </c>
    </row>
    <row r="22" spans="1:14" x14ac:dyDescent="0.3">
      <c r="A22" t="s">
        <v>34</v>
      </c>
      <c r="B22" s="2">
        <v>50</v>
      </c>
      <c r="C22" s="2" t="s">
        <v>1020</v>
      </c>
      <c r="D22" s="2" t="s">
        <v>1041</v>
      </c>
      <c r="E22" s="2" t="s">
        <v>1051</v>
      </c>
      <c r="F22" s="3">
        <v>45702</v>
      </c>
      <c r="G22" s="3">
        <v>45708</v>
      </c>
      <c r="H22" s="2">
        <v>6</v>
      </c>
      <c r="I22" s="2">
        <v>55000</v>
      </c>
      <c r="J22" s="2" t="s">
        <v>1023</v>
      </c>
      <c r="K22" s="2" t="s">
        <v>1128</v>
      </c>
      <c r="L22" s="2" t="s">
        <v>1037</v>
      </c>
      <c r="M22" s="2" t="s">
        <v>1024</v>
      </c>
      <c r="N22" s="2">
        <v>2.2000000000000002</v>
      </c>
    </row>
    <row r="23" spans="1:14" x14ac:dyDescent="0.3">
      <c r="A23" t="s">
        <v>35</v>
      </c>
      <c r="B23" s="2">
        <v>16</v>
      </c>
      <c r="C23" s="2" t="s">
        <v>1014</v>
      </c>
      <c r="D23" s="2" t="s">
        <v>1031</v>
      </c>
      <c r="E23" s="2" t="s">
        <v>1053</v>
      </c>
      <c r="F23" s="3">
        <v>45703</v>
      </c>
      <c r="G23" s="3">
        <v>45710</v>
      </c>
      <c r="H23" s="2">
        <v>7</v>
      </c>
      <c r="I23" s="2">
        <v>44000</v>
      </c>
      <c r="J23" s="2" t="s">
        <v>1027</v>
      </c>
      <c r="K23" s="2" t="s">
        <v>1161</v>
      </c>
      <c r="L23" s="2" t="s">
        <v>1018</v>
      </c>
      <c r="M23" s="2" t="s">
        <v>1019</v>
      </c>
      <c r="N23" s="2">
        <v>2.1</v>
      </c>
    </row>
    <row r="24" spans="1:14" x14ac:dyDescent="0.3">
      <c r="A24" t="s">
        <v>36</v>
      </c>
      <c r="B24" s="2">
        <v>19</v>
      </c>
      <c r="C24" s="2" t="s">
        <v>1014</v>
      </c>
      <c r="D24" s="2" t="s">
        <v>1031</v>
      </c>
      <c r="E24" s="2" t="s">
        <v>1054</v>
      </c>
      <c r="F24" s="3">
        <v>45708</v>
      </c>
      <c r="G24" s="3">
        <v>45715</v>
      </c>
      <c r="H24" s="2">
        <v>7</v>
      </c>
      <c r="I24" s="2">
        <v>56000</v>
      </c>
      <c r="J24" s="2" t="s">
        <v>1017</v>
      </c>
      <c r="K24" s="2" t="s">
        <v>1161</v>
      </c>
      <c r="L24" s="2" t="s">
        <v>1037</v>
      </c>
      <c r="M24" s="2" t="s">
        <v>1019</v>
      </c>
      <c r="N24" s="2">
        <v>2</v>
      </c>
    </row>
    <row r="25" spans="1:14" x14ac:dyDescent="0.3">
      <c r="A25" t="s">
        <v>37</v>
      </c>
      <c r="B25" s="2">
        <v>22</v>
      </c>
      <c r="C25" s="2" t="s">
        <v>1020</v>
      </c>
      <c r="D25" s="2" t="s">
        <v>1025</v>
      </c>
      <c r="E25" s="2" t="s">
        <v>1055</v>
      </c>
      <c r="F25" s="3">
        <v>45710</v>
      </c>
      <c r="G25" s="3">
        <v>45715</v>
      </c>
      <c r="H25" s="2">
        <v>5</v>
      </c>
      <c r="I25" s="2">
        <v>76000</v>
      </c>
      <c r="J25" s="2" t="s">
        <v>1017</v>
      </c>
      <c r="K25" s="2" t="s">
        <v>1046</v>
      </c>
      <c r="L25" s="2" t="s">
        <v>1037</v>
      </c>
      <c r="M25" s="2" t="s">
        <v>1019</v>
      </c>
      <c r="N25" s="2">
        <v>4</v>
      </c>
    </row>
    <row r="26" spans="1:14" x14ac:dyDescent="0.3">
      <c r="A26" t="s">
        <v>38</v>
      </c>
      <c r="B26" s="2">
        <v>24</v>
      </c>
      <c r="C26" s="2" t="s">
        <v>1020</v>
      </c>
      <c r="D26" s="2" t="s">
        <v>1039</v>
      </c>
      <c r="E26" s="2" t="s">
        <v>1043</v>
      </c>
      <c r="F26" s="3">
        <v>45712</v>
      </c>
      <c r="G26" s="3">
        <v>45716</v>
      </c>
      <c r="H26" s="2">
        <v>4</v>
      </c>
      <c r="I26" s="2">
        <v>60000</v>
      </c>
      <c r="J26" s="2" t="s">
        <v>1023</v>
      </c>
      <c r="K26" s="2" t="s">
        <v>1059</v>
      </c>
      <c r="L26" s="2" t="s">
        <v>1018</v>
      </c>
      <c r="M26" s="2" t="s">
        <v>1019</v>
      </c>
      <c r="N26" s="2">
        <v>3</v>
      </c>
    </row>
    <row r="27" spans="1:14" x14ac:dyDescent="0.3">
      <c r="A27" t="s">
        <v>39</v>
      </c>
      <c r="B27" s="2">
        <v>30</v>
      </c>
      <c r="C27" s="2" t="s">
        <v>1014</v>
      </c>
      <c r="D27" s="2" t="s">
        <v>1015</v>
      </c>
      <c r="E27" s="2" t="s">
        <v>1016</v>
      </c>
      <c r="F27" s="3">
        <v>45716</v>
      </c>
      <c r="G27" s="3">
        <v>45719</v>
      </c>
      <c r="H27" s="2">
        <v>3</v>
      </c>
      <c r="I27" s="2">
        <v>55000</v>
      </c>
      <c r="J27" s="2" t="s">
        <v>1017</v>
      </c>
      <c r="K27" s="2" t="s">
        <v>1052</v>
      </c>
      <c r="L27" s="2" t="s">
        <v>1018</v>
      </c>
      <c r="M27" s="2" t="s">
        <v>1038</v>
      </c>
      <c r="N27" s="2">
        <v>4</v>
      </c>
    </row>
    <row r="28" spans="1:14" x14ac:dyDescent="0.3">
      <c r="A28" t="s">
        <v>40</v>
      </c>
      <c r="B28" s="2">
        <v>44</v>
      </c>
      <c r="C28" s="2" t="s">
        <v>1020</v>
      </c>
      <c r="D28" s="2" t="s">
        <v>1041</v>
      </c>
      <c r="E28" s="2" t="s">
        <v>1042</v>
      </c>
      <c r="F28" s="3">
        <v>45720</v>
      </c>
      <c r="G28" s="3">
        <v>45725</v>
      </c>
      <c r="H28" s="2">
        <v>5</v>
      </c>
      <c r="I28" s="2">
        <v>45000</v>
      </c>
      <c r="J28" s="2" t="s">
        <v>1027</v>
      </c>
      <c r="K28" s="2" t="s">
        <v>1128</v>
      </c>
      <c r="L28" s="2" t="s">
        <v>1037</v>
      </c>
      <c r="M28" s="2" t="s">
        <v>1038</v>
      </c>
      <c r="N28" s="2">
        <v>3.4</v>
      </c>
    </row>
    <row r="29" spans="1:14" x14ac:dyDescent="0.3">
      <c r="A29" t="s">
        <v>41</v>
      </c>
      <c r="B29" s="2">
        <v>65</v>
      </c>
      <c r="C29" s="2" t="s">
        <v>1014</v>
      </c>
      <c r="D29" s="2" t="s">
        <v>1029</v>
      </c>
      <c r="E29" s="2" t="s">
        <v>1030</v>
      </c>
      <c r="F29" s="3">
        <v>45721</v>
      </c>
      <c r="G29" s="3">
        <v>45726</v>
      </c>
      <c r="H29" s="2">
        <v>5</v>
      </c>
      <c r="I29" s="2">
        <v>84000</v>
      </c>
      <c r="J29" s="2" t="s">
        <v>1027</v>
      </c>
      <c r="K29" s="2" t="s">
        <v>1033</v>
      </c>
      <c r="L29" s="2" t="s">
        <v>1018</v>
      </c>
      <c r="M29" s="2" t="s">
        <v>1024</v>
      </c>
      <c r="N29" s="2">
        <v>4</v>
      </c>
    </row>
    <row r="30" spans="1:14" x14ac:dyDescent="0.3">
      <c r="A30" t="s">
        <v>42</v>
      </c>
      <c r="B30" s="2">
        <v>33</v>
      </c>
      <c r="C30" s="2" t="s">
        <v>1020</v>
      </c>
      <c r="D30" s="2" t="s">
        <v>1031</v>
      </c>
      <c r="E30" s="2" t="s">
        <v>1056</v>
      </c>
      <c r="F30" s="3">
        <v>45725</v>
      </c>
      <c r="G30" s="3">
        <v>45728</v>
      </c>
      <c r="H30" s="2">
        <v>3</v>
      </c>
      <c r="I30" s="2">
        <v>90000</v>
      </c>
      <c r="J30" s="2" t="s">
        <v>1023</v>
      </c>
      <c r="K30" s="2" t="s">
        <v>1161</v>
      </c>
      <c r="L30" s="2" t="s">
        <v>1037</v>
      </c>
      <c r="M30" s="2" t="s">
        <v>1024</v>
      </c>
      <c r="N30" s="2">
        <v>4</v>
      </c>
    </row>
    <row r="31" spans="1:14" x14ac:dyDescent="0.3">
      <c r="A31" t="s">
        <v>43</v>
      </c>
      <c r="B31" s="2">
        <v>32</v>
      </c>
      <c r="C31" s="2" t="s">
        <v>1014</v>
      </c>
      <c r="D31" s="2" t="s">
        <v>1025</v>
      </c>
      <c r="E31" s="2" t="s">
        <v>1026</v>
      </c>
      <c r="F31" s="3">
        <v>45726</v>
      </c>
      <c r="G31" s="3">
        <v>45730</v>
      </c>
      <c r="H31" s="2">
        <v>4</v>
      </c>
      <c r="I31" s="2">
        <v>76000</v>
      </c>
      <c r="J31" s="2" t="s">
        <v>1017</v>
      </c>
      <c r="K31" s="2" t="s">
        <v>1046</v>
      </c>
      <c r="L31" s="2" t="s">
        <v>1018</v>
      </c>
      <c r="M31" s="2" t="s">
        <v>1019</v>
      </c>
      <c r="N31" s="2">
        <v>3.5</v>
      </c>
    </row>
    <row r="32" spans="1:14" x14ac:dyDescent="0.3">
      <c r="A32" t="s">
        <v>44</v>
      </c>
      <c r="B32" s="2">
        <v>36</v>
      </c>
      <c r="C32" s="2" t="s">
        <v>1014</v>
      </c>
      <c r="D32" s="2" t="s">
        <v>1029</v>
      </c>
      <c r="E32" s="2" t="s">
        <v>1057</v>
      </c>
      <c r="F32" s="3">
        <v>45728</v>
      </c>
      <c r="G32" s="3">
        <v>45736</v>
      </c>
      <c r="H32" s="2">
        <v>8</v>
      </c>
      <c r="I32" s="2">
        <v>99000</v>
      </c>
      <c r="J32" s="2" t="s">
        <v>1017</v>
      </c>
      <c r="K32" s="2" t="s">
        <v>1033</v>
      </c>
      <c r="L32" s="2" t="s">
        <v>1037</v>
      </c>
      <c r="M32" s="2" t="s">
        <v>1038</v>
      </c>
      <c r="N32" s="2">
        <v>5</v>
      </c>
    </row>
    <row r="33" spans="1:14" x14ac:dyDescent="0.3">
      <c r="A33" t="s">
        <v>45</v>
      </c>
      <c r="B33" s="2">
        <v>39</v>
      </c>
      <c r="C33" s="2" t="s">
        <v>1020</v>
      </c>
      <c r="D33" s="2" t="s">
        <v>1048</v>
      </c>
      <c r="E33" s="2" t="s">
        <v>1058</v>
      </c>
      <c r="F33" s="3">
        <v>45729</v>
      </c>
      <c r="G33" s="3">
        <v>45731</v>
      </c>
      <c r="H33" s="2">
        <v>2</v>
      </c>
      <c r="I33" s="2">
        <v>15000</v>
      </c>
      <c r="J33" s="2" t="s">
        <v>1027</v>
      </c>
      <c r="K33" s="2" t="s">
        <v>1028</v>
      </c>
      <c r="L33" s="2" t="s">
        <v>1037</v>
      </c>
      <c r="M33" s="2" t="s">
        <v>1019</v>
      </c>
      <c r="N33" s="2">
        <v>5</v>
      </c>
    </row>
    <row r="34" spans="1:14" x14ac:dyDescent="0.3">
      <c r="A34" t="s">
        <v>46</v>
      </c>
      <c r="B34" s="2">
        <v>40</v>
      </c>
      <c r="C34" s="2" t="s">
        <v>1020</v>
      </c>
      <c r="D34" s="2" t="s">
        <v>1021</v>
      </c>
      <c r="E34" s="2" t="s">
        <v>1060</v>
      </c>
      <c r="F34" s="3">
        <v>45731</v>
      </c>
      <c r="G34" s="3">
        <v>45735</v>
      </c>
      <c r="H34" s="2">
        <v>3</v>
      </c>
      <c r="I34" s="2">
        <v>25000</v>
      </c>
      <c r="J34" s="2" t="s">
        <v>1017</v>
      </c>
      <c r="K34" s="2" t="s">
        <v>1147</v>
      </c>
      <c r="L34" s="2" t="s">
        <v>1018</v>
      </c>
      <c r="M34" s="2" t="s">
        <v>1038</v>
      </c>
      <c r="N34" s="2">
        <v>4</v>
      </c>
    </row>
    <row r="35" spans="1:14" x14ac:dyDescent="0.3">
      <c r="A35" t="s">
        <v>47</v>
      </c>
      <c r="B35" s="2">
        <v>50</v>
      </c>
      <c r="C35" s="2" t="s">
        <v>1014</v>
      </c>
      <c r="D35" s="2" t="s">
        <v>1029</v>
      </c>
      <c r="E35" s="2" t="s">
        <v>1061</v>
      </c>
      <c r="F35" s="3">
        <v>45732</v>
      </c>
      <c r="G35" s="3">
        <v>45742</v>
      </c>
      <c r="H35" s="2">
        <v>10</v>
      </c>
      <c r="I35" s="2">
        <v>78000</v>
      </c>
      <c r="J35" s="2" t="s">
        <v>1023</v>
      </c>
      <c r="K35" s="2" t="s">
        <v>1033</v>
      </c>
      <c r="L35" s="2" t="s">
        <v>1018</v>
      </c>
      <c r="M35" s="2" t="s">
        <v>1019</v>
      </c>
      <c r="N35" s="2">
        <v>5</v>
      </c>
    </row>
    <row r="36" spans="1:14" x14ac:dyDescent="0.3">
      <c r="A36" t="s">
        <v>48</v>
      </c>
      <c r="B36" s="2">
        <v>51</v>
      </c>
      <c r="C36" s="2" t="s">
        <v>1014</v>
      </c>
      <c r="D36" s="2" t="s">
        <v>1025</v>
      </c>
      <c r="E36" s="2" t="s">
        <v>1062</v>
      </c>
      <c r="F36" s="3">
        <v>45734</v>
      </c>
      <c r="G36" s="3">
        <v>45741</v>
      </c>
      <c r="H36" s="2">
        <v>7</v>
      </c>
      <c r="I36" s="2">
        <v>89000</v>
      </c>
      <c r="J36" s="2" t="s">
        <v>1023</v>
      </c>
      <c r="K36" s="2" t="s">
        <v>1046</v>
      </c>
      <c r="L36" s="2" t="s">
        <v>1037</v>
      </c>
      <c r="M36" s="2" t="s">
        <v>1019</v>
      </c>
      <c r="N36" s="2">
        <v>4</v>
      </c>
    </row>
    <row r="37" spans="1:14" x14ac:dyDescent="0.3">
      <c r="A37" t="s">
        <v>49</v>
      </c>
      <c r="B37" s="2">
        <v>34</v>
      </c>
      <c r="C37" s="2" t="s">
        <v>1020</v>
      </c>
      <c r="D37" s="2" t="s">
        <v>1048</v>
      </c>
      <c r="E37" s="2" t="s">
        <v>1063</v>
      </c>
      <c r="F37" s="3">
        <v>45735</v>
      </c>
      <c r="G37" s="3">
        <v>45739</v>
      </c>
      <c r="H37" s="2">
        <v>4</v>
      </c>
      <c r="I37" s="2">
        <v>55000</v>
      </c>
      <c r="J37" s="2" t="s">
        <v>1027</v>
      </c>
      <c r="K37" s="2" t="s">
        <v>1028</v>
      </c>
      <c r="L37" s="2" t="s">
        <v>1037</v>
      </c>
      <c r="M37" s="2" t="s">
        <v>1019</v>
      </c>
      <c r="N37" s="2">
        <v>4</v>
      </c>
    </row>
    <row r="38" spans="1:14" x14ac:dyDescent="0.3">
      <c r="A38" t="s">
        <v>50</v>
      </c>
      <c r="B38" s="2">
        <v>24</v>
      </c>
      <c r="C38" s="2" t="s">
        <v>1020</v>
      </c>
      <c r="D38" s="2" t="s">
        <v>1029</v>
      </c>
      <c r="E38" s="2" t="s">
        <v>1064</v>
      </c>
      <c r="F38" s="3">
        <v>45736</v>
      </c>
      <c r="G38" s="3">
        <v>45740</v>
      </c>
      <c r="H38" s="2">
        <v>4</v>
      </c>
      <c r="I38" s="2">
        <v>43000</v>
      </c>
      <c r="J38" s="2" t="s">
        <v>1017</v>
      </c>
      <c r="K38" s="2" t="s">
        <v>1033</v>
      </c>
      <c r="L38" s="2" t="s">
        <v>1018</v>
      </c>
      <c r="M38" s="2" t="s">
        <v>1019</v>
      </c>
      <c r="N38" s="2">
        <v>5</v>
      </c>
    </row>
    <row r="39" spans="1:14" x14ac:dyDescent="0.3">
      <c r="A39" t="s">
        <v>51</v>
      </c>
      <c r="B39" s="2">
        <v>33</v>
      </c>
      <c r="C39" s="2" t="s">
        <v>1014</v>
      </c>
      <c r="D39" s="2" t="s">
        <v>1021</v>
      </c>
      <c r="E39" s="2" t="s">
        <v>1065</v>
      </c>
      <c r="F39" s="3">
        <v>45738</v>
      </c>
      <c r="G39" s="3">
        <v>45746</v>
      </c>
      <c r="H39" s="2">
        <v>8</v>
      </c>
      <c r="I39" s="2">
        <v>100000</v>
      </c>
      <c r="J39" s="2" t="s">
        <v>1023</v>
      </c>
      <c r="K39" s="2" t="s">
        <v>1147</v>
      </c>
      <c r="L39" s="2" t="s">
        <v>1037</v>
      </c>
      <c r="M39" s="2" t="s">
        <v>1019</v>
      </c>
      <c r="N39" s="2">
        <v>4.9000000000000004</v>
      </c>
    </row>
    <row r="40" spans="1:14" x14ac:dyDescent="0.3">
      <c r="A40" t="s">
        <v>52</v>
      </c>
      <c r="B40" s="2">
        <v>25</v>
      </c>
      <c r="C40" s="2" t="s">
        <v>1014</v>
      </c>
      <c r="D40" s="2" t="s">
        <v>1041</v>
      </c>
      <c r="E40" s="2" t="s">
        <v>1066</v>
      </c>
      <c r="F40" s="3">
        <v>45740</v>
      </c>
      <c r="G40" s="3">
        <v>45743</v>
      </c>
      <c r="H40" s="2">
        <v>3</v>
      </c>
      <c r="I40" s="2">
        <v>29000</v>
      </c>
      <c r="J40" s="2" t="s">
        <v>1027</v>
      </c>
      <c r="K40" s="2" t="s">
        <v>1128</v>
      </c>
      <c r="L40" s="2" t="s">
        <v>1018</v>
      </c>
      <c r="M40" s="2" t="s">
        <v>1024</v>
      </c>
      <c r="N40" s="2">
        <v>3</v>
      </c>
    </row>
    <row r="41" spans="1:14" x14ac:dyDescent="0.3">
      <c r="A41" t="s">
        <v>53</v>
      </c>
      <c r="B41" s="2">
        <v>66</v>
      </c>
      <c r="C41" s="2" t="s">
        <v>1014</v>
      </c>
      <c r="D41" s="2" t="s">
        <v>1031</v>
      </c>
      <c r="E41" s="2" t="s">
        <v>1067</v>
      </c>
      <c r="F41" s="3">
        <v>45742</v>
      </c>
      <c r="G41" s="3">
        <v>45746</v>
      </c>
      <c r="H41" s="2">
        <v>4</v>
      </c>
      <c r="I41" s="2">
        <v>35000</v>
      </c>
      <c r="J41" s="2" t="s">
        <v>1017</v>
      </c>
      <c r="K41" s="2" t="s">
        <v>1161</v>
      </c>
      <c r="L41" s="2" t="s">
        <v>1018</v>
      </c>
      <c r="M41" s="2" t="s">
        <v>1024</v>
      </c>
      <c r="N41" s="2">
        <v>5</v>
      </c>
    </row>
    <row r="42" spans="1:14" x14ac:dyDescent="0.3">
      <c r="A42" t="s">
        <v>54</v>
      </c>
      <c r="B42" s="2">
        <v>59</v>
      </c>
      <c r="C42" s="2" t="s">
        <v>1020</v>
      </c>
      <c r="D42" s="2" t="s">
        <v>1025</v>
      </c>
      <c r="E42" s="2" t="s">
        <v>1068</v>
      </c>
      <c r="F42" s="3">
        <v>45743</v>
      </c>
      <c r="G42" s="3">
        <v>45747</v>
      </c>
      <c r="H42" s="2">
        <v>4</v>
      </c>
      <c r="I42" s="2">
        <v>66000</v>
      </c>
      <c r="J42" s="2" t="s">
        <v>1017</v>
      </c>
      <c r="K42" s="2" t="s">
        <v>1046</v>
      </c>
      <c r="L42" s="2" t="s">
        <v>1018</v>
      </c>
      <c r="M42" s="2" t="s">
        <v>1019</v>
      </c>
      <c r="N42" s="2">
        <v>5</v>
      </c>
    </row>
    <row r="43" spans="1:14" x14ac:dyDescent="0.3">
      <c r="A43" t="s">
        <v>55</v>
      </c>
      <c r="B43" s="2">
        <v>49</v>
      </c>
      <c r="C43" s="2" t="s">
        <v>1020</v>
      </c>
      <c r="D43" s="2" t="s">
        <v>1021</v>
      </c>
      <c r="E43" s="2" t="s">
        <v>1069</v>
      </c>
      <c r="F43" s="3">
        <v>45744</v>
      </c>
      <c r="G43" s="3">
        <v>45750</v>
      </c>
      <c r="H43" s="2">
        <v>6</v>
      </c>
      <c r="I43" s="2">
        <v>89590</v>
      </c>
      <c r="J43" s="2" t="s">
        <v>1023</v>
      </c>
      <c r="K43" s="2" t="s">
        <v>1147</v>
      </c>
      <c r="L43" s="2" t="s">
        <v>1037</v>
      </c>
      <c r="M43" s="2" t="s">
        <v>1038</v>
      </c>
      <c r="N43" s="2">
        <v>4</v>
      </c>
    </row>
    <row r="44" spans="1:14" x14ac:dyDescent="0.3">
      <c r="A44" t="s">
        <v>56</v>
      </c>
      <c r="B44" s="2">
        <v>44</v>
      </c>
      <c r="C44" s="2" t="s">
        <v>1020</v>
      </c>
      <c r="D44" s="2" t="s">
        <v>1015</v>
      </c>
      <c r="E44" s="2" t="s">
        <v>1070</v>
      </c>
      <c r="F44" s="3">
        <v>45747</v>
      </c>
      <c r="G44" s="3">
        <v>45751</v>
      </c>
      <c r="H44" s="2">
        <v>4</v>
      </c>
      <c r="I44" s="2">
        <v>99000</v>
      </c>
      <c r="J44" s="2" t="s">
        <v>1027</v>
      </c>
      <c r="K44" s="2" t="s">
        <v>1052</v>
      </c>
      <c r="L44" s="2" t="s">
        <v>1018</v>
      </c>
      <c r="M44" s="2" t="s">
        <v>1024</v>
      </c>
      <c r="N44" s="2">
        <v>4</v>
      </c>
    </row>
    <row r="45" spans="1:14" x14ac:dyDescent="0.3">
      <c r="A45" t="s">
        <v>57</v>
      </c>
      <c r="B45" s="2">
        <v>38</v>
      </c>
      <c r="C45" s="2" t="s">
        <v>1020</v>
      </c>
      <c r="D45" s="2" t="s">
        <v>1029</v>
      </c>
      <c r="E45" s="2" t="s">
        <v>1071</v>
      </c>
      <c r="F45" s="3">
        <v>45748</v>
      </c>
      <c r="G45" s="3">
        <v>45752</v>
      </c>
      <c r="H45" s="2">
        <v>4</v>
      </c>
      <c r="I45" s="2">
        <v>55000</v>
      </c>
      <c r="J45" s="2" t="s">
        <v>1027</v>
      </c>
      <c r="K45" s="2" t="s">
        <v>1033</v>
      </c>
      <c r="L45" s="2" t="s">
        <v>1037</v>
      </c>
      <c r="M45" s="2" t="s">
        <v>1038</v>
      </c>
      <c r="N45" s="2">
        <v>4</v>
      </c>
    </row>
    <row r="46" spans="1:14" x14ac:dyDescent="0.3">
      <c r="A46" t="s">
        <v>58</v>
      </c>
      <c r="B46" s="2">
        <v>39</v>
      </c>
      <c r="C46" s="2" t="s">
        <v>1014</v>
      </c>
      <c r="D46" s="2" t="s">
        <v>1039</v>
      </c>
      <c r="E46" s="2" t="s">
        <v>1072</v>
      </c>
      <c r="F46" s="3">
        <v>45749</v>
      </c>
      <c r="G46" s="3">
        <v>45750</v>
      </c>
      <c r="H46" s="2">
        <v>1</v>
      </c>
      <c r="I46" s="2">
        <v>45000</v>
      </c>
      <c r="J46" s="2" t="s">
        <v>1023</v>
      </c>
      <c r="K46" s="2" t="s">
        <v>1059</v>
      </c>
      <c r="L46" s="2" t="s">
        <v>1018</v>
      </c>
      <c r="M46" s="2" t="s">
        <v>1019</v>
      </c>
      <c r="N46" s="2">
        <v>5</v>
      </c>
    </row>
    <row r="47" spans="1:14" x14ac:dyDescent="0.3">
      <c r="A47" t="s">
        <v>59</v>
      </c>
      <c r="B47" s="2">
        <v>12</v>
      </c>
      <c r="C47" s="2" t="s">
        <v>1014</v>
      </c>
      <c r="D47" s="2" t="s">
        <v>1021</v>
      </c>
      <c r="E47" s="2" t="s">
        <v>1069</v>
      </c>
      <c r="F47" s="3">
        <v>45750</v>
      </c>
      <c r="G47" s="3">
        <v>45756</v>
      </c>
      <c r="H47" s="2">
        <v>6</v>
      </c>
      <c r="I47" s="2">
        <v>39000</v>
      </c>
      <c r="J47" s="2" t="s">
        <v>1017</v>
      </c>
      <c r="K47" s="2" t="s">
        <v>1147</v>
      </c>
      <c r="L47" s="2" t="s">
        <v>1037</v>
      </c>
      <c r="M47" s="2" t="s">
        <v>1024</v>
      </c>
      <c r="N47" s="2">
        <v>4</v>
      </c>
    </row>
    <row r="48" spans="1:14" x14ac:dyDescent="0.3">
      <c r="A48" t="s">
        <v>60</v>
      </c>
      <c r="B48" s="2">
        <v>24</v>
      </c>
      <c r="C48" s="2" t="s">
        <v>1020</v>
      </c>
      <c r="D48" s="2" t="s">
        <v>1048</v>
      </c>
      <c r="E48" s="2" t="s">
        <v>1073</v>
      </c>
      <c r="F48" s="3">
        <v>45751</v>
      </c>
      <c r="G48" s="3">
        <v>45756</v>
      </c>
      <c r="H48" s="2">
        <v>5</v>
      </c>
      <c r="I48" s="2">
        <v>42000</v>
      </c>
      <c r="J48" s="2" t="s">
        <v>1027</v>
      </c>
      <c r="K48" s="2" t="s">
        <v>1028</v>
      </c>
      <c r="L48" s="2" t="s">
        <v>1037</v>
      </c>
      <c r="M48" s="2" t="s">
        <v>1024</v>
      </c>
      <c r="N48" s="2">
        <v>4</v>
      </c>
    </row>
    <row r="49" spans="1:14" x14ac:dyDescent="0.3">
      <c r="A49" t="s">
        <v>61</v>
      </c>
      <c r="B49" s="2">
        <v>11</v>
      </c>
      <c r="C49" s="2" t="s">
        <v>1020</v>
      </c>
      <c r="D49" s="2" t="s">
        <v>1035</v>
      </c>
      <c r="E49" s="2" t="s">
        <v>1074</v>
      </c>
      <c r="F49" s="3">
        <v>45752</v>
      </c>
      <c r="G49" s="3">
        <v>45757</v>
      </c>
      <c r="H49" s="2">
        <v>5</v>
      </c>
      <c r="I49" s="2">
        <v>98000</v>
      </c>
      <c r="J49" s="2" t="s">
        <v>1023</v>
      </c>
      <c r="K49" s="2" t="s">
        <v>1106</v>
      </c>
      <c r="L49" s="2" t="s">
        <v>1037</v>
      </c>
      <c r="M49" s="2" t="s">
        <v>1038</v>
      </c>
      <c r="N49" s="2">
        <v>4</v>
      </c>
    </row>
    <row r="50" spans="1:14" x14ac:dyDescent="0.3">
      <c r="A50" t="s">
        <v>62</v>
      </c>
      <c r="B50" s="2">
        <v>4</v>
      </c>
      <c r="C50" s="2" t="s">
        <v>1014</v>
      </c>
      <c r="D50" s="2" t="s">
        <v>1029</v>
      </c>
      <c r="E50" s="2" t="s">
        <v>1075</v>
      </c>
      <c r="F50" s="3">
        <v>45753</v>
      </c>
      <c r="G50" s="3">
        <v>45759</v>
      </c>
      <c r="H50" s="2">
        <v>6</v>
      </c>
      <c r="I50" s="2">
        <v>100000</v>
      </c>
      <c r="J50" s="2" t="s">
        <v>1023</v>
      </c>
      <c r="K50" s="2" t="s">
        <v>1033</v>
      </c>
      <c r="L50" s="2" t="s">
        <v>1018</v>
      </c>
      <c r="M50" s="2" t="s">
        <v>1019</v>
      </c>
      <c r="N50" s="2">
        <v>5</v>
      </c>
    </row>
    <row r="51" spans="1:14" x14ac:dyDescent="0.3">
      <c r="A51" t="s">
        <v>63</v>
      </c>
      <c r="B51" s="2">
        <v>21</v>
      </c>
      <c r="C51" s="2" t="s">
        <v>1014</v>
      </c>
      <c r="D51" s="2" t="s">
        <v>1035</v>
      </c>
      <c r="E51" s="2" t="s">
        <v>1076</v>
      </c>
      <c r="F51" s="3">
        <v>45754</v>
      </c>
      <c r="G51" s="3">
        <v>45762</v>
      </c>
      <c r="H51" s="2">
        <v>8</v>
      </c>
      <c r="I51" s="2">
        <v>150000</v>
      </c>
      <c r="J51" s="2" t="s">
        <v>1027</v>
      </c>
      <c r="K51" s="2" t="s">
        <v>1106</v>
      </c>
      <c r="L51" s="2" t="s">
        <v>1018</v>
      </c>
      <c r="M51" s="2" t="s">
        <v>1038</v>
      </c>
      <c r="N51" s="2">
        <v>4.5</v>
      </c>
    </row>
    <row r="52" spans="1:14" x14ac:dyDescent="0.3">
      <c r="A52" t="s">
        <v>64</v>
      </c>
      <c r="B52" s="2">
        <v>13</v>
      </c>
      <c r="C52" s="2" t="s">
        <v>1020</v>
      </c>
      <c r="D52" s="2" t="s">
        <v>1021</v>
      </c>
      <c r="E52" s="2" t="s">
        <v>1077</v>
      </c>
      <c r="F52" s="3">
        <v>45755</v>
      </c>
      <c r="G52" s="3">
        <v>45759</v>
      </c>
      <c r="H52" s="2">
        <v>4</v>
      </c>
      <c r="I52" s="2">
        <v>23000</v>
      </c>
      <c r="J52" s="2" t="s">
        <v>1027</v>
      </c>
      <c r="K52" s="2" t="s">
        <v>1147</v>
      </c>
      <c r="L52" s="2" t="s">
        <v>1037</v>
      </c>
      <c r="M52" s="2" t="s">
        <v>1024</v>
      </c>
      <c r="N52" s="2">
        <v>5</v>
      </c>
    </row>
    <row r="53" spans="1:14" x14ac:dyDescent="0.3">
      <c r="A53" t="s">
        <v>65</v>
      </c>
      <c r="B53" s="2">
        <v>24</v>
      </c>
      <c r="C53" s="2" t="s">
        <v>1014</v>
      </c>
      <c r="D53" s="2" t="s">
        <v>1035</v>
      </c>
      <c r="E53" s="2" t="s">
        <v>1078</v>
      </c>
      <c r="F53" s="3">
        <v>45756</v>
      </c>
      <c r="G53" s="3">
        <v>45763</v>
      </c>
      <c r="H53" s="2">
        <v>7</v>
      </c>
      <c r="I53" s="2">
        <v>190000</v>
      </c>
      <c r="J53" s="2" t="s">
        <v>1023</v>
      </c>
      <c r="K53" s="2" t="s">
        <v>1106</v>
      </c>
      <c r="L53" s="2" t="s">
        <v>1018</v>
      </c>
      <c r="M53" s="2" t="s">
        <v>1024</v>
      </c>
      <c r="N53" s="2">
        <v>4</v>
      </c>
    </row>
    <row r="54" spans="1:14" x14ac:dyDescent="0.3">
      <c r="A54" t="s">
        <v>66</v>
      </c>
      <c r="B54" s="2">
        <v>23</v>
      </c>
      <c r="C54" s="2" t="s">
        <v>1020</v>
      </c>
      <c r="D54" s="2" t="s">
        <v>1029</v>
      </c>
      <c r="E54" s="2" t="s">
        <v>1079</v>
      </c>
      <c r="F54" s="3">
        <v>45757</v>
      </c>
      <c r="G54" s="3">
        <v>45767</v>
      </c>
      <c r="H54" s="2">
        <v>10</v>
      </c>
      <c r="I54" s="2">
        <v>23790</v>
      </c>
      <c r="J54" s="2" t="s">
        <v>1027</v>
      </c>
      <c r="K54" s="2" t="s">
        <v>1033</v>
      </c>
      <c r="L54" s="2" t="s">
        <v>1037</v>
      </c>
      <c r="M54" s="2" t="s">
        <v>1024</v>
      </c>
      <c r="N54" s="2">
        <v>3</v>
      </c>
    </row>
    <row r="55" spans="1:14" x14ac:dyDescent="0.3">
      <c r="A55" t="s">
        <v>67</v>
      </c>
      <c r="B55" s="2">
        <v>18</v>
      </c>
      <c r="C55" s="2" t="s">
        <v>1020</v>
      </c>
      <c r="D55" s="2" t="s">
        <v>1039</v>
      </c>
      <c r="E55" s="2" t="s">
        <v>1043</v>
      </c>
      <c r="F55" s="3">
        <v>45758</v>
      </c>
      <c r="G55" s="3">
        <v>45760</v>
      </c>
      <c r="H55" s="2">
        <v>2</v>
      </c>
      <c r="I55" s="2">
        <v>44000</v>
      </c>
      <c r="J55" s="2" t="s">
        <v>1017</v>
      </c>
      <c r="K55" s="2" t="s">
        <v>1028</v>
      </c>
      <c r="L55" s="2" t="s">
        <v>1018</v>
      </c>
      <c r="M55" s="2" t="s">
        <v>1038</v>
      </c>
      <c r="N55" s="2">
        <v>5</v>
      </c>
    </row>
    <row r="56" spans="1:14" x14ac:dyDescent="0.3">
      <c r="A56" t="s">
        <v>68</v>
      </c>
      <c r="B56" s="2">
        <v>19</v>
      </c>
      <c r="C56" s="2" t="s">
        <v>1014</v>
      </c>
      <c r="D56" s="2" t="s">
        <v>1025</v>
      </c>
      <c r="E56" s="2" t="s">
        <v>1026</v>
      </c>
      <c r="F56" s="3">
        <v>45759</v>
      </c>
      <c r="G56" s="3">
        <v>45763</v>
      </c>
      <c r="H56" s="2">
        <v>4</v>
      </c>
      <c r="I56" s="2">
        <v>45000</v>
      </c>
      <c r="J56" s="2" t="s">
        <v>1027</v>
      </c>
      <c r="K56" s="2" t="s">
        <v>1046</v>
      </c>
      <c r="L56" s="2" t="s">
        <v>1018</v>
      </c>
      <c r="M56" s="2" t="s">
        <v>1019</v>
      </c>
      <c r="N56" s="2">
        <v>4</v>
      </c>
    </row>
    <row r="57" spans="1:14" x14ac:dyDescent="0.3">
      <c r="A57" t="s">
        <v>69</v>
      </c>
      <c r="B57" s="2">
        <v>24</v>
      </c>
      <c r="C57" s="2" t="s">
        <v>1014</v>
      </c>
      <c r="D57" s="2" t="s">
        <v>1021</v>
      </c>
      <c r="E57" s="2" t="s">
        <v>1080</v>
      </c>
      <c r="F57" s="3">
        <v>45760</v>
      </c>
      <c r="G57" s="3">
        <v>45768</v>
      </c>
      <c r="H57" s="2">
        <v>8</v>
      </c>
      <c r="I57" s="2">
        <v>189000</v>
      </c>
      <c r="J57" s="2" t="s">
        <v>1017</v>
      </c>
      <c r="K57" s="2" t="s">
        <v>1147</v>
      </c>
      <c r="L57" s="2" t="s">
        <v>1018</v>
      </c>
      <c r="M57" s="2" t="s">
        <v>1038</v>
      </c>
      <c r="N57" s="2">
        <v>4</v>
      </c>
    </row>
    <row r="58" spans="1:14" x14ac:dyDescent="0.3">
      <c r="A58" t="s">
        <v>70</v>
      </c>
      <c r="B58" s="2">
        <v>25</v>
      </c>
      <c r="C58" s="2" t="s">
        <v>1020</v>
      </c>
      <c r="D58" s="2" t="s">
        <v>1048</v>
      </c>
      <c r="E58" s="2" t="s">
        <v>1081</v>
      </c>
      <c r="F58" s="3">
        <v>45761</v>
      </c>
      <c r="G58" s="3">
        <v>45770</v>
      </c>
      <c r="H58" s="2">
        <v>9</v>
      </c>
      <c r="I58" s="2">
        <v>13000</v>
      </c>
      <c r="J58" s="2" t="s">
        <v>1027</v>
      </c>
      <c r="K58" s="2" t="s">
        <v>1028</v>
      </c>
      <c r="L58" s="2" t="s">
        <v>1037</v>
      </c>
      <c r="M58" s="2" t="s">
        <v>1019</v>
      </c>
      <c r="N58" s="2">
        <v>5</v>
      </c>
    </row>
    <row r="59" spans="1:14" x14ac:dyDescent="0.3">
      <c r="A59" t="s">
        <v>71</v>
      </c>
      <c r="B59" s="2">
        <v>11</v>
      </c>
      <c r="C59" s="2" t="s">
        <v>1020</v>
      </c>
      <c r="D59" s="2" t="s">
        <v>1039</v>
      </c>
      <c r="E59" s="2" t="s">
        <v>1082</v>
      </c>
      <c r="F59" s="3">
        <v>45762</v>
      </c>
      <c r="G59" s="3">
        <v>45764</v>
      </c>
      <c r="H59" s="2">
        <v>2</v>
      </c>
      <c r="I59" s="2">
        <v>21000</v>
      </c>
      <c r="J59" s="2" t="s">
        <v>1023</v>
      </c>
      <c r="K59" s="2" t="s">
        <v>1059</v>
      </c>
      <c r="L59" s="2" t="s">
        <v>1018</v>
      </c>
      <c r="M59" s="2" t="s">
        <v>1038</v>
      </c>
      <c r="N59" s="2">
        <v>4</v>
      </c>
    </row>
    <row r="60" spans="1:14" x14ac:dyDescent="0.3">
      <c r="A60" t="s">
        <v>72</v>
      </c>
      <c r="B60" s="2">
        <v>22</v>
      </c>
      <c r="C60" s="2" t="s">
        <v>1014</v>
      </c>
      <c r="D60" s="2" t="s">
        <v>1029</v>
      </c>
      <c r="E60" s="2" t="s">
        <v>1083</v>
      </c>
      <c r="F60" s="3">
        <v>45763</v>
      </c>
      <c r="G60" s="3">
        <v>45772</v>
      </c>
      <c r="H60" s="2">
        <v>9</v>
      </c>
      <c r="I60" s="2">
        <v>33000</v>
      </c>
      <c r="J60" s="2" t="s">
        <v>1023</v>
      </c>
      <c r="K60" s="2" t="s">
        <v>1033</v>
      </c>
      <c r="L60" s="2" t="s">
        <v>1037</v>
      </c>
      <c r="M60" s="2" t="s">
        <v>1019</v>
      </c>
      <c r="N60" s="2">
        <v>5</v>
      </c>
    </row>
    <row r="61" spans="1:14" x14ac:dyDescent="0.3">
      <c r="A61" t="s">
        <v>73</v>
      </c>
      <c r="B61" s="2">
        <v>62</v>
      </c>
      <c r="C61" s="2" t="s">
        <v>1020</v>
      </c>
      <c r="D61" s="2" t="s">
        <v>1031</v>
      </c>
      <c r="E61" s="2" t="s">
        <v>1032</v>
      </c>
      <c r="F61" s="3">
        <v>45764</v>
      </c>
      <c r="G61" s="3">
        <v>45769</v>
      </c>
      <c r="H61" s="2">
        <v>5</v>
      </c>
      <c r="I61" s="2">
        <v>45000</v>
      </c>
      <c r="J61" s="2" t="s">
        <v>1027</v>
      </c>
      <c r="K61" s="2" t="s">
        <v>1161</v>
      </c>
      <c r="L61" s="2" t="s">
        <v>1018</v>
      </c>
      <c r="M61" s="2" t="s">
        <v>1038</v>
      </c>
      <c r="N61" s="2">
        <v>4</v>
      </c>
    </row>
    <row r="62" spans="1:14" x14ac:dyDescent="0.3">
      <c r="A62" t="s">
        <v>74</v>
      </c>
      <c r="B62" s="2">
        <v>64</v>
      </c>
      <c r="C62" s="2" t="s">
        <v>1020</v>
      </c>
      <c r="D62" s="2" t="s">
        <v>1015</v>
      </c>
      <c r="E62" s="2" t="s">
        <v>1016</v>
      </c>
      <c r="F62" s="3">
        <v>45765</v>
      </c>
      <c r="G62" s="3">
        <v>45773</v>
      </c>
      <c r="H62" s="2">
        <v>8</v>
      </c>
      <c r="I62" s="2">
        <v>78900</v>
      </c>
      <c r="J62" s="2" t="s">
        <v>1017</v>
      </c>
      <c r="K62" s="2" t="s">
        <v>1052</v>
      </c>
      <c r="L62" s="2" t="s">
        <v>1037</v>
      </c>
      <c r="M62" s="2" t="s">
        <v>1038</v>
      </c>
      <c r="N62" s="2">
        <v>3</v>
      </c>
    </row>
    <row r="63" spans="1:14" x14ac:dyDescent="0.3">
      <c r="A63" t="s">
        <v>75</v>
      </c>
      <c r="B63" s="2">
        <v>75</v>
      </c>
      <c r="C63" s="2" t="s">
        <v>1014</v>
      </c>
      <c r="D63" s="2" t="s">
        <v>1021</v>
      </c>
      <c r="E63" s="2" t="s">
        <v>1084</v>
      </c>
      <c r="F63" s="3">
        <v>45766</v>
      </c>
      <c r="G63" s="3">
        <v>45776</v>
      </c>
      <c r="H63" s="2">
        <v>10</v>
      </c>
      <c r="I63" s="2">
        <v>145000</v>
      </c>
      <c r="J63" s="2" t="s">
        <v>1023</v>
      </c>
      <c r="K63" s="2" t="s">
        <v>1147</v>
      </c>
      <c r="L63" s="2" t="s">
        <v>1037</v>
      </c>
      <c r="M63" s="2" t="s">
        <v>1038</v>
      </c>
      <c r="N63" s="2">
        <v>4</v>
      </c>
    </row>
    <row r="64" spans="1:14" x14ac:dyDescent="0.3">
      <c r="A64" t="s">
        <v>76</v>
      </c>
      <c r="B64" s="2">
        <v>72</v>
      </c>
      <c r="C64" s="2" t="s">
        <v>1020</v>
      </c>
      <c r="D64" s="2" t="s">
        <v>1035</v>
      </c>
      <c r="E64" s="2" t="s">
        <v>1047</v>
      </c>
      <c r="F64" s="3">
        <v>45767</v>
      </c>
      <c r="G64" s="3">
        <v>45772</v>
      </c>
      <c r="H64" s="2">
        <v>5</v>
      </c>
      <c r="I64" s="2">
        <v>134500</v>
      </c>
      <c r="J64" s="2" t="s">
        <v>1027</v>
      </c>
      <c r="K64" s="2" t="s">
        <v>1106</v>
      </c>
      <c r="L64" s="2" t="s">
        <v>1037</v>
      </c>
      <c r="M64" s="2" t="s">
        <v>1019</v>
      </c>
      <c r="N64" s="2">
        <v>5</v>
      </c>
    </row>
    <row r="65" spans="1:14" x14ac:dyDescent="0.3">
      <c r="A65" t="s">
        <v>77</v>
      </c>
      <c r="B65" s="2">
        <v>77</v>
      </c>
      <c r="C65" s="2" t="s">
        <v>1020</v>
      </c>
      <c r="D65" s="2" t="s">
        <v>1025</v>
      </c>
      <c r="E65" s="2" t="s">
        <v>1045</v>
      </c>
      <c r="F65" s="3">
        <v>45768</v>
      </c>
      <c r="G65" s="3">
        <v>45777</v>
      </c>
      <c r="H65" s="2">
        <v>9</v>
      </c>
      <c r="I65" s="2">
        <v>134560</v>
      </c>
      <c r="J65" s="2" t="s">
        <v>1023</v>
      </c>
      <c r="K65" s="2" t="s">
        <v>1046</v>
      </c>
      <c r="L65" s="2" t="s">
        <v>1018</v>
      </c>
      <c r="M65" s="2" t="s">
        <v>1019</v>
      </c>
      <c r="N65" s="2">
        <v>4</v>
      </c>
    </row>
    <row r="66" spans="1:14" x14ac:dyDescent="0.3">
      <c r="A66" t="s">
        <v>78</v>
      </c>
      <c r="B66" s="2">
        <v>33</v>
      </c>
      <c r="C66" s="2" t="s">
        <v>1014</v>
      </c>
      <c r="D66" s="2" t="s">
        <v>1031</v>
      </c>
      <c r="E66" s="2" t="s">
        <v>1053</v>
      </c>
      <c r="F66" s="3">
        <v>45769</v>
      </c>
      <c r="G66" s="3">
        <v>45777</v>
      </c>
      <c r="H66" s="2">
        <v>8</v>
      </c>
      <c r="I66" s="2">
        <v>12800</v>
      </c>
      <c r="J66" s="2" t="s">
        <v>1027</v>
      </c>
      <c r="K66" s="2" t="s">
        <v>1161</v>
      </c>
      <c r="L66" s="2" t="s">
        <v>1018</v>
      </c>
      <c r="M66" s="2" t="s">
        <v>1019</v>
      </c>
      <c r="N66" s="2">
        <v>4</v>
      </c>
    </row>
    <row r="67" spans="1:14" x14ac:dyDescent="0.3">
      <c r="A67" t="s">
        <v>79</v>
      </c>
      <c r="B67" s="2">
        <v>24</v>
      </c>
      <c r="C67" s="2" t="s">
        <v>1014</v>
      </c>
      <c r="D67" s="2" t="s">
        <v>1029</v>
      </c>
      <c r="E67" s="2" t="s">
        <v>1050</v>
      </c>
      <c r="F67" s="3">
        <v>45770</v>
      </c>
      <c r="G67" s="3">
        <v>45776</v>
      </c>
      <c r="H67" s="2">
        <v>6</v>
      </c>
      <c r="I67" s="2">
        <v>15000</v>
      </c>
      <c r="J67" s="2" t="s">
        <v>1023</v>
      </c>
      <c r="K67" s="2" t="s">
        <v>1033</v>
      </c>
      <c r="L67" s="2" t="s">
        <v>1037</v>
      </c>
      <c r="M67" s="2" t="s">
        <v>1019</v>
      </c>
      <c r="N67" s="2">
        <v>4</v>
      </c>
    </row>
    <row r="68" spans="1:14" x14ac:dyDescent="0.3">
      <c r="A68" t="s">
        <v>80</v>
      </c>
      <c r="B68" s="2">
        <v>30</v>
      </c>
      <c r="C68" s="2" t="s">
        <v>1020</v>
      </c>
      <c r="D68" s="2" t="s">
        <v>1035</v>
      </c>
      <c r="E68" s="2" t="s">
        <v>1085</v>
      </c>
      <c r="F68" s="3">
        <v>45771</v>
      </c>
      <c r="G68" s="3">
        <v>45778</v>
      </c>
      <c r="H68" s="2">
        <v>7</v>
      </c>
      <c r="I68" s="2">
        <v>150000</v>
      </c>
      <c r="J68" s="2" t="s">
        <v>1027</v>
      </c>
      <c r="K68" s="2" t="s">
        <v>1106</v>
      </c>
      <c r="L68" s="2" t="s">
        <v>1018</v>
      </c>
      <c r="M68" s="2" t="s">
        <v>1024</v>
      </c>
      <c r="N68" s="2">
        <v>4.5</v>
      </c>
    </row>
    <row r="69" spans="1:14" x14ac:dyDescent="0.3">
      <c r="A69" t="s">
        <v>81</v>
      </c>
      <c r="B69" s="2">
        <v>27</v>
      </c>
      <c r="C69" s="2" t="s">
        <v>1020</v>
      </c>
      <c r="D69" s="2" t="s">
        <v>1048</v>
      </c>
      <c r="E69" s="2" t="s">
        <v>1049</v>
      </c>
      <c r="F69" s="3">
        <v>45772</v>
      </c>
      <c r="G69" s="3">
        <v>45776</v>
      </c>
      <c r="H69" s="2">
        <v>4</v>
      </c>
      <c r="I69" s="2">
        <v>123456</v>
      </c>
      <c r="J69" s="2" t="s">
        <v>1023</v>
      </c>
      <c r="K69" s="2" t="s">
        <v>1028</v>
      </c>
      <c r="L69" s="2" t="s">
        <v>1037</v>
      </c>
      <c r="M69" s="2" t="s">
        <v>1038</v>
      </c>
      <c r="N69" s="2">
        <v>5</v>
      </c>
    </row>
    <row r="70" spans="1:14" x14ac:dyDescent="0.3">
      <c r="A70" t="s">
        <v>82</v>
      </c>
      <c r="B70" s="2">
        <v>23</v>
      </c>
      <c r="C70" s="2" t="s">
        <v>1014</v>
      </c>
      <c r="D70" s="2" t="s">
        <v>1041</v>
      </c>
      <c r="E70" s="2" t="s">
        <v>1086</v>
      </c>
      <c r="F70" s="3">
        <v>45773</v>
      </c>
      <c r="G70" s="3">
        <v>45779</v>
      </c>
      <c r="H70" s="2">
        <v>6</v>
      </c>
      <c r="I70" s="2">
        <v>145000</v>
      </c>
      <c r="J70" s="2" t="s">
        <v>1027</v>
      </c>
      <c r="K70" s="2" t="s">
        <v>1128</v>
      </c>
      <c r="L70" s="2" t="s">
        <v>1018</v>
      </c>
      <c r="M70" s="2" t="s">
        <v>1038</v>
      </c>
      <c r="N70" s="2">
        <v>4</v>
      </c>
    </row>
    <row r="71" spans="1:14" x14ac:dyDescent="0.3">
      <c r="A71" t="s">
        <v>83</v>
      </c>
      <c r="B71" s="2">
        <v>19</v>
      </c>
      <c r="C71" s="2" t="s">
        <v>1020</v>
      </c>
      <c r="D71" s="2" t="s">
        <v>1048</v>
      </c>
      <c r="E71" s="2" t="s">
        <v>1087</v>
      </c>
      <c r="F71" s="3">
        <v>45774</v>
      </c>
      <c r="G71" s="3">
        <v>45780</v>
      </c>
      <c r="H71" s="2">
        <v>6</v>
      </c>
      <c r="I71" s="2">
        <v>13400</v>
      </c>
      <c r="J71" s="2" t="s">
        <v>1027</v>
      </c>
      <c r="K71" s="2" t="s">
        <v>1028</v>
      </c>
      <c r="L71" s="2" t="s">
        <v>1018</v>
      </c>
      <c r="M71" s="2" t="s">
        <v>1024</v>
      </c>
      <c r="N71" s="2">
        <v>4.8</v>
      </c>
    </row>
    <row r="72" spans="1:14" x14ac:dyDescent="0.3">
      <c r="A72" t="s">
        <v>84</v>
      </c>
      <c r="B72" s="2">
        <v>21</v>
      </c>
      <c r="C72" s="2" t="s">
        <v>1014</v>
      </c>
      <c r="D72" s="2" t="s">
        <v>1015</v>
      </c>
      <c r="E72" s="2" t="s">
        <v>1088</v>
      </c>
      <c r="F72" s="3">
        <v>45775</v>
      </c>
      <c r="G72" s="3">
        <v>45781</v>
      </c>
      <c r="H72" s="2">
        <v>6</v>
      </c>
      <c r="I72" s="2">
        <v>145000</v>
      </c>
      <c r="J72" s="2" t="s">
        <v>1017</v>
      </c>
      <c r="K72" s="2" t="s">
        <v>1052</v>
      </c>
      <c r="L72" s="2" t="s">
        <v>1037</v>
      </c>
      <c r="M72" s="2" t="s">
        <v>1024</v>
      </c>
      <c r="N72" s="2">
        <v>5</v>
      </c>
    </row>
    <row r="73" spans="1:14" x14ac:dyDescent="0.3">
      <c r="A73" t="s">
        <v>85</v>
      </c>
      <c r="B73" s="2">
        <v>24</v>
      </c>
      <c r="C73" s="2" t="s">
        <v>1014</v>
      </c>
      <c r="D73" s="2" t="s">
        <v>1029</v>
      </c>
      <c r="E73" s="2" t="s">
        <v>1089</v>
      </c>
      <c r="F73" s="3">
        <v>45776</v>
      </c>
      <c r="G73" s="3">
        <v>45784</v>
      </c>
      <c r="H73" s="2">
        <v>8</v>
      </c>
      <c r="I73" s="2">
        <v>120000</v>
      </c>
      <c r="J73" s="2" t="s">
        <v>1017</v>
      </c>
      <c r="K73" s="2" t="s">
        <v>1033</v>
      </c>
      <c r="L73" s="2" t="s">
        <v>1037</v>
      </c>
      <c r="M73" s="2" t="s">
        <v>1019</v>
      </c>
      <c r="N73" s="2">
        <v>4.8</v>
      </c>
    </row>
    <row r="74" spans="1:14" x14ac:dyDescent="0.3">
      <c r="A74" t="s">
        <v>86</v>
      </c>
      <c r="B74" s="2">
        <v>27</v>
      </c>
      <c r="C74" s="2" t="s">
        <v>1020</v>
      </c>
      <c r="D74" s="2" t="s">
        <v>1041</v>
      </c>
      <c r="E74" s="2" t="s">
        <v>1042</v>
      </c>
      <c r="F74" s="3">
        <v>45777</v>
      </c>
      <c r="G74" s="3">
        <v>45786</v>
      </c>
      <c r="H74" s="2">
        <v>9</v>
      </c>
      <c r="I74" s="2">
        <v>13000</v>
      </c>
      <c r="J74" s="2" t="s">
        <v>1027</v>
      </c>
      <c r="K74" s="2" t="s">
        <v>1128</v>
      </c>
      <c r="L74" s="2" t="s">
        <v>1018</v>
      </c>
      <c r="M74" s="2" t="s">
        <v>1038</v>
      </c>
      <c r="N74" s="2">
        <v>4</v>
      </c>
    </row>
    <row r="75" spans="1:14" x14ac:dyDescent="0.3">
      <c r="A75" t="s">
        <v>87</v>
      </c>
      <c r="B75" s="2">
        <v>28</v>
      </c>
      <c r="C75" s="2" t="s">
        <v>1014</v>
      </c>
      <c r="D75" s="2" t="s">
        <v>1029</v>
      </c>
      <c r="E75" s="2" t="s">
        <v>1090</v>
      </c>
      <c r="F75" s="3">
        <v>45778</v>
      </c>
      <c r="G75" s="3">
        <v>45787</v>
      </c>
      <c r="H75" s="2">
        <v>9</v>
      </c>
      <c r="I75" s="2">
        <v>134000</v>
      </c>
      <c r="J75" s="2" t="s">
        <v>1023</v>
      </c>
      <c r="K75" s="2" t="s">
        <v>1033</v>
      </c>
      <c r="L75" s="2" t="s">
        <v>1037</v>
      </c>
      <c r="M75" s="2" t="s">
        <v>1024</v>
      </c>
      <c r="N75" s="2">
        <v>4.5</v>
      </c>
    </row>
    <row r="76" spans="1:14" x14ac:dyDescent="0.3">
      <c r="A76" t="s">
        <v>88</v>
      </c>
      <c r="B76" s="2">
        <v>80</v>
      </c>
      <c r="C76" s="2" t="s">
        <v>1020</v>
      </c>
      <c r="D76" s="2" t="s">
        <v>1025</v>
      </c>
      <c r="E76" s="2" t="s">
        <v>1091</v>
      </c>
      <c r="F76" s="3">
        <v>45779</v>
      </c>
      <c r="G76" s="3">
        <v>45788</v>
      </c>
      <c r="H76" s="2">
        <v>9</v>
      </c>
      <c r="I76" s="2">
        <v>125000</v>
      </c>
      <c r="J76" s="2" t="s">
        <v>1017</v>
      </c>
      <c r="K76" s="2" t="s">
        <v>1046</v>
      </c>
      <c r="L76" s="2" t="s">
        <v>1018</v>
      </c>
      <c r="M76" s="2" t="s">
        <v>1038</v>
      </c>
      <c r="N76" s="2">
        <v>3</v>
      </c>
    </row>
    <row r="77" spans="1:14" x14ac:dyDescent="0.3">
      <c r="A77" t="s">
        <v>89</v>
      </c>
      <c r="B77" s="2">
        <v>20</v>
      </c>
      <c r="C77" s="2" t="s">
        <v>1020</v>
      </c>
      <c r="D77" s="2" t="s">
        <v>1048</v>
      </c>
      <c r="E77" s="2" t="s">
        <v>1063</v>
      </c>
      <c r="F77" s="3">
        <v>45780</v>
      </c>
      <c r="G77" s="3">
        <v>45782</v>
      </c>
      <c r="H77" s="2">
        <v>2</v>
      </c>
      <c r="I77" s="2">
        <v>13400</v>
      </c>
      <c r="J77" s="2" t="s">
        <v>1027</v>
      </c>
      <c r="K77" s="2" t="s">
        <v>1028</v>
      </c>
      <c r="L77" s="2" t="s">
        <v>1037</v>
      </c>
      <c r="M77" s="2" t="s">
        <v>1024</v>
      </c>
      <c r="N77" s="2">
        <v>4</v>
      </c>
    </row>
    <row r="78" spans="1:14" x14ac:dyDescent="0.3">
      <c r="A78" t="s">
        <v>90</v>
      </c>
      <c r="B78" s="2">
        <v>33</v>
      </c>
      <c r="C78" s="2" t="s">
        <v>1014</v>
      </c>
      <c r="D78" s="2" t="s">
        <v>1041</v>
      </c>
      <c r="E78" s="2" t="s">
        <v>1092</v>
      </c>
      <c r="F78" s="3">
        <v>45781</v>
      </c>
      <c r="G78" s="3">
        <v>45786</v>
      </c>
      <c r="H78" s="2">
        <v>5</v>
      </c>
      <c r="I78" s="2">
        <v>156000</v>
      </c>
      <c r="J78" s="2" t="s">
        <v>1023</v>
      </c>
      <c r="K78" s="2" t="s">
        <v>1128</v>
      </c>
      <c r="L78" s="2" t="s">
        <v>1037</v>
      </c>
      <c r="M78" s="2" t="s">
        <v>1038</v>
      </c>
      <c r="N78" s="2">
        <v>3</v>
      </c>
    </row>
    <row r="79" spans="1:14" x14ac:dyDescent="0.3">
      <c r="A79" t="s">
        <v>91</v>
      </c>
      <c r="B79" s="2">
        <v>24</v>
      </c>
      <c r="C79" s="2" t="s">
        <v>1014</v>
      </c>
      <c r="D79" s="2" t="s">
        <v>1021</v>
      </c>
      <c r="E79" s="2" t="s">
        <v>1016</v>
      </c>
      <c r="F79" s="3">
        <v>45782</v>
      </c>
      <c r="G79" s="3">
        <v>45785</v>
      </c>
      <c r="H79" s="2">
        <v>3</v>
      </c>
      <c r="I79" s="2">
        <v>12000</v>
      </c>
      <c r="J79" s="2" t="s">
        <v>1027</v>
      </c>
      <c r="K79" s="2" t="s">
        <v>1147</v>
      </c>
      <c r="L79" s="2" t="s">
        <v>1037</v>
      </c>
      <c r="M79" s="2" t="s">
        <v>1024</v>
      </c>
      <c r="N79" s="2">
        <v>4</v>
      </c>
    </row>
    <row r="80" spans="1:14" x14ac:dyDescent="0.3">
      <c r="A80" t="s">
        <v>92</v>
      </c>
      <c r="B80" s="2">
        <v>77</v>
      </c>
      <c r="C80" s="2" t="s">
        <v>1020</v>
      </c>
      <c r="D80" s="2" t="s">
        <v>1021</v>
      </c>
      <c r="E80" s="2" t="s">
        <v>1022</v>
      </c>
      <c r="F80" s="3">
        <v>45783</v>
      </c>
      <c r="G80" s="3">
        <v>45792</v>
      </c>
      <c r="H80" s="2">
        <v>8</v>
      </c>
      <c r="I80" s="2">
        <v>250000</v>
      </c>
      <c r="J80" s="2" t="s">
        <v>1023</v>
      </c>
      <c r="K80" s="2" t="s">
        <v>1147</v>
      </c>
      <c r="L80" s="2" t="s">
        <v>1018</v>
      </c>
      <c r="M80" s="2" t="s">
        <v>1038</v>
      </c>
      <c r="N80" s="2">
        <v>5</v>
      </c>
    </row>
    <row r="81" spans="1:14" x14ac:dyDescent="0.3">
      <c r="A81" t="s">
        <v>93</v>
      </c>
      <c r="B81" s="2">
        <v>21</v>
      </c>
      <c r="C81" s="2" t="s">
        <v>1020</v>
      </c>
      <c r="D81" s="2" t="s">
        <v>1039</v>
      </c>
      <c r="E81" s="2" t="s">
        <v>1082</v>
      </c>
      <c r="F81" s="3">
        <v>45784</v>
      </c>
      <c r="G81" s="3">
        <v>45795</v>
      </c>
      <c r="H81" s="2">
        <v>11</v>
      </c>
      <c r="I81" s="2">
        <v>29000</v>
      </c>
      <c r="J81" s="2" t="s">
        <v>1027</v>
      </c>
      <c r="K81" s="2" t="s">
        <v>1059</v>
      </c>
      <c r="L81" s="2" t="s">
        <v>1018</v>
      </c>
      <c r="M81" s="2" t="s">
        <v>1024</v>
      </c>
      <c r="N81" s="2">
        <v>4.3</v>
      </c>
    </row>
    <row r="82" spans="1:14" x14ac:dyDescent="0.3">
      <c r="A82" t="s">
        <v>94</v>
      </c>
      <c r="B82" s="2">
        <v>24</v>
      </c>
      <c r="C82" s="2" t="s">
        <v>1020</v>
      </c>
      <c r="D82" s="2" t="s">
        <v>1021</v>
      </c>
      <c r="E82" s="2" t="s">
        <v>1060</v>
      </c>
      <c r="F82" s="3">
        <v>45785</v>
      </c>
      <c r="G82" s="3">
        <v>45796</v>
      </c>
      <c r="H82" s="2">
        <v>11</v>
      </c>
      <c r="I82" s="2">
        <v>34000</v>
      </c>
      <c r="J82" s="2" t="s">
        <v>1017</v>
      </c>
      <c r="K82" s="2" t="s">
        <v>1147</v>
      </c>
      <c r="L82" s="2" t="s">
        <v>1037</v>
      </c>
      <c r="M82" s="2" t="s">
        <v>1024</v>
      </c>
      <c r="N82" s="2">
        <v>4.4000000000000004</v>
      </c>
    </row>
    <row r="83" spans="1:14" x14ac:dyDescent="0.3">
      <c r="A83" t="s">
        <v>95</v>
      </c>
      <c r="B83" s="2">
        <v>23</v>
      </c>
      <c r="C83" s="2" t="s">
        <v>1014</v>
      </c>
      <c r="D83" s="2" t="s">
        <v>1029</v>
      </c>
      <c r="E83" s="2" t="s">
        <v>1093</v>
      </c>
      <c r="F83" s="3">
        <v>45786</v>
      </c>
      <c r="G83" s="3">
        <v>45793</v>
      </c>
      <c r="H83" s="2">
        <v>7</v>
      </c>
      <c r="I83" s="2">
        <v>53000</v>
      </c>
      <c r="J83" s="2" t="s">
        <v>1027</v>
      </c>
      <c r="K83" s="2" t="s">
        <v>1033</v>
      </c>
      <c r="L83" s="2" t="s">
        <v>1018</v>
      </c>
      <c r="M83" s="2" t="s">
        <v>1038</v>
      </c>
      <c r="N83" s="2">
        <v>4.3</v>
      </c>
    </row>
    <row r="84" spans="1:14" x14ac:dyDescent="0.3">
      <c r="A84" t="s">
        <v>96</v>
      </c>
      <c r="B84" s="2">
        <v>48</v>
      </c>
      <c r="C84" s="2" t="s">
        <v>1014</v>
      </c>
      <c r="D84" s="2" t="s">
        <v>1031</v>
      </c>
      <c r="E84" s="2" t="s">
        <v>1054</v>
      </c>
      <c r="F84" s="3">
        <v>45787</v>
      </c>
      <c r="G84" s="3">
        <v>45798</v>
      </c>
      <c r="H84" s="2">
        <v>11</v>
      </c>
      <c r="I84" s="2">
        <v>78000</v>
      </c>
      <c r="J84" s="2" t="s">
        <v>1017</v>
      </c>
      <c r="K84" s="2" t="s">
        <v>1161</v>
      </c>
      <c r="L84" s="2" t="s">
        <v>1037</v>
      </c>
      <c r="M84" s="2" t="s">
        <v>1019</v>
      </c>
      <c r="N84" s="2">
        <v>4.4000000000000004</v>
      </c>
    </row>
    <row r="85" spans="1:14" x14ac:dyDescent="0.3">
      <c r="A85" t="s">
        <v>97</v>
      </c>
      <c r="B85" s="2">
        <v>9</v>
      </c>
      <c r="C85" s="2" t="s">
        <v>1020</v>
      </c>
      <c r="D85" s="2" t="s">
        <v>1039</v>
      </c>
      <c r="E85" s="2" t="s">
        <v>1094</v>
      </c>
      <c r="F85" s="3">
        <v>45788</v>
      </c>
      <c r="G85" s="3">
        <v>45792</v>
      </c>
      <c r="H85" s="2">
        <v>4</v>
      </c>
      <c r="I85" s="2">
        <v>90000</v>
      </c>
      <c r="J85" s="2" t="s">
        <v>1023</v>
      </c>
      <c r="K85" s="2" t="s">
        <v>1059</v>
      </c>
      <c r="L85" s="2" t="s">
        <v>1018</v>
      </c>
      <c r="M85" s="2" t="s">
        <v>1019</v>
      </c>
      <c r="N85" s="2">
        <v>5</v>
      </c>
    </row>
    <row r="86" spans="1:14" x14ac:dyDescent="0.3">
      <c r="A86" t="s">
        <v>98</v>
      </c>
      <c r="B86" s="2">
        <v>24</v>
      </c>
      <c r="C86" s="2" t="s">
        <v>1020</v>
      </c>
      <c r="D86" s="2" t="s">
        <v>1031</v>
      </c>
      <c r="E86" s="2" t="s">
        <v>1034</v>
      </c>
      <c r="F86" s="3">
        <v>45789</v>
      </c>
      <c r="G86" s="3">
        <v>45799</v>
      </c>
      <c r="H86" s="2">
        <v>10</v>
      </c>
      <c r="I86" s="2">
        <v>89000</v>
      </c>
      <c r="J86" s="2" t="s">
        <v>1027</v>
      </c>
      <c r="K86" s="2" t="s">
        <v>1161</v>
      </c>
      <c r="L86" s="2" t="s">
        <v>1018</v>
      </c>
      <c r="M86" s="2" t="s">
        <v>1019</v>
      </c>
      <c r="N86" s="2">
        <v>3</v>
      </c>
    </row>
    <row r="87" spans="1:14" x14ac:dyDescent="0.3">
      <c r="A87" t="s">
        <v>99</v>
      </c>
      <c r="B87" s="2">
        <v>10</v>
      </c>
      <c r="C87" s="2" t="s">
        <v>1014</v>
      </c>
      <c r="D87" s="2" t="s">
        <v>1035</v>
      </c>
      <c r="E87" s="2" t="s">
        <v>1074</v>
      </c>
      <c r="F87" s="3">
        <v>45790</v>
      </c>
      <c r="G87" s="3">
        <v>45802</v>
      </c>
      <c r="H87" s="2">
        <v>8</v>
      </c>
      <c r="I87" s="2">
        <v>67800</v>
      </c>
      <c r="J87" s="2" t="s">
        <v>1023</v>
      </c>
      <c r="K87" s="2" t="s">
        <v>1106</v>
      </c>
      <c r="L87" s="2" t="s">
        <v>1037</v>
      </c>
      <c r="M87" s="2" t="s">
        <v>1038</v>
      </c>
      <c r="N87" s="2">
        <v>5</v>
      </c>
    </row>
    <row r="88" spans="1:14" x14ac:dyDescent="0.3">
      <c r="A88" t="s">
        <v>100</v>
      </c>
      <c r="B88" s="2">
        <v>14</v>
      </c>
      <c r="C88" s="2" t="s">
        <v>1020</v>
      </c>
      <c r="D88" s="2" t="s">
        <v>1048</v>
      </c>
      <c r="E88" s="2" t="s">
        <v>1095</v>
      </c>
      <c r="F88" s="3">
        <v>45791</v>
      </c>
      <c r="G88" s="3">
        <v>45797</v>
      </c>
      <c r="H88" s="2">
        <v>6</v>
      </c>
      <c r="I88" s="2">
        <v>78000</v>
      </c>
      <c r="J88" s="2" t="s">
        <v>1027</v>
      </c>
      <c r="K88" s="2" t="s">
        <v>1028</v>
      </c>
      <c r="L88" s="2" t="s">
        <v>1037</v>
      </c>
      <c r="M88" s="2" t="s">
        <v>1024</v>
      </c>
      <c r="N88" s="2">
        <v>4</v>
      </c>
    </row>
    <row r="89" spans="1:14" x14ac:dyDescent="0.3">
      <c r="A89" t="s">
        <v>101</v>
      </c>
      <c r="B89" s="2">
        <v>74</v>
      </c>
      <c r="C89" s="2" t="s">
        <v>1014</v>
      </c>
      <c r="D89" s="2" t="s">
        <v>1035</v>
      </c>
      <c r="E89" s="2" t="s">
        <v>1096</v>
      </c>
      <c r="F89" s="3">
        <v>45792</v>
      </c>
      <c r="G89" s="3">
        <v>45806</v>
      </c>
      <c r="H89" s="2">
        <v>14</v>
      </c>
      <c r="I89" s="2">
        <v>192000</v>
      </c>
      <c r="J89" s="2" t="s">
        <v>1023</v>
      </c>
      <c r="K89" s="2" t="s">
        <v>1106</v>
      </c>
      <c r="L89" s="2" t="s">
        <v>1018</v>
      </c>
      <c r="M89" s="2" t="s">
        <v>1038</v>
      </c>
      <c r="N89" s="2">
        <v>4</v>
      </c>
    </row>
    <row r="90" spans="1:14" x14ac:dyDescent="0.3">
      <c r="A90" t="s">
        <v>102</v>
      </c>
      <c r="B90" s="2">
        <v>23</v>
      </c>
      <c r="C90" s="2" t="s">
        <v>1014</v>
      </c>
      <c r="D90" s="2" t="s">
        <v>1021</v>
      </c>
      <c r="E90" s="2" t="s">
        <v>1097</v>
      </c>
      <c r="F90" s="3">
        <v>45793</v>
      </c>
      <c r="G90" s="3">
        <v>45807</v>
      </c>
      <c r="H90" s="2">
        <v>16</v>
      </c>
      <c r="I90" s="2">
        <v>230000</v>
      </c>
      <c r="J90" s="2" t="s">
        <v>1017</v>
      </c>
      <c r="K90" s="2" t="s">
        <v>1147</v>
      </c>
      <c r="L90" s="2" t="s">
        <v>1037</v>
      </c>
      <c r="M90" s="2" t="s">
        <v>1024</v>
      </c>
      <c r="N90" s="2">
        <v>3</v>
      </c>
    </row>
    <row r="91" spans="1:14" x14ac:dyDescent="0.3">
      <c r="A91" t="s">
        <v>103</v>
      </c>
      <c r="B91" s="2">
        <v>49</v>
      </c>
      <c r="C91" s="2" t="s">
        <v>1020</v>
      </c>
      <c r="D91" s="2" t="s">
        <v>1041</v>
      </c>
      <c r="E91" s="2" t="s">
        <v>1042</v>
      </c>
      <c r="F91" s="3">
        <v>45794</v>
      </c>
      <c r="G91" s="3">
        <v>45801</v>
      </c>
      <c r="H91" s="2">
        <v>7</v>
      </c>
      <c r="I91" s="2">
        <v>120000</v>
      </c>
      <c r="J91" s="2" t="s">
        <v>1027</v>
      </c>
      <c r="K91" s="2" t="s">
        <v>1128</v>
      </c>
      <c r="L91" s="2" t="s">
        <v>1018</v>
      </c>
      <c r="M91" s="2" t="s">
        <v>1038</v>
      </c>
      <c r="N91" s="2">
        <v>4</v>
      </c>
    </row>
    <row r="92" spans="1:14" x14ac:dyDescent="0.3">
      <c r="A92" t="s">
        <v>104</v>
      </c>
      <c r="B92" s="2">
        <v>5</v>
      </c>
      <c r="C92" s="2" t="s">
        <v>1014</v>
      </c>
      <c r="D92" s="2" t="s">
        <v>1029</v>
      </c>
      <c r="E92" s="2" t="s">
        <v>1098</v>
      </c>
      <c r="F92" s="3">
        <v>45795</v>
      </c>
      <c r="G92" s="3">
        <v>45804</v>
      </c>
      <c r="H92" s="2">
        <v>9</v>
      </c>
      <c r="I92" s="2">
        <v>134000</v>
      </c>
      <c r="J92" s="2" t="s">
        <v>1017</v>
      </c>
      <c r="K92" s="2" t="s">
        <v>1033</v>
      </c>
      <c r="L92" s="2" t="s">
        <v>1037</v>
      </c>
      <c r="M92" s="2" t="s">
        <v>1019</v>
      </c>
      <c r="N92" s="2">
        <v>4</v>
      </c>
    </row>
    <row r="93" spans="1:14" x14ac:dyDescent="0.3">
      <c r="A93" t="s">
        <v>105</v>
      </c>
      <c r="B93" s="2">
        <v>24</v>
      </c>
      <c r="C93" s="2" t="s">
        <v>1020</v>
      </c>
      <c r="D93" s="2" t="s">
        <v>1025</v>
      </c>
      <c r="E93" s="2" t="s">
        <v>1055</v>
      </c>
      <c r="F93" s="3">
        <v>45796</v>
      </c>
      <c r="G93" s="3">
        <v>45805</v>
      </c>
      <c r="H93" s="2">
        <v>9</v>
      </c>
      <c r="I93" s="2">
        <v>123000</v>
      </c>
      <c r="J93" s="2" t="s">
        <v>1027</v>
      </c>
      <c r="K93" s="2" t="s">
        <v>1046</v>
      </c>
      <c r="L93" s="2" t="s">
        <v>1037</v>
      </c>
      <c r="M93" s="2" t="s">
        <v>1024</v>
      </c>
      <c r="N93" s="2">
        <v>3</v>
      </c>
    </row>
    <row r="94" spans="1:14" x14ac:dyDescent="0.3">
      <c r="A94" t="s">
        <v>106</v>
      </c>
      <c r="B94" s="2">
        <v>13</v>
      </c>
      <c r="C94" s="2" t="s">
        <v>1014</v>
      </c>
      <c r="D94" s="2" t="s">
        <v>1025</v>
      </c>
      <c r="E94" s="2" t="s">
        <v>1099</v>
      </c>
      <c r="F94" s="3">
        <v>45797</v>
      </c>
      <c r="G94" s="3">
        <v>45803</v>
      </c>
      <c r="H94" s="2">
        <v>6</v>
      </c>
      <c r="I94" s="2">
        <v>123300</v>
      </c>
      <c r="J94" s="2" t="s">
        <v>1017</v>
      </c>
      <c r="K94" s="2" t="s">
        <v>1046</v>
      </c>
      <c r="L94" s="2" t="s">
        <v>1037</v>
      </c>
      <c r="M94" s="2" t="s">
        <v>1038</v>
      </c>
      <c r="N94" s="2">
        <v>4</v>
      </c>
    </row>
    <row r="95" spans="1:14" x14ac:dyDescent="0.3">
      <c r="A95" t="s">
        <v>107</v>
      </c>
      <c r="B95" s="2">
        <v>15</v>
      </c>
      <c r="C95" s="2" t="s">
        <v>1020</v>
      </c>
      <c r="D95" s="2" t="s">
        <v>1035</v>
      </c>
      <c r="E95" s="2" t="s">
        <v>1047</v>
      </c>
      <c r="F95" s="3">
        <v>45798</v>
      </c>
      <c r="G95" s="3">
        <v>45805</v>
      </c>
      <c r="H95" s="2">
        <v>7</v>
      </c>
      <c r="I95" s="2">
        <v>12000</v>
      </c>
      <c r="J95" s="2" t="s">
        <v>1023</v>
      </c>
      <c r="K95" s="2" t="s">
        <v>1106</v>
      </c>
      <c r="L95" s="2" t="s">
        <v>1018</v>
      </c>
      <c r="M95" s="2" t="s">
        <v>1024</v>
      </c>
      <c r="N95" s="2">
        <v>4</v>
      </c>
    </row>
    <row r="96" spans="1:14" x14ac:dyDescent="0.3">
      <c r="A96" t="s">
        <v>108</v>
      </c>
      <c r="B96" s="2">
        <v>24</v>
      </c>
      <c r="C96" s="2" t="s">
        <v>1020</v>
      </c>
      <c r="D96" s="2" t="s">
        <v>1048</v>
      </c>
      <c r="E96" s="2" t="s">
        <v>1100</v>
      </c>
      <c r="F96" s="3">
        <v>45799</v>
      </c>
      <c r="G96" s="3">
        <v>45802</v>
      </c>
      <c r="H96" s="2">
        <v>3</v>
      </c>
      <c r="I96" s="2">
        <v>110000</v>
      </c>
      <c r="J96" s="2" t="s">
        <v>1027</v>
      </c>
      <c r="K96" s="2" t="s">
        <v>1028</v>
      </c>
      <c r="L96" s="2" t="s">
        <v>1018</v>
      </c>
      <c r="M96" s="2" t="s">
        <v>1038</v>
      </c>
      <c r="N96" s="2">
        <v>3</v>
      </c>
    </row>
    <row r="97" spans="1:14" x14ac:dyDescent="0.3">
      <c r="A97" t="s">
        <v>109</v>
      </c>
      <c r="B97" s="2">
        <v>33</v>
      </c>
      <c r="C97" s="2" t="s">
        <v>1020</v>
      </c>
      <c r="D97" s="2" t="s">
        <v>1025</v>
      </c>
      <c r="E97" s="2" t="s">
        <v>1091</v>
      </c>
      <c r="F97" s="3">
        <v>45800</v>
      </c>
      <c r="G97" s="3">
        <v>45808</v>
      </c>
      <c r="H97" s="2">
        <v>8</v>
      </c>
      <c r="I97" s="2">
        <v>120000</v>
      </c>
      <c r="J97" s="2" t="s">
        <v>1017</v>
      </c>
      <c r="K97" s="2" t="s">
        <v>1046</v>
      </c>
      <c r="L97" s="2" t="s">
        <v>1037</v>
      </c>
      <c r="M97" s="2" t="s">
        <v>1019</v>
      </c>
      <c r="N97" s="2">
        <v>4</v>
      </c>
    </row>
    <row r="98" spans="1:14" x14ac:dyDescent="0.3">
      <c r="A98" t="s">
        <v>110</v>
      </c>
      <c r="B98" s="2">
        <v>3</v>
      </c>
      <c r="C98" s="2" t="s">
        <v>1014</v>
      </c>
      <c r="D98" s="2" t="s">
        <v>1041</v>
      </c>
      <c r="E98" s="2" t="s">
        <v>1042</v>
      </c>
      <c r="F98" s="3">
        <v>45801</v>
      </c>
      <c r="G98" s="3">
        <v>45802</v>
      </c>
      <c r="H98" s="2">
        <v>1</v>
      </c>
      <c r="I98" s="2">
        <v>13000</v>
      </c>
      <c r="J98" s="2" t="s">
        <v>1027</v>
      </c>
      <c r="K98" s="2" t="s">
        <v>1128</v>
      </c>
      <c r="L98" s="2" t="s">
        <v>1018</v>
      </c>
      <c r="M98" s="2" t="s">
        <v>1038</v>
      </c>
      <c r="N98" s="2">
        <v>3</v>
      </c>
    </row>
    <row r="99" spans="1:14" x14ac:dyDescent="0.3">
      <c r="A99" t="s">
        <v>111</v>
      </c>
      <c r="B99" s="2">
        <v>24</v>
      </c>
      <c r="C99" s="2" t="s">
        <v>1020</v>
      </c>
      <c r="D99" s="2" t="s">
        <v>1029</v>
      </c>
      <c r="E99" s="2" t="s">
        <v>1101</v>
      </c>
      <c r="F99" s="3">
        <v>45802</v>
      </c>
      <c r="G99" s="3">
        <v>45809</v>
      </c>
      <c r="H99" s="2">
        <v>7</v>
      </c>
      <c r="I99" s="2">
        <v>145000</v>
      </c>
      <c r="J99" s="2" t="s">
        <v>1023</v>
      </c>
      <c r="K99" s="2" t="s">
        <v>1033</v>
      </c>
      <c r="L99" s="2" t="s">
        <v>1037</v>
      </c>
      <c r="M99" s="2" t="s">
        <v>1019</v>
      </c>
      <c r="N99" s="2">
        <v>5</v>
      </c>
    </row>
    <row r="100" spans="1:14" x14ac:dyDescent="0.3">
      <c r="A100" t="s">
        <v>112</v>
      </c>
      <c r="B100" s="2">
        <v>21</v>
      </c>
      <c r="C100" s="2" t="s">
        <v>1014</v>
      </c>
      <c r="D100" s="2" t="s">
        <v>1029</v>
      </c>
      <c r="E100" s="2" t="s">
        <v>1057</v>
      </c>
      <c r="F100" s="3">
        <v>45803</v>
      </c>
      <c r="G100" s="3">
        <v>45810</v>
      </c>
      <c r="H100" s="2">
        <v>7</v>
      </c>
      <c r="I100" s="2">
        <v>10000</v>
      </c>
      <c r="J100" s="2" t="s">
        <v>1027</v>
      </c>
      <c r="K100" s="2" t="s">
        <v>1033</v>
      </c>
      <c r="L100" s="2" t="s">
        <v>1037</v>
      </c>
      <c r="M100" s="2" t="s">
        <v>1038</v>
      </c>
      <c r="N100" s="2">
        <v>3</v>
      </c>
    </row>
    <row r="101" spans="1:14" x14ac:dyDescent="0.3">
      <c r="A101" t="s">
        <v>113</v>
      </c>
      <c r="B101" s="2">
        <v>55</v>
      </c>
      <c r="C101" s="2" t="s">
        <v>1014</v>
      </c>
      <c r="D101" s="2" t="s">
        <v>1021</v>
      </c>
      <c r="E101" s="2" t="s">
        <v>1080</v>
      </c>
      <c r="F101" s="3">
        <v>45804</v>
      </c>
      <c r="G101" s="3">
        <v>45811</v>
      </c>
      <c r="H101" s="2">
        <v>7</v>
      </c>
      <c r="I101" s="2">
        <v>99000</v>
      </c>
      <c r="J101" s="2" t="s">
        <v>1023</v>
      </c>
      <c r="K101" s="2" t="s">
        <v>1147</v>
      </c>
      <c r="L101" s="2" t="s">
        <v>1018</v>
      </c>
      <c r="M101" s="2" t="s">
        <v>1024</v>
      </c>
      <c r="N101" s="2">
        <v>2</v>
      </c>
    </row>
    <row r="102" spans="1:14" x14ac:dyDescent="0.3">
      <c r="A102" t="s">
        <v>114</v>
      </c>
      <c r="B102" s="2">
        <v>29</v>
      </c>
      <c r="C102" s="2" t="s">
        <v>1014</v>
      </c>
      <c r="D102" s="2" t="s">
        <v>1039</v>
      </c>
      <c r="E102" s="2" t="s">
        <v>1102</v>
      </c>
      <c r="F102" s="3">
        <v>45805</v>
      </c>
      <c r="G102" s="3">
        <v>45808</v>
      </c>
      <c r="H102" s="2">
        <v>3</v>
      </c>
      <c r="I102" s="2">
        <v>12000</v>
      </c>
      <c r="J102" s="2" t="s">
        <v>1027</v>
      </c>
      <c r="K102" s="2" t="s">
        <v>1059</v>
      </c>
      <c r="L102" s="2" t="s">
        <v>1018</v>
      </c>
      <c r="M102" s="2" t="s">
        <v>1019</v>
      </c>
      <c r="N102" s="2">
        <v>4</v>
      </c>
    </row>
    <row r="103" spans="1:14" x14ac:dyDescent="0.3">
      <c r="A103" t="s">
        <v>115</v>
      </c>
      <c r="B103" s="2">
        <v>24</v>
      </c>
      <c r="C103" s="2" t="s">
        <v>1020</v>
      </c>
      <c r="D103" s="2" t="s">
        <v>1021</v>
      </c>
      <c r="E103" s="2" t="s">
        <v>1016</v>
      </c>
      <c r="F103" s="3">
        <v>45806</v>
      </c>
      <c r="G103" s="3">
        <v>45809</v>
      </c>
      <c r="H103" s="2">
        <v>3</v>
      </c>
      <c r="I103" s="2">
        <v>150000</v>
      </c>
      <c r="J103" s="2" t="s">
        <v>1023</v>
      </c>
      <c r="K103" s="2" t="s">
        <v>1147</v>
      </c>
      <c r="L103" s="2" t="s">
        <v>1037</v>
      </c>
      <c r="M103" s="2" t="s">
        <v>1024</v>
      </c>
      <c r="N103" s="2">
        <v>3</v>
      </c>
    </row>
    <row r="104" spans="1:14" x14ac:dyDescent="0.3">
      <c r="A104" t="s">
        <v>116</v>
      </c>
      <c r="B104" s="2">
        <v>34</v>
      </c>
      <c r="C104" s="2" t="s">
        <v>1020</v>
      </c>
      <c r="D104" s="2" t="s">
        <v>1041</v>
      </c>
      <c r="E104" s="2" t="s">
        <v>1104</v>
      </c>
      <c r="F104" s="3">
        <v>45807</v>
      </c>
      <c r="G104" s="3">
        <v>45810</v>
      </c>
      <c r="H104" s="2">
        <v>3</v>
      </c>
      <c r="I104" s="2">
        <v>98000</v>
      </c>
      <c r="J104" s="2" t="s">
        <v>1017</v>
      </c>
      <c r="K104" s="2" t="s">
        <v>1128</v>
      </c>
      <c r="L104" s="2" t="s">
        <v>1018</v>
      </c>
      <c r="M104" s="2" t="s">
        <v>1038</v>
      </c>
      <c r="N104" s="2">
        <v>4</v>
      </c>
    </row>
    <row r="105" spans="1:14" x14ac:dyDescent="0.3">
      <c r="A105" t="s">
        <v>117</v>
      </c>
      <c r="B105">
        <v>24</v>
      </c>
      <c r="C105" s="2" t="s">
        <v>1014</v>
      </c>
      <c r="D105" s="2" t="s">
        <v>1025</v>
      </c>
      <c r="E105" s="2" t="s">
        <v>1026</v>
      </c>
      <c r="F105" s="1">
        <v>45808</v>
      </c>
      <c r="G105" s="1">
        <v>46178</v>
      </c>
      <c r="H105" s="2">
        <v>5</v>
      </c>
      <c r="I105" s="2">
        <v>100000</v>
      </c>
      <c r="J105" s="2" t="s">
        <v>1017</v>
      </c>
      <c r="K105" s="2" t="s">
        <v>1046</v>
      </c>
      <c r="L105" t="s">
        <v>1037</v>
      </c>
      <c r="M105" s="2" t="s">
        <v>1024</v>
      </c>
      <c r="N105" s="2">
        <v>5</v>
      </c>
    </row>
    <row r="106" spans="1:14" x14ac:dyDescent="0.3">
      <c r="A106" t="s">
        <v>118</v>
      </c>
      <c r="B106">
        <v>7</v>
      </c>
      <c r="C106" s="2" t="s">
        <v>1014</v>
      </c>
      <c r="D106" s="2" t="s">
        <v>1029</v>
      </c>
      <c r="E106" s="2" t="s">
        <v>1105</v>
      </c>
      <c r="F106" s="1">
        <v>45809</v>
      </c>
      <c r="G106" s="1">
        <v>45815</v>
      </c>
      <c r="H106" s="2">
        <v>7</v>
      </c>
      <c r="I106" s="2">
        <v>120000</v>
      </c>
      <c r="J106" s="2" t="s">
        <v>1023</v>
      </c>
      <c r="K106" s="2" t="s">
        <v>1033</v>
      </c>
      <c r="L106" t="s">
        <v>1018</v>
      </c>
      <c r="M106" s="2" t="s">
        <v>1019</v>
      </c>
      <c r="N106" s="2">
        <v>4</v>
      </c>
    </row>
    <row r="107" spans="1:14" x14ac:dyDescent="0.3">
      <c r="A107" t="s">
        <v>119</v>
      </c>
      <c r="B107">
        <v>10</v>
      </c>
      <c r="C107" s="2" t="s">
        <v>1020</v>
      </c>
      <c r="D107" s="2" t="s">
        <v>1021</v>
      </c>
      <c r="E107" s="2" t="s">
        <v>1069</v>
      </c>
      <c r="F107" s="1">
        <v>45810</v>
      </c>
      <c r="G107" s="1">
        <v>45817</v>
      </c>
      <c r="H107" s="2">
        <v>8</v>
      </c>
      <c r="I107" s="2">
        <v>130000</v>
      </c>
      <c r="J107" s="2" t="s">
        <v>1027</v>
      </c>
      <c r="K107" s="2" t="s">
        <v>1147</v>
      </c>
      <c r="L107" t="s">
        <v>1037</v>
      </c>
      <c r="M107" s="2" t="s">
        <v>1024</v>
      </c>
      <c r="N107" s="2">
        <v>4</v>
      </c>
    </row>
    <row r="108" spans="1:14" x14ac:dyDescent="0.3">
      <c r="A108" t="s">
        <v>120</v>
      </c>
      <c r="B108">
        <v>44</v>
      </c>
      <c r="C108" s="2" t="s">
        <v>1020</v>
      </c>
      <c r="D108" s="2" t="s">
        <v>1048</v>
      </c>
      <c r="E108" s="2" t="s">
        <v>1107</v>
      </c>
      <c r="F108" s="1">
        <v>45811</v>
      </c>
      <c r="G108" s="1">
        <v>45814</v>
      </c>
      <c r="H108" s="2">
        <v>3</v>
      </c>
      <c r="I108" s="2">
        <v>120000</v>
      </c>
      <c r="J108" s="2" t="s">
        <v>1017</v>
      </c>
      <c r="K108" s="2" t="s">
        <v>1028</v>
      </c>
      <c r="L108" t="s">
        <v>1037</v>
      </c>
      <c r="M108" s="2" t="s">
        <v>1038</v>
      </c>
      <c r="N108" s="2">
        <v>3</v>
      </c>
    </row>
    <row r="109" spans="1:14" x14ac:dyDescent="0.3">
      <c r="A109" t="s">
        <v>121</v>
      </c>
      <c r="B109">
        <v>33</v>
      </c>
      <c r="C109" s="2" t="s">
        <v>1020</v>
      </c>
      <c r="D109" s="2" t="s">
        <v>1041</v>
      </c>
      <c r="E109" s="2" t="s">
        <v>1108</v>
      </c>
      <c r="F109" s="1">
        <v>45812</v>
      </c>
      <c r="G109" s="1">
        <v>45813</v>
      </c>
      <c r="H109" s="2">
        <v>1</v>
      </c>
      <c r="I109" s="2">
        <v>12000</v>
      </c>
      <c r="J109" s="2" t="s">
        <v>1023</v>
      </c>
      <c r="K109" s="2" t="s">
        <v>1128</v>
      </c>
      <c r="L109" t="s">
        <v>1037</v>
      </c>
      <c r="M109" s="2" t="s">
        <v>1024</v>
      </c>
      <c r="N109" s="2">
        <v>4</v>
      </c>
    </row>
    <row r="110" spans="1:14" x14ac:dyDescent="0.3">
      <c r="A110" t="s">
        <v>122</v>
      </c>
      <c r="B110">
        <v>21</v>
      </c>
      <c r="C110" s="2" t="s">
        <v>1014</v>
      </c>
      <c r="D110" s="2" t="s">
        <v>1025</v>
      </c>
      <c r="E110" s="2" t="s">
        <v>1062</v>
      </c>
      <c r="F110" s="1">
        <v>45813</v>
      </c>
      <c r="G110" s="1">
        <v>45818</v>
      </c>
      <c r="H110" s="2">
        <v>5</v>
      </c>
      <c r="I110" s="2">
        <v>134000</v>
      </c>
      <c r="J110" s="2" t="s">
        <v>1027</v>
      </c>
      <c r="K110" s="2" t="s">
        <v>1046</v>
      </c>
      <c r="L110" t="s">
        <v>1018</v>
      </c>
      <c r="M110" s="2" t="s">
        <v>1038</v>
      </c>
      <c r="N110" s="2">
        <v>3</v>
      </c>
    </row>
    <row r="111" spans="1:14" x14ac:dyDescent="0.3">
      <c r="A111" t="s">
        <v>123</v>
      </c>
      <c r="B111">
        <v>24</v>
      </c>
      <c r="C111" s="2" t="s">
        <v>1014</v>
      </c>
      <c r="D111" s="2" t="s">
        <v>1015</v>
      </c>
      <c r="E111" s="2" t="s">
        <v>1088</v>
      </c>
      <c r="F111" s="1">
        <v>45814</v>
      </c>
      <c r="G111" s="1">
        <v>45816</v>
      </c>
      <c r="H111" s="2">
        <v>2</v>
      </c>
      <c r="I111" s="2">
        <v>78000</v>
      </c>
      <c r="J111" s="2" t="s">
        <v>1017</v>
      </c>
      <c r="K111" s="2" t="s">
        <v>1052</v>
      </c>
      <c r="L111" t="s">
        <v>1018</v>
      </c>
      <c r="M111" s="2" t="s">
        <v>1024</v>
      </c>
      <c r="N111" s="2">
        <v>4</v>
      </c>
    </row>
    <row r="112" spans="1:14" x14ac:dyDescent="0.3">
      <c r="A112" t="s">
        <v>124</v>
      </c>
      <c r="B112">
        <v>33</v>
      </c>
      <c r="C112" s="2" t="s">
        <v>1014</v>
      </c>
      <c r="D112" s="2" t="s">
        <v>1029</v>
      </c>
      <c r="E112" s="2" t="s">
        <v>1050</v>
      </c>
      <c r="F112" s="1">
        <v>45815</v>
      </c>
      <c r="G112" s="1">
        <v>45820</v>
      </c>
      <c r="H112" s="2">
        <v>5</v>
      </c>
      <c r="I112" s="2">
        <v>87000</v>
      </c>
      <c r="J112" s="2" t="s">
        <v>1023</v>
      </c>
      <c r="K112" s="2" t="s">
        <v>1033</v>
      </c>
      <c r="L112" t="s">
        <v>1037</v>
      </c>
      <c r="M112" s="2" t="s">
        <v>1038</v>
      </c>
      <c r="N112" s="2">
        <v>4</v>
      </c>
    </row>
    <row r="113" spans="1:14" x14ac:dyDescent="0.3">
      <c r="A113" t="s">
        <v>125</v>
      </c>
      <c r="B113">
        <v>61</v>
      </c>
      <c r="C113" s="2" t="s">
        <v>1014</v>
      </c>
      <c r="D113" s="2" t="s">
        <v>1035</v>
      </c>
      <c r="E113" s="2" t="s">
        <v>1085</v>
      </c>
      <c r="F113" s="1">
        <v>45816</v>
      </c>
      <c r="G113" s="1">
        <v>45821</v>
      </c>
      <c r="H113" s="2">
        <v>5</v>
      </c>
      <c r="I113" s="2">
        <v>83000</v>
      </c>
      <c r="J113" s="2" t="s">
        <v>1017</v>
      </c>
      <c r="K113" s="2" t="s">
        <v>1106</v>
      </c>
      <c r="L113" t="s">
        <v>1018</v>
      </c>
      <c r="M113" s="2" t="s">
        <v>1038</v>
      </c>
      <c r="N113" s="2">
        <v>4</v>
      </c>
    </row>
    <row r="114" spans="1:14" x14ac:dyDescent="0.3">
      <c r="A114" t="s">
        <v>126</v>
      </c>
      <c r="B114">
        <v>65</v>
      </c>
      <c r="C114" s="2" t="s">
        <v>1020</v>
      </c>
      <c r="D114" s="2" t="s">
        <v>1021</v>
      </c>
      <c r="E114" s="2" t="s">
        <v>1065</v>
      </c>
      <c r="F114" s="1">
        <v>45817</v>
      </c>
      <c r="G114" s="1">
        <v>45828</v>
      </c>
      <c r="H114" s="2">
        <v>11</v>
      </c>
      <c r="I114" s="2">
        <v>250000</v>
      </c>
      <c r="J114" s="2" t="s">
        <v>1023</v>
      </c>
      <c r="K114" s="2" t="s">
        <v>1147</v>
      </c>
      <c r="L114" t="s">
        <v>1037</v>
      </c>
      <c r="M114" s="2" t="s">
        <v>1024</v>
      </c>
      <c r="N114" s="2">
        <v>3</v>
      </c>
    </row>
    <row r="115" spans="1:14" x14ac:dyDescent="0.3">
      <c r="A115" t="s">
        <v>127</v>
      </c>
      <c r="B115">
        <v>63</v>
      </c>
      <c r="C115" s="2" t="s">
        <v>1020</v>
      </c>
      <c r="D115" s="2" t="s">
        <v>1025</v>
      </c>
      <c r="E115" s="2" t="s">
        <v>1109</v>
      </c>
      <c r="F115" s="1">
        <v>45818</v>
      </c>
      <c r="G115" s="1">
        <v>45829</v>
      </c>
      <c r="H115" s="2">
        <v>11</v>
      </c>
      <c r="I115" s="2">
        <v>99000</v>
      </c>
      <c r="J115" s="2" t="s">
        <v>1027</v>
      </c>
      <c r="K115" s="2" t="s">
        <v>1046</v>
      </c>
      <c r="L115" t="s">
        <v>1037</v>
      </c>
      <c r="M115" s="2" t="s">
        <v>1038</v>
      </c>
      <c r="N115" s="2">
        <v>5</v>
      </c>
    </row>
    <row r="116" spans="1:14" x14ac:dyDescent="0.3">
      <c r="A116" t="s">
        <v>128</v>
      </c>
      <c r="B116">
        <v>24</v>
      </c>
      <c r="C116" s="2" t="s">
        <v>1020</v>
      </c>
      <c r="D116" s="2" t="s">
        <v>1035</v>
      </c>
      <c r="E116" s="2" t="s">
        <v>1047</v>
      </c>
      <c r="F116" s="1">
        <v>45819</v>
      </c>
      <c r="G116" s="1">
        <v>45823</v>
      </c>
      <c r="H116" s="2">
        <v>4</v>
      </c>
      <c r="I116" s="2">
        <v>120000</v>
      </c>
      <c r="J116" s="2" t="s">
        <v>1017</v>
      </c>
      <c r="K116" s="2" t="s">
        <v>1106</v>
      </c>
      <c r="L116" t="s">
        <v>1018</v>
      </c>
      <c r="M116" s="2" t="s">
        <v>1019</v>
      </c>
      <c r="N116" s="2">
        <v>4</v>
      </c>
    </row>
    <row r="117" spans="1:14" x14ac:dyDescent="0.3">
      <c r="A117" t="s">
        <v>129</v>
      </c>
      <c r="B117">
        <v>66</v>
      </c>
      <c r="C117" s="2" t="s">
        <v>1020</v>
      </c>
      <c r="D117" s="2" t="s">
        <v>1035</v>
      </c>
      <c r="E117" s="2" t="s">
        <v>1110</v>
      </c>
      <c r="F117" s="1">
        <v>45820</v>
      </c>
      <c r="G117" s="1">
        <v>45826</v>
      </c>
      <c r="H117" s="2">
        <v>6</v>
      </c>
      <c r="I117" s="2">
        <v>150000</v>
      </c>
      <c r="J117" s="2" t="s">
        <v>1027</v>
      </c>
      <c r="K117" s="2" t="s">
        <v>1106</v>
      </c>
      <c r="L117" t="s">
        <v>1018</v>
      </c>
      <c r="M117" s="2" t="s">
        <v>1038</v>
      </c>
      <c r="N117" s="2">
        <v>3</v>
      </c>
    </row>
    <row r="118" spans="1:14" x14ac:dyDescent="0.3">
      <c r="A118" t="s">
        <v>130</v>
      </c>
      <c r="B118">
        <v>67</v>
      </c>
      <c r="C118" s="2" t="s">
        <v>1014</v>
      </c>
      <c r="D118" s="2" t="s">
        <v>1029</v>
      </c>
      <c r="E118" s="2" t="s">
        <v>1111</v>
      </c>
      <c r="F118" s="1">
        <v>45821</v>
      </c>
      <c r="G118" s="1">
        <v>45828</v>
      </c>
      <c r="H118" s="2">
        <v>7</v>
      </c>
      <c r="I118" s="2">
        <v>120000</v>
      </c>
      <c r="J118" s="2" t="s">
        <v>1023</v>
      </c>
      <c r="K118" s="2" t="s">
        <v>1033</v>
      </c>
      <c r="L118" t="s">
        <v>1037</v>
      </c>
      <c r="M118" s="2" t="s">
        <v>1024</v>
      </c>
      <c r="N118" s="2">
        <v>4</v>
      </c>
    </row>
    <row r="119" spans="1:14" x14ac:dyDescent="0.3">
      <c r="A119" t="s">
        <v>131</v>
      </c>
      <c r="B119">
        <v>24</v>
      </c>
      <c r="C119" s="2" t="s">
        <v>1014</v>
      </c>
      <c r="D119" s="2" t="s">
        <v>1035</v>
      </c>
      <c r="E119" s="2" t="s">
        <v>1096</v>
      </c>
      <c r="F119" s="1">
        <v>45822</v>
      </c>
      <c r="G119" s="1">
        <v>45828</v>
      </c>
      <c r="H119" s="2">
        <v>6</v>
      </c>
      <c r="I119" s="2">
        <v>130000</v>
      </c>
      <c r="J119" s="2" t="s">
        <v>1027</v>
      </c>
      <c r="K119" s="2" t="s">
        <v>1106</v>
      </c>
      <c r="L119" t="s">
        <v>1018</v>
      </c>
      <c r="M119" s="2" t="s">
        <v>1038</v>
      </c>
      <c r="N119" s="2">
        <v>4</v>
      </c>
    </row>
    <row r="120" spans="1:14" x14ac:dyDescent="0.3">
      <c r="A120" t="s">
        <v>132</v>
      </c>
      <c r="B120">
        <v>24</v>
      </c>
      <c r="C120" s="2" t="s">
        <v>1020</v>
      </c>
      <c r="D120" s="2" t="s">
        <v>1035</v>
      </c>
      <c r="E120" s="2" t="s">
        <v>1112</v>
      </c>
      <c r="F120" s="1">
        <v>45823</v>
      </c>
      <c r="G120" s="1">
        <v>45833</v>
      </c>
      <c r="H120" s="2">
        <v>10</v>
      </c>
      <c r="I120" s="2">
        <v>150000</v>
      </c>
      <c r="J120" s="2" t="s">
        <v>1023</v>
      </c>
      <c r="K120" s="2" t="s">
        <v>1106</v>
      </c>
      <c r="L120" t="s">
        <v>1037</v>
      </c>
      <c r="M120" s="2" t="s">
        <v>1019</v>
      </c>
      <c r="N120" s="2">
        <v>3</v>
      </c>
    </row>
    <row r="121" spans="1:14" x14ac:dyDescent="0.3">
      <c r="A121" t="s">
        <v>133</v>
      </c>
      <c r="B121">
        <v>19</v>
      </c>
      <c r="C121" s="2" t="s">
        <v>1014</v>
      </c>
      <c r="D121" s="2" t="s">
        <v>1025</v>
      </c>
      <c r="E121" s="2" t="s">
        <v>1055</v>
      </c>
      <c r="F121" s="1">
        <v>45824</v>
      </c>
      <c r="G121" s="1">
        <v>45829</v>
      </c>
      <c r="H121" s="2">
        <v>5</v>
      </c>
      <c r="I121" s="2">
        <v>13000</v>
      </c>
      <c r="J121" s="2" t="s">
        <v>1027</v>
      </c>
      <c r="K121" s="2" t="s">
        <v>1046</v>
      </c>
      <c r="L121" t="s">
        <v>1018</v>
      </c>
      <c r="M121" s="2" t="s">
        <v>1038</v>
      </c>
      <c r="N121" s="2">
        <v>3</v>
      </c>
    </row>
    <row r="122" spans="1:14" x14ac:dyDescent="0.3">
      <c r="A122" t="s">
        <v>134</v>
      </c>
      <c r="B122">
        <v>78</v>
      </c>
      <c r="C122" s="2" t="s">
        <v>1014</v>
      </c>
      <c r="D122" s="2" t="s">
        <v>1021</v>
      </c>
      <c r="E122" s="2" t="s">
        <v>1080</v>
      </c>
      <c r="F122" s="1">
        <v>45825</v>
      </c>
      <c r="G122" s="1">
        <v>45837</v>
      </c>
      <c r="H122" s="2">
        <v>12</v>
      </c>
      <c r="I122" s="2">
        <v>156000</v>
      </c>
      <c r="J122" s="2" t="s">
        <v>1023</v>
      </c>
      <c r="K122" s="2" t="s">
        <v>1147</v>
      </c>
      <c r="L122" t="s">
        <v>1037</v>
      </c>
      <c r="M122" s="2" t="s">
        <v>1019</v>
      </c>
      <c r="N122" s="2">
        <v>4</v>
      </c>
    </row>
    <row r="123" spans="1:14" x14ac:dyDescent="0.3">
      <c r="A123" t="s">
        <v>135</v>
      </c>
      <c r="B123">
        <v>88</v>
      </c>
      <c r="C123" s="2" t="s">
        <v>1020</v>
      </c>
      <c r="D123" s="2" t="s">
        <v>1025</v>
      </c>
      <c r="E123" s="2" t="s">
        <v>1091</v>
      </c>
      <c r="F123" s="1">
        <v>45826</v>
      </c>
      <c r="G123" s="1">
        <v>45832</v>
      </c>
      <c r="H123" s="2">
        <v>6</v>
      </c>
      <c r="I123" s="2">
        <v>200000</v>
      </c>
      <c r="J123" s="2" t="s">
        <v>1017</v>
      </c>
      <c r="K123" s="2" t="s">
        <v>1046</v>
      </c>
      <c r="L123" t="s">
        <v>1037</v>
      </c>
      <c r="M123" s="2" t="s">
        <v>1038</v>
      </c>
      <c r="N123" s="2">
        <v>3</v>
      </c>
    </row>
    <row r="124" spans="1:14" x14ac:dyDescent="0.3">
      <c r="A124" t="s">
        <v>136</v>
      </c>
      <c r="B124">
        <v>69</v>
      </c>
      <c r="C124" s="2" t="s">
        <v>1020</v>
      </c>
      <c r="D124" s="2" t="s">
        <v>1021</v>
      </c>
      <c r="E124" s="2" t="s">
        <v>1113</v>
      </c>
      <c r="F124" s="1">
        <v>45827</v>
      </c>
      <c r="G124" s="1">
        <v>45833</v>
      </c>
      <c r="H124" s="2">
        <v>6</v>
      </c>
      <c r="I124" s="2">
        <v>150000</v>
      </c>
      <c r="J124" s="2" t="s">
        <v>1017</v>
      </c>
      <c r="K124" s="2" t="s">
        <v>1147</v>
      </c>
      <c r="L124" t="s">
        <v>1037</v>
      </c>
      <c r="M124" s="2" t="s">
        <v>1019</v>
      </c>
      <c r="N124" s="2">
        <v>4</v>
      </c>
    </row>
    <row r="125" spans="1:14" x14ac:dyDescent="0.3">
      <c r="A125" t="s">
        <v>137</v>
      </c>
      <c r="B125">
        <v>12</v>
      </c>
      <c r="C125" s="2" t="s">
        <v>1014</v>
      </c>
      <c r="D125" s="2" t="s">
        <v>1029</v>
      </c>
      <c r="E125" s="2" t="s">
        <v>1114</v>
      </c>
      <c r="F125" s="1">
        <v>45828</v>
      </c>
      <c r="G125" s="1">
        <v>45836</v>
      </c>
      <c r="H125" s="2">
        <v>8</v>
      </c>
      <c r="I125" s="2">
        <v>140000</v>
      </c>
      <c r="J125" s="2" t="s">
        <v>1023</v>
      </c>
      <c r="K125" s="2" t="s">
        <v>1033</v>
      </c>
      <c r="L125" t="s">
        <v>1018</v>
      </c>
      <c r="M125" s="2" t="s">
        <v>1038</v>
      </c>
      <c r="N125" s="2">
        <v>4</v>
      </c>
    </row>
    <row r="126" spans="1:14" x14ac:dyDescent="0.3">
      <c r="A126" t="s">
        <v>138</v>
      </c>
      <c r="B126">
        <v>24</v>
      </c>
      <c r="C126" s="2" t="s">
        <v>1014</v>
      </c>
      <c r="D126" s="2" t="s">
        <v>1035</v>
      </c>
      <c r="E126" s="2" t="s">
        <v>1115</v>
      </c>
      <c r="F126" s="1">
        <v>45829</v>
      </c>
      <c r="G126" s="1">
        <v>45838</v>
      </c>
      <c r="H126" s="2">
        <v>9</v>
      </c>
      <c r="I126" s="2">
        <v>120000</v>
      </c>
      <c r="J126" s="2" t="s">
        <v>1017</v>
      </c>
      <c r="K126" s="2" t="s">
        <v>1106</v>
      </c>
      <c r="L126" t="s">
        <v>1018</v>
      </c>
      <c r="M126" s="2" t="s">
        <v>1019</v>
      </c>
      <c r="N126" s="2">
        <v>3</v>
      </c>
    </row>
    <row r="127" spans="1:14" x14ac:dyDescent="0.3">
      <c r="A127" t="s">
        <v>139</v>
      </c>
      <c r="B127">
        <v>33</v>
      </c>
      <c r="C127" s="2" t="s">
        <v>1020</v>
      </c>
      <c r="D127" s="2" t="s">
        <v>1015</v>
      </c>
      <c r="E127" s="2" t="s">
        <v>1016</v>
      </c>
      <c r="F127" s="1">
        <v>45830</v>
      </c>
      <c r="G127" s="1">
        <v>45837</v>
      </c>
      <c r="H127" s="2">
        <v>7</v>
      </c>
      <c r="I127" s="2">
        <v>10000</v>
      </c>
      <c r="J127" s="2" t="s">
        <v>1027</v>
      </c>
      <c r="K127" s="2" t="s">
        <v>1052</v>
      </c>
      <c r="L127" t="s">
        <v>1037</v>
      </c>
      <c r="M127" s="2" t="s">
        <v>1038</v>
      </c>
      <c r="N127" s="2">
        <v>5</v>
      </c>
    </row>
    <row r="128" spans="1:14" x14ac:dyDescent="0.3">
      <c r="A128" t="s">
        <v>140</v>
      </c>
      <c r="B128">
        <v>21</v>
      </c>
      <c r="C128" s="2" t="s">
        <v>1014</v>
      </c>
      <c r="D128" s="2" t="s">
        <v>1015</v>
      </c>
      <c r="E128" s="2" t="s">
        <v>1116</v>
      </c>
      <c r="F128" s="1">
        <v>45831</v>
      </c>
      <c r="G128" s="1">
        <v>45835</v>
      </c>
      <c r="H128" s="2">
        <v>4</v>
      </c>
      <c r="I128" s="2">
        <v>21000</v>
      </c>
      <c r="J128" s="2" t="s">
        <v>1027</v>
      </c>
      <c r="K128" s="2" t="s">
        <v>1052</v>
      </c>
      <c r="L128" t="s">
        <v>1018</v>
      </c>
      <c r="M128" s="2" t="s">
        <v>1038</v>
      </c>
      <c r="N128" s="2">
        <v>4</v>
      </c>
    </row>
    <row r="129" spans="1:14" x14ac:dyDescent="0.3">
      <c r="A129" t="s">
        <v>141</v>
      </c>
      <c r="B129">
        <v>24</v>
      </c>
      <c r="C129" s="2" t="s">
        <v>1020</v>
      </c>
      <c r="D129" s="2" t="s">
        <v>1025</v>
      </c>
      <c r="E129" s="2" t="s">
        <v>1026</v>
      </c>
      <c r="F129" s="1">
        <v>45832</v>
      </c>
      <c r="G129" s="1">
        <v>45838</v>
      </c>
      <c r="H129" s="2">
        <v>6</v>
      </c>
      <c r="I129" s="2">
        <v>31000</v>
      </c>
      <c r="J129" s="2" t="s">
        <v>1017</v>
      </c>
      <c r="K129" s="2" t="s">
        <v>1046</v>
      </c>
      <c r="L129" t="s">
        <v>1037</v>
      </c>
      <c r="M129" s="2" t="s">
        <v>1024</v>
      </c>
      <c r="N129" s="2">
        <v>5</v>
      </c>
    </row>
    <row r="130" spans="1:14" x14ac:dyDescent="0.3">
      <c r="A130" t="s">
        <v>142</v>
      </c>
      <c r="B130">
        <v>22</v>
      </c>
      <c r="C130" s="2" t="s">
        <v>1020</v>
      </c>
      <c r="D130" s="2" t="s">
        <v>1035</v>
      </c>
      <c r="E130" s="2" t="s">
        <v>1110</v>
      </c>
      <c r="F130" s="1">
        <v>45833</v>
      </c>
      <c r="G130" s="1">
        <v>45837</v>
      </c>
      <c r="H130" s="2">
        <v>4</v>
      </c>
      <c r="I130" s="2">
        <v>41000</v>
      </c>
      <c r="J130" s="2" t="s">
        <v>1027</v>
      </c>
      <c r="K130" s="2" t="s">
        <v>1106</v>
      </c>
      <c r="L130" t="s">
        <v>1018</v>
      </c>
      <c r="M130" s="2" t="s">
        <v>1038</v>
      </c>
      <c r="N130" s="2">
        <v>4</v>
      </c>
    </row>
    <row r="131" spans="1:14" x14ac:dyDescent="0.3">
      <c r="A131" t="s">
        <v>143</v>
      </c>
      <c r="B131">
        <v>21</v>
      </c>
      <c r="C131" s="2" t="s">
        <v>1014</v>
      </c>
      <c r="D131" s="2" t="s">
        <v>1025</v>
      </c>
      <c r="E131" s="2" t="s">
        <v>1055</v>
      </c>
      <c r="F131" s="1">
        <v>45834</v>
      </c>
      <c r="G131" s="1">
        <v>45835</v>
      </c>
      <c r="H131" s="2">
        <v>1</v>
      </c>
      <c r="I131" s="2">
        <v>12000</v>
      </c>
      <c r="J131" s="2" t="s">
        <v>1023</v>
      </c>
      <c r="K131" s="2" t="s">
        <v>1046</v>
      </c>
      <c r="L131" t="s">
        <v>1018</v>
      </c>
      <c r="M131" s="2" t="s">
        <v>1038</v>
      </c>
      <c r="N131" s="2">
        <v>3</v>
      </c>
    </row>
    <row r="132" spans="1:14" x14ac:dyDescent="0.3">
      <c r="A132" t="s">
        <v>144</v>
      </c>
      <c r="B132">
        <v>4</v>
      </c>
      <c r="C132" s="2" t="s">
        <v>1020</v>
      </c>
      <c r="D132" s="2" t="s">
        <v>1015</v>
      </c>
      <c r="E132" s="2" t="s">
        <v>1117</v>
      </c>
      <c r="F132" s="1">
        <v>45835</v>
      </c>
      <c r="G132" s="1">
        <v>45838</v>
      </c>
      <c r="H132" s="2">
        <v>2</v>
      </c>
      <c r="I132" s="2">
        <v>28000</v>
      </c>
      <c r="J132" s="2" t="s">
        <v>1027</v>
      </c>
      <c r="K132" s="2" t="s">
        <v>1052</v>
      </c>
      <c r="L132" t="s">
        <v>1018</v>
      </c>
      <c r="M132" s="2" t="s">
        <v>1024</v>
      </c>
      <c r="N132" s="2">
        <v>4</v>
      </c>
    </row>
    <row r="133" spans="1:14" x14ac:dyDescent="0.3">
      <c r="A133" t="s">
        <v>145</v>
      </c>
      <c r="B133">
        <v>45</v>
      </c>
      <c r="C133" s="2" t="s">
        <v>1020</v>
      </c>
      <c r="D133" s="2" t="s">
        <v>1048</v>
      </c>
      <c r="E133" s="2" t="s">
        <v>1081</v>
      </c>
      <c r="F133" s="1">
        <v>45836</v>
      </c>
      <c r="G133" s="1">
        <v>45841</v>
      </c>
      <c r="H133" s="2">
        <v>5</v>
      </c>
      <c r="I133" s="2">
        <v>32000</v>
      </c>
      <c r="J133" s="2" t="s">
        <v>1023</v>
      </c>
      <c r="K133" s="2" t="s">
        <v>1028</v>
      </c>
      <c r="L133" t="s">
        <v>1037</v>
      </c>
      <c r="M133" s="2" t="s">
        <v>1024</v>
      </c>
      <c r="N133" s="2">
        <v>4</v>
      </c>
    </row>
    <row r="134" spans="1:14" x14ac:dyDescent="0.3">
      <c r="A134" t="s">
        <v>146</v>
      </c>
      <c r="B134">
        <v>30</v>
      </c>
      <c r="C134" s="2" t="s">
        <v>1020</v>
      </c>
      <c r="D134" s="2" t="s">
        <v>1039</v>
      </c>
      <c r="E134" s="2" t="s">
        <v>1082</v>
      </c>
      <c r="F134" s="1">
        <v>45837</v>
      </c>
      <c r="G134" s="1">
        <v>45843</v>
      </c>
      <c r="H134" s="2">
        <v>6</v>
      </c>
      <c r="I134" s="2">
        <v>45000</v>
      </c>
      <c r="J134" s="2" t="s">
        <v>1017</v>
      </c>
      <c r="K134" s="2" t="s">
        <v>1059</v>
      </c>
      <c r="L134" t="s">
        <v>1018</v>
      </c>
      <c r="M134" s="2" t="s">
        <v>1038</v>
      </c>
      <c r="N134" s="2">
        <v>5</v>
      </c>
    </row>
    <row r="135" spans="1:14" x14ac:dyDescent="0.3">
      <c r="A135" t="s">
        <v>147</v>
      </c>
      <c r="B135">
        <v>24</v>
      </c>
      <c r="C135" s="2" t="s">
        <v>1014</v>
      </c>
      <c r="D135" s="2" t="s">
        <v>1039</v>
      </c>
      <c r="E135" s="2" t="s">
        <v>1102</v>
      </c>
      <c r="F135" s="1">
        <v>45838</v>
      </c>
      <c r="G135" s="1">
        <v>45842</v>
      </c>
      <c r="H135" s="2">
        <v>4</v>
      </c>
      <c r="I135" s="2">
        <v>48000</v>
      </c>
      <c r="J135" s="2" t="s">
        <v>1023</v>
      </c>
      <c r="K135" s="2" t="s">
        <v>1059</v>
      </c>
      <c r="L135" t="s">
        <v>1037</v>
      </c>
      <c r="M135" s="2" t="s">
        <v>1038</v>
      </c>
      <c r="N135" s="2">
        <v>3</v>
      </c>
    </row>
    <row r="136" spans="1:14" x14ac:dyDescent="0.3">
      <c r="A136" t="s">
        <v>148</v>
      </c>
      <c r="B136">
        <v>44</v>
      </c>
      <c r="C136" s="2" t="s">
        <v>1014</v>
      </c>
      <c r="D136" s="2" t="s">
        <v>1021</v>
      </c>
      <c r="E136" s="2" t="s">
        <v>1118</v>
      </c>
      <c r="F136" s="1">
        <v>45839</v>
      </c>
      <c r="G136" s="1">
        <v>45845</v>
      </c>
      <c r="H136" s="2">
        <v>6</v>
      </c>
      <c r="I136" s="2">
        <v>55000</v>
      </c>
      <c r="J136" s="2" t="s">
        <v>1027</v>
      </c>
      <c r="K136" s="2" t="s">
        <v>1147</v>
      </c>
      <c r="L136" t="s">
        <v>1018</v>
      </c>
      <c r="M136" s="2" t="s">
        <v>1019</v>
      </c>
      <c r="N136" s="2">
        <v>4</v>
      </c>
    </row>
    <row r="137" spans="1:14" x14ac:dyDescent="0.3">
      <c r="A137" t="s">
        <v>149</v>
      </c>
      <c r="B137">
        <v>45</v>
      </c>
      <c r="C137" s="2" t="s">
        <v>1020</v>
      </c>
      <c r="D137" s="2" t="s">
        <v>1029</v>
      </c>
      <c r="E137" s="2" t="s">
        <v>1119</v>
      </c>
      <c r="F137" s="1">
        <v>45840</v>
      </c>
      <c r="G137" s="1">
        <v>45848</v>
      </c>
      <c r="H137" s="2">
        <v>8</v>
      </c>
      <c r="I137" s="2">
        <v>87000</v>
      </c>
      <c r="J137" s="2" t="s">
        <v>1023</v>
      </c>
      <c r="K137" s="2" t="s">
        <v>1033</v>
      </c>
      <c r="L137" t="s">
        <v>1037</v>
      </c>
      <c r="M137" s="2" t="s">
        <v>1038</v>
      </c>
      <c r="N137" s="2">
        <v>4</v>
      </c>
    </row>
    <row r="138" spans="1:14" x14ac:dyDescent="0.3">
      <c r="A138" t="s">
        <v>150</v>
      </c>
      <c r="B138">
        <v>24</v>
      </c>
      <c r="C138" s="2" t="s">
        <v>1020</v>
      </c>
      <c r="D138" s="2" t="s">
        <v>1035</v>
      </c>
      <c r="E138" s="2" t="s">
        <v>1120</v>
      </c>
      <c r="F138" s="1">
        <v>45841</v>
      </c>
      <c r="G138" s="1">
        <v>45849</v>
      </c>
      <c r="H138" s="2">
        <v>7</v>
      </c>
      <c r="I138" s="2">
        <v>99000</v>
      </c>
      <c r="J138" s="2" t="s">
        <v>1017</v>
      </c>
      <c r="K138" s="2" t="s">
        <v>1106</v>
      </c>
      <c r="L138" t="s">
        <v>1037</v>
      </c>
      <c r="M138" s="2" t="s">
        <v>1024</v>
      </c>
      <c r="N138" s="2">
        <v>3</v>
      </c>
    </row>
    <row r="139" spans="1:14" x14ac:dyDescent="0.3">
      <c r="A139" t="s">
        <v>151</v>
      </c>
      <c r="B139">
        <v>87</v>
      </c>
      <c r="C139" s="2" t="s">
        <v>1020</v>
      </c>
      <c r="D139" s="2" t="s">
        <v>1025</v>
      </c>
      <c r="E139" s="2" t="s">
        <v>1121</v>
      </c>
      <c r="F139" s="1">
        <v>45842</v>
      </c>
      <c r="G139" s="1">
        <v>45850</v>
      </c>
      <c r="H139" s="2">
        <v>8</v>
      </c>
      <c r="I139" s="2">
        <v>100000</v>
      </c>
      <c r="J139" s="2" t="s">
        <v>1027</v>
      </c>
      <c r="K139" s="2" t="s">
        <v>1046</v>
      </c>
      <c r="L139" t="s">
        <v>1037</v>
      </c>
      <c r="M139" s="2" t="s">
        <v>1038</v>
      </c>
      <c r="N139" s="2">
        <v>3</v>
      </c>
    </row>
    <row r="140" spans="1:14" x14ac:dyDescent="0.3">
      <c r="A140" t="s">
        <v>152</v>
      </c>
      <c r="B140">
        <v>12</v>
      </c>
      <c r="C140" s="2" t="s">
        <v>1014</v>
      </c>
      <c r="D140" s="2" t="s">
        <v>1039</v>
      </c>
      <c r="E140" s="2" t="s">
        <v>1072</v>
      </c>
      <c r="F140" s="1">
        <v>45843</v>
      </c>
      <c r="G140" s="1">
        <v>45844</v>
      </c>
      <c r="H140" s="2">
        <v>1</v>
      </c>
      <c r="I140" s="2">
        <v>12000</v>
      </c>
      <c r="J140" s="2" t="s">
        <v>1017</v>
      </c>
      <c r="K140" s="2" t="s">
        <v>1059</v>
      </c>
      <c r="L140" t="s">
        <v>1018</v>
      </c>
      <c r="M140" s="2" t="s">
        <v>1038</v>
      </c>
      <c r="N140" s="2">
        <v>4</v>
      </c>
    </row>
    <row r="141" spans="1:14" x14ac:dyDescent="0.3">
      <c r="A141" t="s">
        <v>153</v>
      </c>
      <c r="B141">
        <v>34</v>
      </c>
      <c r="C141" s="2" t="s">
        <v>1014</v>
      </c>
      <c r="D141" s="2" t="s">
        <v>1021</v>
      </c>
      <c r="E141" s="2" t="s">
        <v>1122</v>
      </c>
      <c r="F141" s="1">
        <v>45844</v>
      </c>
      <c r="G141" s="1">
        <v>45851</v>
      </c>
      <c r="H141" s="2">
        <v>7</v>
      </c>
      <c r="I141" s="2">
        <v>150000</v>
      </c>
      <c r="J141" s="2" t="s">
        <v>1023</v>
      </c>
      <c r="K141" s="2" t="s">
        <v>1147</v>
      </c>
      <c r="L141" t="s">
        <v>1018</v>
      </c>
      <c r="M141" s="2" t="s">
        <v>1024</v>
      </c>
      <c r="N141" s="2">
        <v>4</v>
      </c>
    </row>
    <row r="142" spans="1:14" x14ac:dyDescent="0.3">
      <c r="A142" t="s">
        <v>154</v>
      </c>
      <c r="B142">
        <v>66</v>
      </c>
      <c r="C142" s="2" t="s">
        <v>1014</v>
      </c>
      <c r="D142" s="2" t="s">
        <v>1025</v>
      </c>
      <c r="E142" s="2" t="s">
        <v>1123</v>
      </c>
      <c r="F142" s="1">
        <v>45845</v>
      </c>
      <c r="G142" s="1">
        <v>45859</v>
      </c>
      <c r="H142" s="2">
        <v>14</v>
      </c>
      <c r="I142" s="2">
        <v>210000</v>
      </c>
      <c r="J142" s="2" t="s">
        <v>1027</v>
      </c>
      <c r="K142" s="2" t="s">
        <v>1046</v>
      </c>
      <c r="L142" t="s">
        <v>1037</v>
      </c>
      <c r="M142" s="2" t="s">
        <v>1038</v>
      </c>
      <c r="N142" s="2">
        <v>3</v>
      </c>
    </row>
    <row r="143" spans="1:14" x14ac:dyDescent="0.3">
      <c r="A143" t="s">
        <v>155</v>
      </c>
      <c r="B143">
        <v>24</v>
      </c>
      <c r="C143" s="2" t="s">
        <v>1020</v>
      </c>
      <c r="D143" s="2" t="s">
        <v>1031</v>
      </c>
      <c r="E143" s="2" t="s">
        <v>1056</v>
      </c>
      <c r="F143" s="1">
        <v>45846</v>
      </c>
      <c r="G143" s="1">
        <v>45852</v>
      </c>
      <c r="H143" s="2">
        <v>6</v>
      </c>
      <c r="I143" s="2">
        <v>12500</v>
      </c>
      <c r="J143" s="2" t="s">
        <v>1017</v>
      </c>
      <c r="K143" s="2" t="s">
        <v>1161</v>
      </c>
      <c r="L143" t="s">
        <v>1018</v>
      </c>
      <c r="M143" s="2" t="s">
        <v>1038</v>
      </c>
      <c r="N143" s="2">
        <v>4</v>
      </c>
    </row>
    <row r="144" spans="1:14" x14ac:dyDescent="0.3">
      <c r="A144" t="s">
        <v>156</v>
      </c>
      <c r="B144">
        <v>59</v>
      </c>
      <c r="C144" s="2" t="s">
        <v>1014</v>
      </c>
      <c r="D144" s="2" t="s">
        <v>1015</v>
      </c>
      <c r="E144" s="2" t="s">
        <v>1070</v>
      </c>
      <c r="F144" s="1">
        <v>45847</v>
      </c>
      <c r="G144" s="1">
        <v>45858</v>
      </c>
      <c r="H144" s="2">
        <v>11</v>
      </c>
      <c r="I144" s="2">
        <v>145000</v>
      </c>
      <c r="J144" s="2" t="s">
        <v>1023</v>
      </c>
      <c r="K144" s="2" t="s">
        <v>1052</v>
      </c>
      <c r="L144" t="s">
        <v>1037</v>
      </c>
      <c r="M144" s="2" t="s">
        <v>1024</v>
      </c>
      <c r="N144" s="2">
        <v>3</v>
      </c>
    </row>
    <row r="145" spans="1:14" x14ac:dyDescent="0.3">
      <c r="A145" t="s">
        <v>157</v>
      </c>
      <c r="B145">
        <v>22</v>
      </c>
      <c r="C145" s="2" t="s">
        <v>1020</v>
      </c>
      <c r="D145" s="2" t="s">
        <v>1124</v>
      </c>
      <c r="E145" s="2" t="s">
        <v>1125</v>
      </c>
      <c r="F145" s="1">
        <v>45848</v>
      </c>
      <c r="G145" s="1">
        <v>45853</v>
      </c>
      <c r="H145" s="2">
        <v>5</v>
      </c>
      <c r="I145" s="2">
        <v>150000</v>
      </c>
      <c r="J145" s="2" t="s">
        <v>1027</v>
      </c>
      <c r="K145" s="2" t="s">
        <v>1044</v>
      </c>
      <c r="L145" t="s">
        <v>1037</v>
      </c>
      <c r="M145" s="2" t="s">
        <v>1038</v>
      </c>
      <c r="N145" s="2">
        <v>2</v>
      </c>
    </row>
    <row r="146" spans="1:14" x14ac:dyDescent="0.3">
      <c r="A146" t="s">
        <v>158</v>
      </c>
      <c r="B146">
        <v>60</v>
      </c>
      <c r="C146" s="2" t="s">
        <v>1014</v>
      </c>
      <c r="D146" s="2" t="s">
        <v>1031</v>
      </c>
      <c r="E146" s="2" t="s">
        <v>1032</v>
      </c>
      <c r="F146" s="1">
        <v>45849</v>
      </c>
      <c r="G146" s="1">
        <v>45852</v>
      </c>
      <c r="H146" s="2">
        <v>4</v>
      </c>
      <c r="I146" s="2">
        <v>13000</v>
      </c>
      <c r="J146" s="2" t="s">
        <v>1017</v>
      </c>
      <c r="K146" s="2" t="s">
        <v>1161</v>
      </c>
      <c r="L146" t="s">
        <v>1018</v>
      </c>
      <c r="M146" s="2" t="s">
        <v>1038</v>
      </c>
      <c r="N146" s="2">
        <v>4</v>
      </c>
    </row>
    <row r="147" spans="1:14" x14ac:dyDescent="0.3">
      <c r="A147" t="s">
        <v>159</v>
      </c>
      <c r="B147">
        <v>79</v>
      </c>
      <c r="C147" s="2" t="s">
        <v>1014</v>
      </c>
      <c r="D147" s="2" t="s">
        <v>1029</v>
      </c>
      <c r="E147" s="2" t="s">
        <v>1114</v>
      </c>
      <c r="F147" s="1">
        <v>45850</v>
      </c>
      <c r="G147" s="1">
        <v>45855</v>
      </c>
      <c r="H147" s="2">
        <v>5</v>
      </c>
      <c r="I147" s="2">
        <v>21000</v>
      </c>
      <c r="J147" s="2" t="s">
        <v>1027</v>
      </c>
      <c r="K147" s="2" t="s">
        <v>1033</v>
      </c>
      <c r="L147" t="s">
        <v>1018</v>
      </c>
      <c r="M147" s="2" t="s">
        <v>1019</v>
      </c>
      <c r="N147" s="2">
        <v>3</v>
      </c>
    </row>
    <row r="148" spans="1:14" x14ac:dyDescent="0.3">
      <c r="A148" t="s">
        <v>160</v>
      </c>
      <c r="B148">
        <v>24</v>
      </c>
      <c r="C148" s="2" t="s">
        <v>1014</v>
      </c>
      <c r="D148" s="2" t="s">
        <v>1025</v>
      </c>
      <c r="E148" s="2" t="s">
        <v>1099</v>
      </c>
      <c r="F148" s="1">
        <v>45851</v>
      </c>
      <c r="G148" s="1">
        <v>45858</v>
      </c>
      <c r="H148" s="2">
        <v>7</v>
      </c>
      <c r="I148" s="2">
        <v>310000</v>
      </c>
      <c r="J148" s="2" t="s">
        <v>1017</v>
      </c>
      <c r="K148" s="2" t="s">
        <v>1046</v>
      </c>
      <c r="L148" t="s">
        <v>1037</v>
      </c>
      <c r="M148" s="2" t="s">
        <v>1038</v>
      </c>
      <c r="N148" s="2">
        <v>3</v>
      </c>
    </row>
    <row r="149" spans="1:14" x14ac:dyDescent="0.3">
      <c r="A149" t="s">
        <v>161</v>
      </c>
      <c r="B149">
        <v>30</v>
      </c>
      <c r="C149" s="2" t="s">
        <v>1020</v>
      </c>
      <c r="D149" s="2" t="s">
        <v>1048</v>
      </c>
      <c r="E149" s="2" t="s">
        <v>1058</v>
      </c>
      <c r="F149" s="1">
        <v>45852</v>
      </c>
      <c r="G149" s="1">
        <v>45858</v>
      </c>
      <c r="H149" s="2">
        <v>6</v>
      </c>
      <c r="I149" s="2">
        <v>21000</v>
      </c>
      <c r="J149" s="2" t="s">
        <v>1027</v>
      </c>
      <c r="K149" s="2" t="s">
        <v>1028</v>
      </c>
      <c r="L149" t="s">
        <v>1018</v>
      </c>
      <c r="M149" s="2" t="s">
        <v>1019</v>
      </c>
      <c r="N149" s="2">
        <v>4</v>
      </c>
    </row>
    <row r="150" spans="1:14" x14ac:dyDescent="0.3">
      <c r="A150" t="s">
        <v>162</v>
      </c>
      <c r="B150">
        <v>29</v>
      </c>
      <c r="C150" s="2" t="s">
        <v>1020</v>
      </c>
      <c r="D150" s="2" t="s">
        <v>1041</v>
      </c>
      <c r="E150" s="2" t="s">
        <v>1104</v>
      </c>
      <c r="F150" s="1">
        <v>45853</v>
      </c>
      <c r="G150" s="1">
        <v>45862</v>
      </c>
      <c r="H150" s="2">
        <v>9</v>
      </c>
      <c r="I150" s="2">
        <v>34000</v>
      </c>
      <c r="J150" s="2" t="s">
        <v>1023</v>
      </c>
      <c r="K150" s="2" t="s">
        <v>1128</v>
      </c>
      <c r="L150" t="s">
        <v>1037</v>
      </c>
      <c r="M150" s="2" t="s">
        <v>1019</v>
      </c>
      <c r="N150" s="2">
        <v>3</v>
      </c>
    </row>
    <row r="151" spans="1:14" x14ac:dyDescent="0.3">
      <c r="A151" t="s">
        <v>163</v>
      </c>
      <c r="B151">
        <v>79</v>
      </c>
      <c r="C151" s="2" t="s">
        <v>1014</v>
      </c>
      <c r="D151" s="2" t="s">
        <v>1021</v>
      </c>
      <c r="E151" s="2" t="s">
        <v>1126</v>
      </c>
      <c r="F151" s="1">
        <v>45854</v>
      </c>
      <c r="G151" s="1">
        <v>45863</v>
      </c>
      <c r="H151" s="2">
        <v>9</v>
      </c>
      <c r="I151" s="2">
        <v>240000</v>
      </c>
      <c r="J151" s="2" t="s">
        <v>1027</v>
      </c>
      <c r="K151" s="2" t="s">
        <v>1147</v>
      </c>
      <c r="L151" t="s">
        <v>1018</v>
      </c>
      <c r="M151" s="2" t="s">
        <v>1019</v>
      </c>
      <c r="N151" s="2">
        <v>4</v>
      </c>
    </row>
    <row r="152" spans="1:14" x14ac:dyDescent="0.3">
      <c r="A152" t="s">
        <v>164</v>
      </c>
      <c r="B152">
        <v>80</v>
      </c>
      <c r="C152" s="2" t="s">
        <v>1020</v>
      </c>
      <c r="D152" s="2" t="s">
        <v>1025</v>
      </c>
      <c r="E152" s="2" t="s">
        <v>1127</v>
      </c>
      <c r="F152" s="1">
        <v>45855</v>
      </c>
      <c r="G152" s="1">
        <v>45865</v>
      </c>
      <c r="H152" s="2">
        <v>10</v>
      </c>
      <c r="I152" s="2">
        <v>120000</v>
      </c>
      <c r="J152" s="2" t="s">
        <v>1027</v>
      </c>
      <c r="K152" s="2" t="s">
        <v>1046</v>
      </c>
      <c r="L152" t="s">
        <v>1037</v>
      </c>
      <c r="M152" s="2" t="s">
        <v>1024</v>
      </c>
      <c r="N152" s="2">
        <v>3</v>
      </c>
    </row>
    <row r="153" spans="1:14" x14ac:dyDescent="0.3">
      <c r="A153" t="s">
        <v>165</v>
      </c>
      <c r="B153">
        <v>50</v>
      </c>
      <c r="C153" s="2" t="s">
        <v>1020</v>
      </c>
      <c r="D153" s="2" t="s">
        <v>1015</v>
      </c>
      <c r="E153" s="2" t="s">
        <v>1016</v>
      </c>
      <c r="F153" s="1">
        <v>45856</v>
      </c>
      <c r="G153" s="1">
        <v>45858</v>
      </c>
      <c r="H153" s="2">
        <v>3</v>
      </c>
      <c r="I153" s="2">
        <v>23000</v>
      </c>
      <c r="J153" s="2" t="s">
        <v>1017</v>
      </c>
      <c r="K153" s="2" t="s">
        <v>1052</v>
      </c>
      <c r="L153" t="s">
        <v>1037</v>
      </c>
      <c r="M153" s="2" t="s">
        <v>1038</v>
      </c>
      <c r="N153" s="2">
        <v>2</v>
      </c>
    </row>
    <row r="154" spans="1:14" x14ac:dyDescent="0.3">
      <c r="A154" t="s">
        <v>166</v>
      </c>
      <c r="B154">
        <v>24</v>
      </c>
      <c r="C154" s="2" t="s">
        <v>1014</v>
      </c>
      <c r="D154" s="2" t="s">
        <v>1039</v>
      </c>
      <c r="E154" s="2" t="s">
        <v>1082</v>
      </c>
      <c r="F154" s="1">
        <v>45857</v>
      </c>
      <c r="G154" s="1">
        <v>45863</v>
      </c>
      <c r="H154" s="2">
        <v>6</v>
      </c>
      <c r="I154" s="2">
        <v>42000</v>
      </c>
      <c r="J154" s="2" t="s">
        <v>1027</v>
      </c>
      <c r="K154" s="2" t="s">
        <v>1059</v>
      </c>
      <c r="L154" t="s">
        <v>1037</v>
      </c>
      <c r="M154" s="2" t="s">
        <v>1024</v>
      </c>
      <c r="N154" s="2">
        <v>5</v>
      </c>
    </row>
    <row r="155" spans="1:14" x14ac:dyDescent="0.3">
      <c r="A155" t="s">
        <v>167</v>
      </c>
      <c r="B155">
        <v>20</v>
      </c>
      <c r="C155" s="2" t="s">
        <v>1014</v>
      </c>
      <c r="D155" s="2" t="s">
        <v>1031</v>
      </c>
      <c r="E155" s="2" t="s">
        <v>1034</v>
      </c>
      <c r="F155" s="1">
        <v>45858</v>
      </c>
      <c r="G155" s="1">
        <v>45867</v>
      </c>
      <c r="H155" s="2">
        <v>9</v>
      </c>
      <c r="I155" s="2">
        <v>55000</v>
      </c>
      <c r="J155" s="2" t="s">
        <v>1017</v>
      </c>
      <c r="K155" s="2" t="s">
        <v>1161</v>
      </c>
      <c r="L155" t="s">
        <v>1018</v>
      </c>
      <c r="M155" s="2" t="s">
        <v>1038</v>
      </c>
      <c r="N155" s="2">
        <v>3</v>
      </c>
    </row>
    <row r="156" spans="1:14" x14ac:dyDescent="0.3">
      <c r="A156" t="s">
        <v>168</v>
      </c>
      <c r="B156">
        <v>24</v>
      </c>
      <c r="C156" s="2" t="s">
        <v>1014</v>
      </c>
      <c r="D156" s="2" t="s">
        <v>1031</v>
      </c>
      <c r="E156" s="2" t="s">
        <v>1054</v>
      </c>
      <c r="F156" s="1">
        <v>45859</v>
      </c>
      <c r="G156" s="1">
        <v>45868</v>
      </c>
      <c r="H156" s="2">
        <v>9</v>
      </c>
      <c r="I156" s="2">
        <v>65000</v>
      </c>
      <c r="J156" s="2" t="s">
        <v>1027</v>
      </c>
      <c r="K156" s="2" t="s">
        <v>1161</v>
      </c>
      <c r="L156" t="s">
        <v>1018</v>
      </c>
      <c r="M156" s="2" t="s">
        <v>1024</v>
      </c>
      <c r="N156" s="2">
        <v>3</v>
      </c>
    </row>
    <row r="157" spans="1:14" x14ac:dyDescent="0.3">
      <c r="A157" t="s">
        <v>169</v>
      </c>
      <c r="B157">
        <v>47</v>
      </c>
      <c r="C157" s="2" t="s">
        <v>1020</v>
      </c>
      <c r="D157" s="2" t="s">
        <v>1041</v>
      </c>
      <c r="E157" s="2" t="s">
        <v>1051</v>
      </c>
      <c r="F157" s="1">
        <v>45860</v>
      </c>
      <c r="G157" s="1">
        <v>45869</v>
      </c>
      <c r="H157" s="2">
        <v>9</v>
      </c>
      <c r="I157" s="2">
        <v>76000</v>
      </c>
      <c r="J157" s="2" t="s">
        <v>1023</v>
      </c>
      <c r="K157" s="2" t="s">
        <v>1128</v>
      </c>
      <c r="L157" t="s">
        <v>1037</v>
      </c>
      <c r="M157" s="2" t="s">
        <v>1038</v>
      </c>
      <c r="N157" s="2">
        <v>4</v>
      </c>
    </row>
    <row r="158" spans="1:14" x14ac:dyDescent="0.3">
      <c r="A158" t="s">
        <v>170</v>
      </c>
      <c r="B158">
        <v>9</v>
      </c>
      <c r="C158" s="2" t="s">
        <v>1020</v>
      </c>
      <c r="D158" s="2" t="s">
        <v>1031</v>
      </c>
      <c r="E158" s="2" t="s">
        <v>1053</v>
      </c>
      <c r="F158" s="1">
        <v>45861</v>
      </c>
      <c r="G158" s="1">
        <v>45868</v>
      </c>
      <c r="H158" s="2">
        <v>7</v>
      </c>
      <c r="I158" s="2">
        <v>56000</v>
      </c>
      <c r="J158" s="2" t="s">
        <v>1027</v>
      </c>
      <c r="K158" s="2" t="s">
        <v>1161</v>
      </c>
      <c r="L158" t="s">
        <v>1018</v>
      </c>
      <c r="M158" s="2" t="s">
        <v>1038</v>
      </c>
      <c r="N158" s="2">
        <v>3</v>
      </c>
    </row>
    <row r="159" spans="1:14" x14ac:dyDescent="0.3">
      <c r="A159" t="s">
        <v>171</v>
      </c>
      <c r="B159">
        <v>10</v>
      </c>
      <c r="C159" s="2" t="s">
        <v>1014</v>
      </c>
      <c r="D159" s="2" t="s">
        <v>1015</v>
      </c>
      <c r="E159" s="2" t="s">
        <v>1117</v>
      </c>
      <c r="F159" s="1">
        <v>45862</v>
      </c>
      <c r="G159" s="1">
        <v>45866</v>
      </c>
      <c r="H159" s="2">
        <v>5</v>
      </c>
      <c r="I159" s="2">
        <v>33000</v>
      </c>
      <c r="J159" s="2" t="s">
        <v>1023</v>
      </c>
      <c r="K159" s="2" t="s">
        <v>1052</v>
      </c>
      <c r="L159" t="s">
        <v>1037</v>
      </c>
      <c r="M159" s="2" t="s">
        <v>1019</v>
      </c>
      <c r="N159" s="2">
        <v>4</v>
      </c>
    </row>
    <row r="160" spans="1:14" x14ac:dyDescent="0.3">
      <c r="A160" t="s">
        <v>172</v>
      </c>
      <c r="B160">
        <v>65</v>
      </c>
      <c r="C160" s="2" t="s">
        <v>1020</v>
      </c>
      <c r="D160" s="2" t="s">
        <v>1015</v>
      </c>
      <c r="E160" s="2" t="s">
        <v>1070</v>
      </c>
      <c r="F160" s="1">
        <v>45863</v>
      </c>
      <c r="G160" s="1">
        <v>45869</v>
      </c>
      <c r="H160" s="2">
        <v>7</v>
      </c>
      <c r="I160" s="2">
        <v>46000</v>
      </c>
      <c r="J160" s="2" t="s">
        <v>1027</v>
      </c>
      <c r="K160" s="2" t="s">
        <v>1052</v>
      </c>
      <c r="L160" t="s">
        <v>1037</v>
      </c>
      <c r="M160" s="2" t="s">
        <v>1024</v>
      </c>
      <c r="N160" s="2">
        <v>3</v>
      </c>
    </row>
    <row r="161" spans="1:14" x14ac:dyDescent="0.3">
      <c r="A161" t="s">
        <v>173</v>
      </c>
      <c r="B161">
        <v>89</v>
      </c>
      <c r="C161" s="2" t="s">
        <v>1020</v>
      </c>
      <c r="D161" s="2" t="s">
        <v>1021</v>
      </c>
      <c r="E161" s="2" t="s">
        <v>1118</v>
      </c>
      <c r="F161" s="1">
        <v>45864</v>
      </c>
      <c r="G161" s="1">
        <v>45870</v>
      </c>
      <c r="H161" s="2">
        <v>7</v>
      </c>
      <c r="I161" s="2">
        <v>540000</v>
      </c>
      <c r="J161" s="2" t="s">
        <v>1023</v>
      </c>
      <c r="K161" s="2" t="s">
        <v>1147</v>
      </c>
      <c r="L161" t="s">
        <v>1018</v>
      </c>
      <c r="M161" s="2" t="s">
        <v>1019</v>
      </c>
      <c r="N161" s="2">
        <v>4</v>
      </c>
    </row>
    <row r="162" spans="1:14" x14ac:dyDescent="0.3">
      <c r="A162" t="s">
        <v>174</v>
      </c>
      <c r="B162">
        <v>24</v>
      </c>
      <c r="C162" s="2" t="s">
        <v>1020</v>
      </c>
      <c r="D162" s="2" t="s">
        <v>1048</v>
      </c>
      <c r="E162" s="2" t="s">
        <v>1063</v>
      </c>
      <c r="F162" s="1">
        <v>45865</v>
      </c>
      <c r="G162" s="1">
        <v>45872</v>
      </c>
      <c r="H162" s="2">
        <v>9</v>
      </c>
      <c r="I162" s="2">
        <v>70000</v>
      </c>
      <c r="J162" s="2" t="s">
        <v>1027</v>
      </c>
      <c r="K162" s="2" t="s">
        <v>1028</v>
      </c>
      <c r="L162" t="s">
        <v>1018</v>
      </c>
      <c r="M162" s="2" t="s">
        <v>1038</v>
      </c>
      <c r="N162" s="2">
        <v>3</v>
      </c>
    </row>
    <row r="163" spans="1:14" x14ac:dyDescent="0.3">
      <c r="A163" t="s">
        <v>175</v>
      </c>
      <c r="B163">
        <v>78</v>
      </c>
      <c r="C163" s="2" t="s">
        <v>1014</v>
      </c>
      <c r="D163" s="2" t="s">
        <v>1015</v>
      </c>
      <c r="E163" s="2" t="s">
        <v>1070</v>
      </c>
      <c r="F163" s="1">
        <v>45866</v>
      </c>
      <c r="G163" s="1">
        <v>45873</v>
      </c>
      <c r="H163" s="2">
        <v>8</v>
      </c>
      <c r="I163" s="2">
        <v>89000</v>
      </c>
      <c r="J163" s="2" t="s">
        <v>1023</v>
      </c>
      <c r="K163" s="2" t="s">
        <v>1052</v>
      </c>
      <c r="L163" t="s">
        <v>1037</v>
      </c>
      <c r="M163" s="2" t="s">
        <v>1038</v>
      </c>
      <c r="N163" s="2">
        <v>3</v>
      </c>
    </row>
    <row r="164" spans="1:14" x14ac:dyDescent="0.3">
      <c r="A164" t="s">
        <v>176</v>
      </c>
      <c r="B164">
        <v>34</v>
      </c>
      <c r="C164" s="2" t="s">
        <v>1014</v>
      </c>
      <c r="D164" s="2" t="s">
        <v>1021</v>
      </c>
      <c r="E164" s="2" t="s">
        <v>1118</v>
      </c>
      <c r="F164" s="1">
        <v>45867</v>
      </c>
      <c r="G164" s="1">
        <v>45875</v>
      </c>
      <c r="H164" s="2">
        <v>9</v>
      </c>
      <c r="I164" s="2">
        <v>90000</v>
      </c>
      <c r="J164" s="2" t="s">
        <v>1027</v>
      </c>
      <c r="K164" s="2" t="s">
        <v>1147</v>
      </c>
      <c r="L164" t="s">
        <v>1018</v>
      </c>
      <c r="M164" s="2" t="s">
        <v>1024</v>
      </c>
      <c r="N164" s="2">
        <v>4</v>
      </c>
    </row>
    <row r="165" spans="1:14" x14ac:dyDescent="0.3">
      <c r="A165" t="s">
        <v>177</v>
      </c>
      <c r="B165">
        <v>23</v>
      </c>
      <c r="C165" s="2" t="s">
        <v>1014</v>
      </c>
      <c r="D165" s="2" t="s">
        <v>1025</v>
      </c>
      <c r="E165" s="2" t="s">
        <v>1055</v>
      </c>
      <c r="F165" s="1">
        <v>45868</v>
      </c>
      <c r="G165" s="1">
        <v>45878</v>
      </c>
      <c r="H165" s="2">
        <v>11</v>
      </c>
      <c r="I165" s="2">
        <v>120000</v>
      </c>
      <c r="J165" s="2" t="s">
        <v>1023</v>
      </c>
      <c r="K165" s="2" t="s">
        <v>1046</v>
      </c>
      <c r="L165" t="s">
        <v>1037</v>
      </c>
      <c r="M165" s="2" t="s">
        <v>1038</v>
      </c>
      <c r="N165" s="2">
        <v>3</v>
      </c>
    </row>
    <row r="166" spans="1:14" x14ac:dyDescent="0.3">
      <c r="A166" t="s">
        <v>178</v>
      </c>
      <c r="B166">
        <v>19</v>
      </c>
      <c r="C166" s="2" t="s">
        <v>1020</v>
      </c>
      <c r="D166" s="2" t="s">
        <v>1039</v>
      </c>
      <c r="E166" s="2" t="s">
        <v>1082</v>
      </c>
      <c r="F166" s="1">
        <v>45869</v>
      </c>
      <c r="G166" s="1">
        <v>45870</v>
      </c>
      <c r="H166" s="2">
        <v>1</v>
      </c>
      <c r="I166" s="2">
        <v>12000</v>
      </c>
      <c r="J166" s="2" t="s">
        <v>1027</v>
      </c>
      <c r="K166" s="2" t="s">
        <v>1059</v>
      </c>
      <c r="L166" t="s">
        <v>1018</v>
      </c>
      <c r="M166" s="2" t="s">
        <v>1019</v>
      </c>
      <c r="N166" s="2">
        <v>3</v>
      </c>
    </row>
    <row r="167" spans="1:14" x14ac:dyDescent="0.3">
      <c r="A167" t="s">
        <v>179</v>
      </c>
      <c r="B167">
        <v>24</v>
      </c>
      <c r="C167" s="2" t="s">
        <v>1020</v>
      </c>
      <c r="D167" s="2" t="s">
        <v>1025</v>
      </c>
      <c r="E167" s="2" t="s">
        <v>1055</v>
      </c>
      <c r="F167" s="1">
        <v>45870</v>
      </c>
      <c r="G167" s="1">
        <v>45874</v>
      </c>
      <c r="H167" s="2">
        <v>5</v>
      </c>
      <c r="I167" s="2">
        <v>130000</v>
      </c>
      <c r="J167" s="2" t="s">
        <v>1023</v>
      </c>
      <c r="K167" s="2" t="s">
        <v>1046</v>
      </c>
      <c r="L167" t="s">
        <v>1037</v>
      </c>
      <c r="M167" s="2" t="s">
        <v>1019</v>
      </c>
      <c r="N167" s="2">
        <v>4</v>
      </c>
    </row>
    <row r="168" spans="1:14" x14ac:dyDescent="0.3">
      <c r="A168" t="s">
        <v>180</v>
      </c>
      <c r="B168">
        <v>51</v>
      </c>
      <c r="C168" s="2" t="s">
        <v>1014</v>
      </c>
      <c r="D168" s="2" t="s">
        <v>1035</v>
      </c>
      <c r="E168" s="2" t="s">
        <v>1074</v>
      </c>
      <c r="F168" s="1">
        <v>45871</v>
      </c>
      <c r="G168" s="1">
        <v>45876</v>
      </c>
      <c r="H168" s="2">
        <v>6</v>
      </c>
      <c r="I168" s="2">
        <v>145000</v>
      </c>
      <c r="J168" s="2" t="s">
        <v>1027</v>
      </c>
      <c r="K168" s="2" t="s">
        <v>1106</v>
      </c>
      <c r="L168" t="s">
        <v>1037</v>
      </c>
      <c r="M168" s="2" t="s">
        <v>1038</v>
      </c>
      <c r="N168" s="2">
        <v>3</v>
      </c>
    </row>
    <row r="169" spans="1:14" x14ac:dyDescent="0.3">
      <c r="A169" t="s">
        <v>181</v>
      </c>
      <c r="B169">
        <v>23</v>
      </c>
      <c r="C169" s="2" t="s">
        <v>1014</v>
      </c>
      <c r="D169" s="2" t="s">
        <v>1025</v>
      </c>
      <c r="E169" s="2" t="s">
        <v>1129</v>
      </c>
      <c r="F169" s="1">
        <v>45872</v>
      </c>
      <c r="G169" s="1">
        <v>45879</v>
      </c>
      <c r="H169" s="2">
        <v>7</v>
      </c>
      <c r="I169" s="2">
        <v>130000</v>
      </c>
      <c r="J169" s="2" t="s">
        <v>1017</v>
      </c>
      <c r="K169" s="2" t="s">
        <v>1046</v>
      </c>
      <c r="L169" t="s">
        <v>1037</v>
      </c>
      <c r="M169" s="2" t="s">
        <v>1024</v>
      </c>
      <c r="N169" s="2">
        <v>4</v>
      </c>
    </row>
    <row r="170" spans="1:14" x14ac:dyDescent="0.3">
      <c r="A170" t="s">
        <v>182</v>
      </c>
      <c r="B170">
        <v>33</v>
      </c>
      <c r="C170" s="2" t="s">
        <v>1020</v>
      </c>
      <c r="D170" s="2" t="s">
        <v>1025</v>
      </c>
      <c r="E170" s="2" t="s">
        <v>1062</v>
      </c>
      <c r="F170" s="1">
        <v>45873</v>
      </c>
      <c r="G170" s="1">
        <v>45878</v>
      </c>
      <c r="H170" s="2">
        <v>5</v>
      </c>
      <c r="I170" s="2">
        <v>12000</v>
      </c>
      <c r="J170" s="2" t="s">
        <v>1017</v>
      </c>
      <c r="K170" s="2" t="s">
        <v>1046</v>
      </c>
      <c r="L170" t="s">
        <v>1018</v>
      </c>
      <c r="M170" s="2" t="s">
        <v>1038</v>
      </c>
      <c r="N170" s="2">
        <v>4</v>
      </c>
    </row>
    <row r="171" spans="1:14" x14ac:dyDescent="0.3">
      <c r="A171" t="s">
        <v>183</v>
      </c>
      <c r="B171">
        <v>18</v>
      </c>
      <c r="C171" s="2" t="s">
        <v>1014</v>
      </c>
      <c r="D171" s="2" t="s">
        <v>1035</v>
      </c>
      <c r="E171" s="2" t="s">
        <v>1085</v>
      </c>
      <c r="F171" s="1">
        <v>45874</v>
      </c>
      <c r="G171" s="1">
        <v>45881</v>
      </c>
      <c r="H171" s="2">
        <v>7</v>
      </c>
      <c r="I171" s="2">
        <v>134000</v>
      </c>
      <c r="J171" s="2" t="s">
        <v>1027</v>
      </c>
      <c r="K171" s="2" t="s">
        <v>1106</v>
      </c>
      <c r="L171" t="s">
        <v>1018</v>
      </c>
      <c r="M171" s="2" t="s">
        <v>1019</v>
      </c>
      <c r="N171" s="2">
        <v>4</v>
      </c>
    </row>
    <row r="172" spans="1:14" x14ac:dyDescent="0.3">
      <c r="A172" t="s">
        <v>184</v>
      </c>
      <c r="B172">
        <v>24</v>
      </c>
      <c r="C172" s="2" t="s">
        <v>1014</v>
      </c>
      <c r="D172" s="2" t="s">
        <v>1031</v>
      </c>
      <c r="E172" s="2" t="s">
        <v>1034</v>
      </c>
      <c r="F172" s="1">
        <v>45875</v>
      </c>
      <c r="G172" s="1">
        <v>45883</v>
      </c>
      <c r="H172" s="2">
        <v>8</v>
      </c>
      <c r="I172" s="2">
        <v>120000</v>
      </c>
      <c r="J172" s="2" t="s">
        <v>1027</v>
      </c>
      <c r="K172" s="2" t="s">
        <v>1161</v>
      </c>
      <c r="L172" t="s">
        <v>1037</v>
      </c>
      <c r="M172" s="2" t="s">
        <v>1038</v>
      </c>
      <c r="N172" s="2">
        <v>3</v>
      </c>
    </row>
    <row r="173" spans="1:14" x14ac:dyDescent="0.3">
      <c r="A173" t="s">
        <v>185</v>
      </c>
      <c r="B173">
        <v>24</v>
      </c>
      <c r="C173" s="2" t="s">
        <v>1020</v>
      </c>
      <c r="D173" s="2" t="s">
        <v>1025</v>
      </c>
      <c r="E173" s="2" t="s">
        <v>1055</v>
      </c>
      <c r="F173" s="1">
        <v>45876</v>
      </c>
      <c r="G173" s="1">
        <v>45879</v>
      </c>
      <c r="H173" s="2">
        <v>3</v>
      </c>
      <c r="I173" s="2">
        <v>130000</v>
      </c>
      <c r="J173" s="2" t="s">
        <v>1017</v>
      </c>
      <c r="K173" s="2" t="s">
        <v>1046</v>
      </c>
      <c r="L173" t="s">
        <v>1018</v>
      </c>
      <c r="M173" s="2" t="s">
        <v>1024</v>
      </c>
      <c r="N173" s="2">
        <v>3</v>
      </c>
    </row>
    <row r="174" spans="1:14" x14ac:dyDescent="0.3">
      <c r="A174" t="s">
        <v>186</v>
      </c>
      <c r="B174">
        <v>21</v>
      </c>
      <c r="C174" s="2" t="s">
        <v>1020</v>
      </c>
      <c r="D174" s="2" t="s">
        <v>1048</v>
      </c>
      <c r="E174" s="2" t="s">
        <v>1058</v>
      </c>
      <c r="F174" s="1">
        <v>45877</v>
      </c>
      <c r="G174" s="1">
        <v>45882</v>
      </c>
      <c r="H174" s="2">
        <v>5</v>
      </c>
      <c r="I174" s="2">
        <v>11100</v>
      </c>
      <c r="J174" s="2" t="s">
        <v>1027</v>
      </c>
      <c r="K174" s="2" t="s">
        <v>1028</v>
      </c>
      <c r="L174" t="s">
        <v>1037</v>
      </c>
      <c r="M174" s="2" t="s">
        <v>1038</v>
      </c>
      <c r="N174" s="2">
        <v>4</v>
      </c>
    </row>
    <row r="175" spans="1:14" x14ac:dyDescent="0.3">
      <c r="A175" t="s">
        <v>187</v>
      </c>
      <c r="B175">
        <v>56</v>
      </c>
      <c r="C175" s="2" t="s">
        <v>1014</v>
      </c>
      <c r="D175" s="2" t="s">
        <v>1031</v>
      </c>
      <c r="E175" s="2" t="s">
        <v>1053</v>
      </c>
      <c r="F175" s="1">
        <v>45878</v>
      </c>
      <c r="G175" s="1">
        <v>45889</v>
      </c>
      <c r="H175" s="2">
        <v>11</v>
      </c>
      <c r="I175" s="2">
        <v>145000</v>
      </c>
      <c r="J175" s="2" t="s">
        <v>1023</v>
      </c>
      <c r="K175" s="2" t="s">
        <v>1161</v>
      </c>
      <c r="L175" t="s">
        <v>1018</v>
      </c>
      <c r="M175" s="2" t="s">
        <v>1024</v>
      </c>
      <c r="N175" s="2">
        <v>4</v>
      </c>
    </row>
    <row r="176" spans="1:14" x14ac:dyDescent="0.3">
      <c r="A176" t="s">
        <v>188</v>
      </c>
      <c r="B176">
        <v>53</v>
      </c>
      <c r="C176" s="2" t="s">
        <v>1014</v>
      </c>
      <c r="D176" s="2" t="s">
        <v>1015</v>
      </c>
      <c r="E176" s="2" t="s">
        <v>1016</v>
      </c>
      <c r="F176" s="1">
        <v>45879</v>
      </c>
      <c r="G176" s="1">
        <v>45899</v>
      </c>
      <c r="H176" s="2">
        <v>20</v>
      </c>
      <c r="I176" s="2">
        <v>150000</v>
      </c>
      <c r="J176" s="2" t="s">
        <v>1017</v>
      </c>
      <c r="K176" s="2" t="s">
        <v>1052</v>
      </c>
      <c r="L176" t="s">
        <v>1018</v>
      </c>
      <c r="M176" s="2" t="s">
        <v>1019</v>
      </c>
      <c r="N176" s="2">
        <v>3</v>
      </c>
    </row>
    <row r="177" spans="1:14" x14ac:dyDescent="0.3">
      <c r="A177" t="s">
        <v>189</v>
      </c>
      <c r="B177">
        <v>33</v>
      </c>
      <c r="C177" s="2" t="s">
        <v>1020</v>
      </c>
      <c r="D177" s="2" t="s">
        <v>1025</v>
      </c>
      <c r="E177" s="2" t="s">
        <v>1091</v>
      </c>
      <c r="F177" s="1">
        <v>45880</v>
      </c>
      <c r="G177" s="1">
        <v>45891</v>
      </c>
      <c r="H177" s="2">
        <v>12</v>
      </c>
      <c r="I177" s="2">
        <v>160000</v>
      </c>
      <c r="J177" s="2" t="s">
        <v>1023</v>
      </c>
      <c r="K177" s="2" t="s">
        <v>1046</v>
      </c>
      <c r="L177" t="s">
        <v>1018</v>
      </c>
      <c r="M177" s="2" t="s">
        <v>1038</v>
      </c>
      <c r="N177" s="2">
        <v>4</v>
      </c>
    </row>
    <row r="178" spans="1:14" x14ac:dyDescent="0.3">
      <c r="A178" t="s">
        <v>190</v>
      </c>
      <c r="B178">
        <v>24</v>
      </c>
      <c r="C178" s="2" t="s">
        <v>1020</v>
      </c>
      <c r="D178" s="2" t="s">
        <v>1048</v>
      </c>
      <c r="E178" s="2" t="s">
        <v>1095</v>
      </c>
      <c r="F178" s="1">
        <v>45881</v>
      </c>
      <c r="G178" s="1">
        <v>45889</v>
      </c>
      <c r="H178" s="2">
        <v>8</v>
      </c>
      <c r="I178" s="2">
        <v>150000</v>
      </c>
      <c r="J178" s="2" t="s">
        <v>1017</v>
      </c>
      <c r="K178" s="2" t="s">
        <v>1028</v>
      </c>
      <c r="L178" t="s">
        <v>1037</v>
      </c>
      <c r="M178" s="2" t="s">
        <v>1038</v>
      </c>
      <c r="N178" s="2">
        <v>4</v>
      </c>
    </row>
    <row r="179" spans="1:14" x14ac:dyDescent="0.3">
      <c r="A179" t="s">
        <v>191</v>
      </c>
      <c r="B179">
        <v>33</v>
      </c>
      <c r="C179" s="2" t="s">
        <v>1014</v>
      </c>
      <c r="D179" s="2" t="s">
        <v>1029</v>
      </c>
      <c r="E179" s="2" t="s">
        <v>1130</v>
      </c>
      <c r="F179" s="1">
        <v>45882</v>
      </c>
      <c r="G179" s="1">
        <v>45893</v>
      </c>
      <c r="H179" s="2">
        <v>11</v>
      </c>
      <c r="I179" s="2">
        <v>145000</v>
      </c>
      <c r="J179" s="2" t="s">
        <v>1027</v>
      </c>
      <c r="K179" s="2" t="s">
        <v>1033</v>
      </c>
      <c r="L179" t="s">
        <v>1018</v>
      </c>
      <c r="M179" s="2" t="s">
        <v>1019</v>
      </c>
      <c r="N179" s="2">
        <v>3</v>
      </c>
    </row>
    <row r="180" spans="1:14" x14ac:dyDescent="0.3">
      <c r="A180" t="s">
        <v>192</v>
      </c>
      <c r="B180">
        <v>11</v>
      </c>
      <c r="C180" s="2" t="s">
        <v>1020</v>
      </c>
      <c r="D180" s="2" t="s">
        <v>1031</v>
      </c>
      <c r="E180" s="2" t="s">
        <v>1034</v>
      </c>
      <c r="F180" s="1">
        <v>45883</v>
      </c>
      <c r="G180" s="1">
        <v>45889</v>
      </c>
      <c r="H180" s="2">
        <v>6</v>
      </c>
      <c r="I180" s="2">
        <v>123000</v>
      </c>
      <c r="J180" s="2" t="s">
        <v>1017</v>
      </c>
      <c r="K180" s="2" t="s">
        <v>1161</v>
      </c>
      <c r="L180" t="s">
        <v>1037</v>
      </c>
      <c r="M180" s="2" t="s">
        <v>1038</v>
      </c>
      <c r="N180" s="2">
        <v>3</v>
      </c>
    </row>
    <row r="181" spans="1:14" x14ac:dyDescent="0.3">
      <c r="A181" t="s">
        <v>193</v>
      </c>
      <c r="B181">
        <v>24</v>
      </c>
      <c r="C181" s="2" t="s">
        <v>1014</v>
      </c>
      <c r="D181" s="2" t="s">
        <v>1035</v>
      </c>
      <c r="E181" s="2" t="s">
        <v>1115</v>
      </c>
      <c r="F181" s="1">
        <v>45884</v>
      </c>
      <c r="G181" s="1">
        <v>45893</v>
      </c>
      <c r="H181" s="2">
        <v>9</v>
      </c>
      <c r="I181" s="2">
        <v>150000</v>
      </c>
      <c r="J181" s="2" t="s">
        <v>1027</v>
      </c>
      <c r="K181" s="2" t="s">
        <v>1106</v>
      </c>
      <c r="L181" t="s">
        <v>1018</v>
      </c>
      <c r="M181" s="2" t="s">
        <v>1019</v>
      </c>
      <c r="N181" s="2">
        <v>5</v>
      </c>
    </row>
    <row r="182" spans="1:14" x14ac:dyDescent="0.3">
      <c r="A182" t="s">
        <v>194</v>
      </c>
      <c r="B182">
        <v>13</v>
      </c>
      <c r="C182" s="2" t="s">
        <v>1014</v>
      </c>
      <c r="D182" s="2" t="s">
        <v>1029</v>
      </c>
      <c r="E182" s="2" t="s">
        <v>1030</v>
      </c>
      <c r="F182" s="1">
        <v>45885</v>
      </c>
      <c r="G182" s="1">
        <v>45896</v>
      </c>
      <c r="H182" s="2">
        <v>11</v>
      </c>
      <c r="I182" s="2">
        <v>120000</v>
      </c>
      <c r="J182" s="2" t="s">
        <v>1023</v>
      </c>
      <c r="K182" s="2" t="s">
        <v>1033</v>
      </c>
      <c r="L182" t="s">
        <v>1037</v>
      </c>
      <c r="M182" s="2" t="s">
        <v>1038</v>
      </c>
      <c r="N182" s="2">
        <v>3</v>
      </c>
    </row>
    <row r="183" spans="1:14" x14ac:dyDescent="0.3">
      <c r="A183" t="s">
        <v>195</v>
      </c>
      <c r="B183">
        <v>15</v>
      </c>
      <c r="C183" s="2" t="s">
        <v>1020</v>
      </c>
      <c r="D183" s="2" t="s">
        <v>1048</v>
      </c>
      <c r="E183" s="2" t="s">
        <v>1081</v>
      </c>
      <c r="F183" s="1">
        <v>45886</v>
      </c>
      <c r="G183" s="1">
        <v>45897</v>
      </c>
      <c r="H183" s="2">
        <v>11</v>
      </c>
      <c r="I183" s="2">
        <v>134000</v>
      </c>
      <c r="J183" s="2" t="s">
        <v>1023</v>
      </c>
      <c r="K183" s="2" t="s">
        <v>1028</v>
      </c>
      <c r="L183" t="s">
        <v>1037</v>
      </c>
      <c r="M183" s="2" t="s">
        <v>1024</v>
      </c>
      <c r="N183" s="2">
        <v>3</v>
      </c>
    </row>
    <row r="184" spans="1:14" x14ac:dyDescent="0.3">
      <c r="A184" t="s">
        <v>196</v>
      </c>
      <c r="B184">
        <v>18</v>
      </c>
      <c r="C184" s="2" t="s">
        <v>1020</v>
      </c>
      <c r="D184" s="2" t="s">
        <v>1035</v>
      </c>
      <c r="E184" s="2" t="s">
        <v>1096</v>
      </c>
      <c r="F184" s="1">
        <v>45887</v>
      </c>
      <c r="G184" s="1">
        <v>45894</v>
      </c>
      <c r="H184" s="2">
        <v>7</v>
      </c>
      <c r="I184" s="2">
        <v>140000</v>
      </c>
      <c r="J184" s="2" t="s">
        <v>1027</v>
      </c>
      <c r="K184" s="2" t="s">
        <v>1106</v>
      </c>
      <c r="L184" t="s">
        <v>1037</v>
      </c>
      <c r="M184" s="2" t="s">
        <v>1024</v>
      </c>
      <c r="N184" s="2">
        <v>4</v>
      </c>
    </row>
    <row r="185" spans="1:14" x14ac:dyDescent="0.3">
      <c r="A185" t="s">
        <v>197</v>
      </c>
      <c r="B185">
        <v>19</v>
      </c>
      <c r="C185" s="2" t="s">
        <v>1014</v>
      </c>
      <c r="D185" s="2" t="s">
        <v>1015</v>
      </c>
      <c r="E185" s="2" t="s">
        <v>1131</v>
      </c>
      <c r="F185" s="1">
        <v>45888</v>
      </c>
      <c r="G185" s="1">
        <v>45898</v>
      </c>
      <c r="H185" s="2">
        <v>10</v>
      </c>
      <c r="I185" s="2">
        <v>120000</v>
      </c>
      <c r="J185" s="2" t="s">
        <v>1023</v>
      </c>
      <c r="K185" s="2" t="s">
        <v>1052</v>
      </c>
      <c r="L185" t="s">
        <v>1018</v>
      </c>
      <c r="M185" s="2" t="s">
        <v>1019</v>
      </c>
      <c r="N185" s="2">
        <v>3</v>
      </c>
    </row>
    <row r="186" spans="1:14" x14ac:dyDescent="0.3">
      <c r="A186" t="s">
        <v>198</v>
      </c>
      <c r="B186">
        <v>65</v>
      </c>
      <c r="C186" s="2" t="s">
        <v>1020</v>
      </c>
      <c r="D186" s="2" t="s">
        <v>1025</v>
      </c>
      <c r="E186" s="2" t="s">
        <v>1127</v>
      </c>
      <c r="F186" s="1">
        <v>45889</v>
      </c>
      <c r="G186" s="1">
        <v>45899</v>
      </c>
      <c r="H186" s="2">
        <v>10</v>
      </c>
      <c r="I186" s="2">
        <v>130000</v>
      </c>
      <c r="J186" s="2" t="s">
        <v>1017</v>
      </c>
      <c r="K186" s="2" t="s">
        <v>1103</v>
      </c>
      <c r="L186" t="s">
        <v>1018</v>
      </c>
      <c r="M186" s="2" t="s">
        <v>1038</v>
      </c>
      <c r="N186" s="2">
        <v>3</v>
      </c>
    </row>
    <row r="187" spans="1:14" x14ac:dyDescent="0.3">
      <c r="A187" t="s">
        <v>199</v>
      </c>
      <c r="B187">
        <v>55</v>
      </c>
      <c r="C187" s="2" t="s">
        <v>1020</v>
      </c>
      <c r="D187" s="2" t="s">
        <v>1031</v>
      </c>
      <c r="E187" s="2" t="s">
        <v>1032</v>
      </c>
      <c r="F187" s="1">
        <v>45890</v>
      </c>
      <c r="G187" s="1">
        <v>45900</v>
      </c>
      <c r="H187" s="2">
        <v>10</v>
      </c>
      <c r="I187" s="2">
        <v>140000</v>
      </c>
      <c r="J187" s="2" t="s">
        <v>1017</v>
      </c>
      <c r="K187" s="2" t="s">
        <v>1171</v>
      </c>
      <c r="L187" t="s">
        <v>1037</v>
      </c>
      <c r="M187" s="2" t="s">
        <v>1038</v>
      </c>
      <c r="N187" s="2">
        <v>3</v>
      </c>
    </row>
    <row r="188" spans="1:14" x14ac:dyDescent="0.3">
      <c r="A188" t="s">
        <v>200</v>
      </c>
      <c r="B188">
        <v>89</v>
      </c>
      <c r="C188" s="2" t="s">
        <v>1014</v>
      </c>
      <c r="D188" s="2" t="s">
        <v>1015</v>
      </c>
      <c r="E188" s="2" t="s">
        <v>1132</v>
      </c>
      <c r="F188" s="1">
        <v>45891</v>
      </c>
      <c r="G188" s="1">
        <v>45900</v>
      </c>
      <c r="H188" s="2">
        <v>9</v>
      </c>
      <c r="I188" s="2">
        <v>89000</v>
      </c>
      <c r="J188" s="2" t="s">
        <v>1017</v>
      </c>
      <c r="K188" s="2" t="s">
        <v>1052</v>
      </c>
      <c r="L188" t="s">
        <v>1018</v>
      </c>
      <c r="M188" s="2" t="s">
        <v>1038</v>
      </c>
      <c r="N188" s="2">
        <v>4</v>
      </c>
    </row>
    <row r="189" spans="1:14" x14ac:dyDescent="0.3">
      <c r="A189" t="s">
        <v>201</v>
      </c>
      <c r="B189">
        <v>90</v>
      </c>
      <c r="C189" s="2" t="s">
        <v>1014</v>
      </c>
      <c r="D189" s="2" t="s">
        <v>1025</v>
      </c>
      <c r="E189" s="2" t="s">
        <v>1091</v>
      </c>
      <c r="F189" s="1">
        <v>45892</v>
      </c>
      <c r="G189" s="1">
        <v>45901</v>
      </c>
      <c r="H189" s="2">
        <v>9</v>
      </c>
      <c r="I189" s="2">
        <v>90000</v>
      </c>
      <c r="J189" s="2" t="s">
        <v>1027</v>
      </c>
      <c r="K189" s="2" t="s">
        <v>1046</v>
      </c>
      <c r="L189" t="s">
        <v>1037</v>
      </c>
      <c r="M189" s="2" t="s">
        <v>1019</v>
      </c>
      <c r="N189" s="2">
        <v>4</v>
      </c>
    </row>
    <row r="190" spans="1:14" x14ac:dyDescent="0.3">
      <c r="A190" t="s">
        <v>202</v>
      </c>
      <c r="B190">
        <v>76</v>
      </c>
      <c r="C190" s="2" t="s">
        <v>1020</v>
      </c>
      <c r="D190" s="2" t="s">
        <v>1025</v>
      </c>
      <c r="E190" s="2" t="s">
        <v>1062</v>
      </c>
      <c r="F190" s="1">
        <v>45893</v>
      </c>
      <c r="G190" s="1">
        <v>45903</v>
      </c>
      <c r="H190" s="2">
        <v>10</v>
      </c>
      <c r="I190" s="2">
        <v>65000</v>
      </c>
      <c r="J190" s="2" t="s">
        <v>1023</v>
      </c>
      <c r="K190" s="2" t="s">
        <v>1046</v>
      </c>
      <c r="L190" t="s">
        <v>1018</v>
      </c>
      <c r="M190" s="2" t="s">
        <v>1019</v>
      </c>
      <c r="N190" s="2">
        <v>4</v>
      </c>
    </row>
    <row r="191" spans="1:14" x14ac:dyDescent="0.3">
      <c r="A191" t="s">
        <v>203</v>
      </c>
      <c r="B191">
        <v>22</v>
      </c>
      <c r="C191" s="2" t="s">
        <v>1014</v>
      </c>
      <c r="D191" s="2" t="s">
        <v>1029</v>
      </c>
      <c r="E191" s="2" t="s">
        <v>1057</v>
      </c>
      <c r="F191" s="1">
        <v>45894</v>
      </c>
      <c r="G191" s="1">
        <v>45901</v>
      </c>
      <c r="H191" s="2">
        <v>7</v>
      </c>
      <c r="I191" s="2">
        <v>78900</v>
      </c>
      <c r="J191" s="2" t="s">
        <v>1027</v>
      </c>
      <c r="K191" s="2" t="s">
        <v>1033</v>
      </c>
      <c r="L191" t="s">
        <v>1018</v>
      </c>
      <c r="M191" s="2" t="s">
        <v>1019</v>
      </c>
      <c r="N191" s="2">
        <v>3</v>
      </c>
    </row>
    <row r="192" spans="1:14" x14ac:dyDescent="0.3">
      <c r="A192" t="s">
        <v>204</v>
      </c>
      <c r="B192">
        <v>76</v>
      </c>
      <c r="C192" s="2" t="s">
        <v>1020</v>
      </c>
      <c r="D192" s="2" t="s">
        <v>1021</v>
      </c>
      <c r="E192" s="2" t="s">
        <v>1118</v>
      </c>
      <c r="F192" s="1">
        <v>45895</v>
      </c>
      <c r="G192" s="1">
        <v>45902</v>
      </c>
      <c r="H192" s="2">
        <v>7</v>
      </c>
      <c r="I192" s="2">
        <v>67900</v>
      </c>
      <c r="J192" s="2" t="s">
        <v>1023</v>
      </c>
      <c r="K192" s="2" t="s">
        <v>1147</v>
      </c>
      <c r="L192" t="s">
        <v>1018</v>
      </c>
      <c r="M192" s="2" t="s">
        <v>1038</v>
      </c>
      <c r="N192" s="2">
        <v>3</v>
      </c>
    </row>
    <row r="193" spans="1:14" x14ac:dyDescent="0.3">
      <c r="A193" t="s">
        <v>205</v>
      </c>
      <c r="B193">
        <v>21</v>
      </c>
      <c r="C193" s="2" t="s">
        <v>1014</v>
      </c>
      <c r="D193" s="2" t="s">
        <v>1031</v>
      </c>
      <c r="E193" s="2" t="s">
        <v>1034</v>
      </c>
      <c r="F193" s="1">
        <v>45896</v>
      </c>
      <c r="G193" s="1">
        <v>45903</v>
      </c>
      <c r="H193" s="2">
        <v>7</v>
      </c>
      <c r="I193" s="2">
        <v>56789</v>
      </c>
      <c r="J193" s="2" t="s">
        <v>1017</v>
      </c>
      <c r="K193" s="2" t="s">
        <v>1161</v>
      </c>
      <c r="L193" t="s">
        <v>1037</v>
      </c>
      <c r="M193" s="2" t="s">
        <v>1019</v>
      </c>
      <c r="N193" s="2">
        <v>3</v>
      </c>
    </row>
    <row r="194" spans="1:14" x14ac:dyDescent="0.3">
      <c r="A194" t="s">
        <v>206</v>
      </c>
      <c r="B194">
        <v>24</v>
      </c>
      <c r="C194" s="2" t="s">
        <v>1020</v>
      </c>
      <c r="D194" s="2" t="s">
        <v>1021</v>
      </c>
      <c r="E194" s="2" t="s">
        <v>1060</v>
      </c>
      <c r="F194" s="1">
        <v>45897</v>
      </c>
      <c r="G194" s="1">
        <v>45902</v>
      </c>
      <c r="H194" s="2">
        <v>5</v>
      </c>
      <c r="I194" s="2">
        <v>78900</v>
      </c>
      <c r="J194" s="2" t="s">
        <v>1017</v>
      </c>
      <c r="K194" s="2" t="s">
        <v>1147</v>
      </c>
      <c r="L194" t="s">
        <v>1018</v>
      </c>
      <c r="M194" s="2" t="s">
        <v>1038</v>
      </c>
      <c r="N194" s="2">
        <v>3</v>
      </c>
    </row>
    <row r="195" spans="1:14" x14ac:dyDescent="0.3">
      <c r="A195" t="s">
        <v>207</v>
      </c>
      <c r="B195">
        <v>26</v>
      </c>
      <c r="C195" s="2" t="s">
        <v>1020</v>
      </c>
      <c r="D195" s="2" t="s">
        <v>1041</v>
      </c>
      <c r="E195" s="2" t="s">
        <v>1042</v>
      </c>
      <c r="F195" s="1">
        <v>45898</v>
      </c>
      <c r="G195" s="1">
        <v>45904</v>
      </c>
      <c r="H195" s="2">
        <v>7</v>
      </c>
      <c r="I195" s="2">
        <v>12345</v>
      </c>
      <c r="J195" s="2" t="s">
        <v>1027</v>
      </c>
      <c r="K195" s="2" t="s">
        <v>1128</v>
      </c>
      <c r="L195" t="s">
        <v>1037</v>
      </c>
      <c r="M195" s="2" t="s">
        <v>1019</v>
      </c>
      <c r="N195" s="2">
        <v>3</v>
      </c>
    </row>
    <row r="196" spans="1:14" x14ac:dyDescent="0.3">
      <c r="A196" t="s">
        <v>208</v>
      </c>
      <c r="B196">
        <v>78</v>
      </c>
      <c r="C196" s="2" t="s">
        <v>1020</v>
      </c>
      <c r="D196" s="2" t="s">
        <v>1021</v>
      </c>
      <c r="E196" s="2" t="s">
        <v>1022</v>
      </c>
      <c r="F196" s="1">
        <v>45899</v>
      </c>
      <c r="G196" s="1">
        <v>45905</v>
      </c>
      <c r="H196" s="2">
        <v>6</v>
      </c>
      <c r="I196" s="2">
        <v>15678</v>
      </c>
      <c r="J196" s="2" t="s">
        <v>1027</v>
      </c>
      <c r="K196" s="2" t="s">
        <v>1147</v>
      </c>
      <c r="L196" t="s">
        <v>1018</v>
      </c>
      <c r="M196" s="2" t="s">
        <v>1038</v>
      </c>
      <c r="N196" s="2">
        <v>3</v>
      </c>
    </row>
    <row r="197" spans="1:14" x14ac:dyDescent="0.3">
      <c r="A197" t="s">
        <v>209</v>
      </c>
      <c r="B197">
        <v>21</v>
      </c>
      <c r="C197" s="2" t="s">
        <v>1014</v>
      </c>
      <c r="D197" s="2" t="s">
        <v>1031</v>
      </c>
      <c r="E197" s="2" t="s">
        <v>1053</v>
      </c>
      <c r="F197" s="1">
        <v>45900</v>
      </c>
      <c r="G197" s="1">
        <v>45907</v>
      </c>
      <c r="H197" s="2">
        <v>7</v>
      </c>
      <c r="I197" s="2">
        <v>15600</v>
      </c>
      <c r="J197" s="2" t="s">
        <v>1023</v>
      </c>
      <c r="K197" s="2" t="s">
        <v>1161</v>
      </c>
      <c r="L197" t="s">
        <v>1037</v>
      </c>
      <c r="M197" s="2" t="s">
        <v>1019</v>
      </c>
      <c r="N197" s="2">
        <v>4</v>
      </c>
    </row>
    <row r="198" spans="1:14" x14ac:dyDescent="0.3">
      <c r="A198" t="s">
        <v>210</v>
      </c>
      <c r="B198">
        <v>24</v>
      </c>
      <c r="C198" s="2" t="s">
        <v>1014</v>
      </c>
      <c r="D198" s="2" t="s">
        <v>1041</v>
      </c>
      <c r="E198" s="2" t="s">
        <v>1042</v>
      </c>
      <c r="F198" s="1">
        <v>45901</v>
      </c>
      <c r="G198" s="1">
        <v>45905</v>
      </c>
      <c r="H198" s="2">
        <v>5</v>
      </c>
      <c r="I198" s="2">
        <v>14890</v>
      </c>
      <c r="J198" s="2" t="s">
        <v>1023</v>
      </c>
      <c r="K198" s="2" t="s">
        <v>1128</v>
      </c>
      <c r="L198" t="s">
        <v>1037</v>
      </c>
      <c r="M198" s="2" t="s">
        <v>1038</v>
      </c>
      <c r="N198" s="2">
        <v>3</v>
      </c>
    </row>
    <row r="199" spans="1:14" x14ac:dyDescent="0.3">
      <c r="A199" t="s">
        <v>211</v>
      </c>
      <c r="B199">
        <v>27</v>
      </c>
      <c r="C199" s="2" t="s">
        <v>1020</v>
      </c>
      <c r="D199" s="2" t="s">
        <v>1031</v>
      </c>
      <c r="E199" s="2" t="s">
        <v>1034</v>
      </c>
      <c r="F199" s="1">
        <v>45902</v>
      </c>
      <c r="G199" s="1">
        <v>45908</v>
      </c>
      <c r="H199" s="2">
        <v>6</v>
      </c>
      <c r="I199" s="2">
        <v>1500</v>
      </c>
      <c r="J199" s="2" t="s">
        <v>1027</v>
      </c>
      <c r="K199" s="2" t="s">
        <v>1161</v>
      </c>
      <c r="L199" t="s">
        <v>1037</v>
      </c>
      <c r="M199" s="2" t="s">
        <v>1038</v>
      </c>
      <c r="N199" s="2">
        <v>5</v>
      </c>
    </row>
    <row r="200" spans="1:14" x14ac:dyDescent="0.3">
      <c r="A200" t="s">
        <v>212</v>
      </c>
      <c r="B200">
        <v>29</v>
      </c>
      <c r="C200" s="2" t="s">
        <v>1020</v>
      </c>
      <c r="D200" s="2" t="s">
        <v>1048</v>
      </c>
      <c r="E200" s="2" t="s">
        <v>1063</v>
      </c>
      <c r="F200" s="1">
        <v>45903</v>
      </c>
      <c r="G200" s="1">
        <v>45910</v>
      </c>
      <c r="H200" s="2">
        <v>7</v>
      </c>
      <c r="I200" s="2">
        <v>13000</v>
      </c>
      <c r="J200" s="2" t="s">
        <v>1023</v>
      </c>
      <c r="K200" s="2" t="s">
        <v>1028</v>
      </c>
      <c r="L200" t="s">
        <v>1018</v>
      </c>
      <c r="M200" s="2" t="s">
        <v>1019</v>
      </c>
      <c r="N200" s="2">
        <v>3</v>
      </c>
    </row>
    <row r="201" spans="1:14" x14ac:dyDescent="0.3">
      <c r="A201" t="s">
        <v>213</v>
      </c>
      <c r="B201">
        <v>24</v>
      </c>
      <c r="C201" s="2" t="s">
        <v>1014</v>
      </c>
      <c r="D201" s="2" t="s">
        <v>1029</v>
      </c>
      <c r="E201" s="2" t="s">
        <v>1133</v>
      </c>
      <c r="F201" s="1">
        <v>45904</v>
      </c>
      <c r="G201" s="1">
        <v>45911</v>
      </c>
      <c r="H201" s="2">
        <v>7</v>
      </c>
      <c r="I201" s="2">
        <v>150000</v>
      </c>
      <c r="J201" s="2" t="s">
        <v>1027</v>
      </c>
      <c r="K201" s="2" t="s">
        <v>1033</v>
      </c>
      <c r="L201" t="s">
        <v>1018</v>
      </c>
      <c r="M201" s="2" t="s">
        <v>1038</v>
      </c>
      <c r="N201" s="2">
        <v>3</v>
      </c>
    </row>
    <row r="202" spans="1:14" x14ac:dyDescent="0.3">
      <c r="A202" t="s">
        <v>214</v>
      </c>
      <c r="B202">
        <v>56</v>
      </c>
      <c r="C202" s="2" t="s">
        <v>1014</v>
      </c>
      <c r="D202" s="2" t="s">
        <v>1029</v>
      </c>
      <c r="E202" s="2" t="s">
        <v>1111</v>
      </c>
      <c r="F202" s="1">
        <v>45905</v>
      </c>
      <c r="G202" s="1">
        <v>45915</v>
      </c>
      <c r="H202" s="2">
        <v>10</v>
      </c>
      <c r="I202" s="2">
        <v>190000</v>
      </c>
      <c r="J202" s="2" t="s">
        <v>1023</v>
      </c>
      <c r="K202" s="2" t="s">
        <v>1033</v>
      </c>
      <c r="L202" t="s">
        <v>1037</v>
      </c>
      <c r="M202" s="2" t="s">
        <v>1019</v>
      </c>
      <c r="N202" s="2">
        <v>4</v>
      </c>
    </row>
    <row r="203" spans="1:14" x14ac:dyDescent="0.3">
      <c r="A203" t="s">
        <v>215</v>
      </c>
      <c r="B203">
        <v>34</v>
      </c>
      <c r="C203" s="2" t="s">
        <v>1020</v>
      </c>
      <c r="D203" s="2" t="s">
        <v>1029</v>
      </c>
      <c r="E203" s="2" t="s">
        <v>1134</v>
      </c>
      <c r="F203" s="1">
        <v>45906</v>
      </c>
      <c r="G203" s="1">
        <v>45920</v>
      </c>
      <c r="H203" s="2">
        <v>14</v>
      </c>
      <c r="I203" s="2">
        <v>280000</v>
      </c>
      <c r="J203" s="2" t="s">
        <v>1027</v>
      </c>
      <c r="K203" s="2" t="s">
        <v>1033</v>
      </c>
      <c r="L203" t="s">
        <v>1018</v>
      </c>
      <c r="M203" s="2" t="s">
        <v>1038</v>
      </c>
      <c r="N203" s="2">
        <v>3</v>
      </c>
    </row>
    <row r="204" spans="1:14" x14ac:dyDescent="0.3">
      <c r="A204" t="s">
        <v>216</v>
      </c>
      <c r="B204">
        <v>24</v>
      </c>
      <c r="C204" s="2" t="s">
        <v>1020</v>
      </c>
      <c r="D204" s="2" t="s">
        <v>1021</v>
      </c>
      <c r="E204" s="2" t="s">
        <v>1060</v>
      </c>
      <c r="F204" s="1">
        <v>45907</v>
      </c>
      <c r="G204" s="1">
        <v>45914</v>
      </c>
      <c r="H204" s="2">
        <v>7</v>
      </c>
      <c r="I204" s="2">
        <v>56000</v>
      </c>
      <c r="J204" s="2" t="s">
        <v>1017</v>
      </c>
      <c r="K204" s="2" t="s">
        <v>1147</v>
      </c>
      <c r="L204" t="s">
        <v>1037</v>
      </c>
      <c r="M204" s="2" t="s">
        <v>1019</v>
      </c>
      <c r="N204" s="2">
        <v>4</v>
      </c>
    </row>
    <row r="205" spans="1:14" x14ac:dyDescent="0.3">
      <c r="A205" t="s">
        <v>217</v>
      </c>
      <c r="B205">
        <v>12</v>
      </c>
      <c r="C205" s="2" t="s">
        <v>1014</v>
      </c>
      <c r="D205" s="2" t="s">
        <v>1039</v>
      </c>
      <c r="E205" s="2" t="s">
        <v>1082</v>
      </c>
      <c r="F205" s="1">
        <v>45908</v>
      </c>
      <c r="G205" s="1">
        <v>45911</v>
      </c>
      <c r="H205" s="2">
        <v>3</v>
      </c>
      <c r="I205" s="2">
        <v>39000</v>
      </c>
      <c r="J205" s="2" t="s">
        <v>1027</v>
      </c>
      <c r="K205" s="2" t="s">
        <v>1059</v>
      </c>
      <c r="L205" t="s">
        <v>1018</v>
      </c>
      <c r="M205" s="2" t="s">
        <v>1019</v>
      </c>
      <c r="N205" s="2">
        <v>3</v>
      </c>
    </row>
    <row r="206" spans="1:14" x14ac:dyDescent="0.3">
      <c r="A206" t="s">
        <v>218</v>
      </c>
      <c r="B206">
        <v>24</v>
      </c>
      <c r="C206" s="2" t="s">
        <v>1014</v>
      </c>
      <c r="D206" s="2" t="s">
        <v>1029</v>
      </c>
      <c r="E206" s="2" t="s">
        <v>1030</v>
      </c>
      <c r="F206" s="1">
        <v>45909</v>
      </c>
      <c r="G206" s="1">
        <v>45913</v>
      </c>
      <c r="H206" s="2">
        <v>5</v>
      </c>
      <c r="I206" s="2">
        <v>43000</v>
      </c>
      <c r="J206" s="2" t="s">
        <v>1017</v>
      </c>
      <c r="K206" s="2" t="s">
        <v>1033</v>
      </c>
      <c r="L206" t="s">
        <v>1018</v>
      </c>
      <c r="M206" s="2" t="s">
        <v>1038</v>
      </c>
      <c r="N206" s="2">
        <v>2</v>
      </c>
    </row>
    <row r="207" spans="1:14" x14ac:dyDescent="0.3">
      <c r="A207" t="s">
        <v>219</v>
      </c>
      <c r="B207">
        <v>24</v>
      </c>
      <c r="C207" s="2" t="s">
        <v>1020</v>
      </c>
      <c r="D207" s="2" t="s">
        <v>1015</v>
      </c>
      <c r="E207" s="2" t="s">
        <v>1116</v>
      </c>
      <c r="F207" s="1">
        <v>45910</v>
      </c>
      <c r="G207" s="1">
        <v>45915</v>
      </c>
      <c r="H207" s="2">
        <v>5</v>
      </c>
      <c r="I207" s="2">
        <v>55000</v>
      </c>
      <c r="J207" s="2" t="s">
        <v>1023</v>
      </c>
      <c r="K207" s="2" t="s">
        <v>1052</v>
      </c>
      <c r="L207" t="s">
        <v>1018</v>
      </c>
      <c r="M207" s="2" t="s">
        <v>1024</v>
      </c>
      <c r="N207" s="2">
        <v>3</v>
      </c>
    </row>
    <row r="208" spans="1:14" x14ac:dyDescent="0.3">
      <c r="A208" t="s">
        <v>220</v>
      </c>
      <c r="B208">
        <v>23</v>
      </c>
      <c r="C208" s="2" t="s">
        <v>1014</v>
      </c>
      <c r="D208" s="2" t="s">
        <v>1021</v>
      </c>
      <c r="E208" s="2" t="s">
        <v>1069</v>
      </c>
      <c r="F208" s="1">
        <v>45911</v>
      </c>
      <c r="G208" s="1">
        <v>45920</v>
      </c>
      <c r="H208" s="2">
        <v>9</v>
      </c>
      <c r="I208" s="2">
        <v>64000</v>
      </c>
      <c r="J208" s="2" t="s">
        <v>1017</v>
      </c>
      <c r="K208" s="2" t="s">
        <v>1147</v>
      </c>
      <c r="L208" t="s">
        <v>1037</v>
      </c>
      <c r="M208" s="2" t="s">
        <v>1024</v>
      </c>
      <c r="N208" s="2">
        <v>4</v>
      </c>
    </row>
    <row r="209" spans="1:14" x14ac:dyDescent="0.3">
      <c r="A209" t="s">
        <v>221</v>
      </c>
      <c r="B209">
        <v>88</v>
      </c>
      <c r="C209" s="2" t="s">
        <v>1020</v>
      </c>
      <c r="D209" s="2" t="s">
        <v>1025</v>
      </c>
      <c r="E209" s="2" t="s">
        <v>1127</v>
      </c>
      <c r="F209" s="1">
        <v>45912</v>
      </c>
      <c r="G209" s="1">
        <v>45930</v>
      </c>
      <c r="H209" s="2">
        <v>18</v>
      </c>
      <c r="I209" s="2">
        <v>176000</v>
      </c>
      <c r="J209" s="2" t="s">
        <v>1027</v>
      </c>
      <c r="K209" s="2" t="s">
        <v>1046</v>
      </c>
      <c r="L209" t="s">
        <v>1018</v>
      </c>
      <c r="M209" s="2" t="s">
        <v>1038</v>
      </c>
      <c r="N209" s="2">
        <v>2</v>
      </c>
    </row>
    <row r="210" spans="1:14" x14ac:dyDescent="0.3">
      <c r="A210" t="s">
        <v>222</v>
      </c>
      <c r="B210">
        <v>85</v>
      </c>
      <c r="C210" s="2" t="s">
        <v>1014</v>
      </c>
      <c r="D210" s="2" t="s">
        <v>1021</v>
      </c>
      <c r="E210" s="2" t="s">
        <v>1022</v>
      </c>
      <c r="F210" s="1">
        <v>45913</v>
      </c>
      <c r="G210" s="1">
        <v>45929</v>
      </c>
      <c r="H210" s="2">
        <v>13</v>
      </c>
      <c r="I210" s="2">
        <v>134000</v>
      </c>
      <c r="J210" s="2" t="s">
        <v>1023</v>
      </c>
      <c r="K210" s="2" t="s">
        <v>1147</v>
      </c>
      <c r="L210" t="s">
        <v>1037</v>
      </c>
      <c r="M210" s="2" t="s">
        <v>1024</v>
      </c>
      <c r="N210" s="2">
        <v>3</v>
      </c>
    </row>
    <row r="211" spans="1:14" x14ac:dyDescent="0.3">
      <c r="A211" t="s">
        <v>223</v>
      </c>
      <c r="B211">
        <v>79</v>
      </c>
      <c r="C211" s="2" t="s">
        <v>1014</v>
      </c>
      <c r="D211" s="2" t="s">
        <v>1015</v>
      </c>
      <c r="E211" s="2" t="s">
        <v>1016</v>
      </c>
      <c r="F211" s="1">
        <v>45914</v>
      </c>
      <c r="G211" s="1">
        <v>45924</v>
      </c>
      <c r="H211" s="2">
        <v>10</v>
      </c>
      <c r="I211" s="2">
        <v>145000</v>
      </c>
      <c r="J211" s="2" t="s">
        <v>1027</v>
      </c>
      <c r="K211" s="2" t="s">
        <v>1052</v>
      </c>
      <c r="L211" t="s">
        <v>1018</v>
      </c>
      <c r="M211" s="2" t="s">
        <v>1038</v>
      </c>
      <c r="N211" s="2">
        <v>2</v>
      </c>
    </row>
    <row r="212" spans="1:14" x14ac:dyDescent="0.3">
      <c r="A212" t="s">
        <v>224</v>
      </c>
      <c r="B212">
        <v>11</v>
      </c>
      <c r="C212" s="2" t="s">
        <v>1014</v>
      </c>
      <c r="D212" s="2" t="s">
        <v>1025</v>
      </c>
      <c r="E212" s="2" t="s">
        <v>1055</v>
      </c>
      <c r="F212" s="1">
        <v>45915</v>
      </c>
      <c r="G212" s="1">
        <v>45928</v>
      </c>
      <c r="H212" s="2">
        <v>13</v>
      </c>
      <c r="I212" s="2">
        <v>150000</v>
      </c>
      <c r="J212" s="2" t="s">
        <v>1023</v>
      </c>
      <c r="K212" s="2" t="s">
        <v>1046</v>
      </c>
      <c r="L212" t="s">
        <v>1037</v>
      </c>
      <c r="M212" s="2" t="s">
        <v>1038</v>
      </c>
      <c r="N212" s="2">
        <v>3</v>
      </c>
    </row>
    <row r="213" spans="1:14" x14ac:dyDescent="0.3">
      <c r="A213" t="s">
        <v>225</v>
      </c>
      <c r="B213">
        <v>24</v>
      </c>
      <c r="C213" s="2" t="s">
        <v>1020</v>
      </c>
      <c r="D213" s="2" t="s">
        <v>1015</v>
      </c>
      <c r="E213" s="2" t="s">
        <v>1016</v>
      </c>
      <c r="F213" s="1">
        <v>45916</v>
      </c>
      <c r="G213" s="1">
        <v>45924</v>
      </c>
      <c r="H213" s="2">
        <v>8</v>
      </c>
      <c r="I213" s="2">
        <v>120000</v>
      </c>
      <c r="J213" s="2" t="s">
        <v>1027</v>
      </c>
      <c r="K213" s="2" t="s">
        <v>1052</v>
      </c>
      <c r="L213" t="s">
        <v>1037</v>
      </c>
      <c r="M213" s="2" t="s">
        <v>1024</v>
      </c>
      <c r="N213" s="2">
        <v>4</v>
      </c>
    </row>
    <row r="214" spans="1:14" x14ac:dyDescent="0.3">
      <c r="A214" t="s">
        <v>226</v>
      </c>
      <c r="B214">
        <v>25</v>
      </c>
      <c r="C214" s="2" t="s">
        <v>1020</v>
      </c>
      <c r="D214" s="2" t="s">
        <v>1039</v>
      </c>
      <c r="E214" s="2" t="s">
        <v>1082</v>
      </c>
      <c r="F214" s="1">
        <v>45917</v>
      </c>
      <c r="G214" s="1">
        <v>45920</v>
      </c>
      <c r="H214" s="2">
        <v>3</v>
      </c>
      <c r="I214" s="2">
        <v>100000</v>
      </c>
      <c r="J214" s="2" t="s">
        <v>1017</v>
      </c>
      <c r="K214" s="2" t="s">
        <v>1059</v>
      </c>
      <c r="L214" t="s">
        <v>1037</v>
      </c>
      <c r="M214" s="2" t="s">
        <v>1038</v>
      </c>
      <c r="N214" s="2">
        <v>5</v>
      </c>
    </row>
    <row r="215" spans="1:14" x14ac:dyDescent="0.3">
      <c r="A215" t="s">
        <v>227</v>
      </c>
      <c r="B215">
        <v>13</v>
      </c>
      <c r="C215" s="2" t="s">
        <v>1020</v>
      </c>
      <c r="D215" s="2" t="s">
        <v>1048</v>
      </c>
      <c r="E215" s="2" t="s">
        <v>1058</v>
      </c>
      <c r="F215" s="1">
        <v>45918</v>
      </c>
      <c r="G215" s="1">
        <v>45925</v>
      </c>
      <c r="H215" s="2">
        <v>7</v>
      </c>
      <c r="I215" s="2">
        <v>55000</v>
      </c>
      <c r="J215" s="2" t="s">
        <v>1027</v>
      </c>
      <c r="K215" s="2" t="s">
        <v>1028</v>
      </c>
      <c r="L215" t="s">
        <v>1018</v>
      </c>
      <c r="M215" s="2" t="s">
        <v>1024</v>
      </c>
      <c r="N215" s="2">
        <v>4</v>
      </c>
    </row>
    <row r="216" spans="1:14" x14ac:dyDescent="0.3">
      <c r="A216" t="s">
        <v>228</v>
      </c>
      <c r="B216">
        <v>24</v>
      </c>
      <c r="C216" s="2" t="s">
        <v>1020</v>
      </c>
      <c r="D216" s="2" t="s">
        <v>1124</v>
      </c>
      <c r="E216" s="2" t="s">
        <v>1125</v>
      </c>
      <c r="F216" s="1">
        <v>45919</v>
      </c>
      <c r="G216" s="1">
        <v>45930</v>
      </c>
      <c r="H216" s="2">
        <v>11</v>
      </c>
      <c r="I216" s="2">
        <v>67000</v>
      </c>
      <c r="J216" s="2" t="s">
        <v>1017</v>
      </c>
      <c r="K216" s="2" t="s">
        <v>1044</v>
      </c>
      <c r="L216" t="s">
        <v>1018</v>
      </c>
      <c r="M216" s="2" t="s">
        <v>1038</v>
      </c>
      <c r="N216" s="2">
        <v>5</v>
      </c>
    </row>
    <row r="217" spans="1:14" x14ac:dyDescent="0.3">
      <c r="A217" t="s">
        <v>229</v>
      </c>
      <c r="B217">
        <v>33</v>
      </c>
      <c r="C217" s="2" t="s">
        <v>1014</v>
      </c>
      <c r="D217" s="2" t="s">
        <v>1029</v>
      </c>
      <c r="E217" s="2" t="s">
        <v>1057</v>
      </c>
      <c r="F217" s="1">
        <v>45920</v>
      </c>
      <c r="G217" s="1">
        <v>45925</v>
      </c>
      <c r="H217" s="2">
        <v>5</v>
      </c>
      <c r="I217" s="2">
        <v>78000</v>
      </c>
      <c r="J217" s="2" t="s">
        <v>1023</v>
      </c>
      <c r="K217" s="2" t="s">
        <v>1033</v>
      </c>
      <c r="L217" t="s">
        <v>1037</v>
      </c>
      <c r="M217" s="2" t="s">
        <v>1019</v>
      </c>
      <c r="N217" s="2">
        <v>4</v>
      </c>
    </row>
    <row r="218" spans="1:14" x14ac:dyDescent="0.3">
      <c r="A218" t="s">
        <v>230</v>
      </c>
      <c r="B218">
        <v>89</v>
      </c>
      <c r="C218" s="2" t="s">
        <v>1014</v>
      </c>
      <c r="D218" s="2" t="s">
        <v>1124</v>
      </c>
      <c r="E218" s="2" t="s">
        <v>1135</v>
      </c>
      <c r="F218" s="1">
        <v>45921</v>
      </c>
      <c r="G218" s="1">
        <v>45929</v>
      </c>
      <c r="H218" s="2">
        <v>8</v>
      </c>
      <c r="I218" s="2">
        <v>89000</v>
      </c>
      <c r="J218" s="2" t="s">
        <v>1023</v>
      </c>
      <c r="K218" s="2" t="s">
        <v>1044</v>
      </c>
      <c r="L218" t="s">
        <v>1018</v>
      </c>
      <c r="M218" s="2" t="s">
        <v>1019</v>
      </c>
      <c r="N218" s="2">
        <v>3</v>
      </c>
    </row>
    <row r="219" spans="1:14" x14ac:dyDescent="0.3">
      <c r="A219" t="s">
        <v>231</v>
      </c>
      <c r="B219">
        <v>78</v>
      </c>
      <c r="C219" s="2" t="s">
        <v>1014</v>
      </c>
      <c r="D219" s="2" t="s">
        <v>1025</v>
      </c>
      <c r="E219" s="2" t="s">
        <v>1136</v>
      </c>
      <c r="F219" s="1">
        <v>45922</v>
      </c>
      <c r="G219" s="1">
        <v>45931</v>
      </c>
      <c r="H219" s="2">
        <v>9</v>
      </c>
      <c r="I219" s="2">
        <v>90000</v>
      </c>
      <c r="J219" s="2" t="s">
        <v>1027</v>
      </c>
      <c r="K219" s="2" t="s">
        <v>1046</v>
      </c>
      <c r="L219" t="s">
        <v>1037</v>
      </c>
      <c r="M219" s="2" t="s">
        <v>1038</v>
      </c>
      <c r="N219" s="2">
        <v>2</v>
      </c>
    </row>
    <row r="220" spans="1:14" x14ac:dyDescent="0.3">
      <c r="A220" t="s">
        <v>232</v>
      </c>
      <c r="B220">
        <v>75</v>
      </c>
      <c r="C220" s="2" t="s">
        <v>1020</v>
      </c>
      <c r="D220" s="2" t="s">
        <v>1124</v>
      </c>
      <c r="E220" s="2" t="s">
        <v>1135</v>
      </c>
      <c r="F220" s="1">
        <v>45923</v>
      </c>
      <c r="G220" s="1">
        <v>45932</v>
      </c>
      <c r="H220" s="2">
        <v>9</v>
      </c>
      <c r="I220" s="2">
        <v>78000</v>
      </c>
      <c r="J220" s="2" t="s">
        <v>1023</v>
      </c>
      <c r="K220" s="2" t="s">
        <v>1044</v>
      </c>
      <c r="L220" t="s">
        <v>1018</v>
      </c>
      <c r="M220" s="2" t="s">
        <v>1024</v>
      </c>
      <c r="N220" s="2">
        <v>4</v>
      </c>
    </row>
    <row r="221" spans="1:14" x14ac:dyDescent="0.3">
      <c r="A221" t="s">
        <v>233</v>
      </c>
      <c r="B221">
        <v>24</v>
      </c>
      <c r="C221" s="2" t="s">
        <v>1020</v>
      </c>
      <c r="D221" s="2" t="s">
        <v>1039</v>
      </c>
      <c r="E221" s="2" t="s">
        <v>1137</v>
      </c>
      <c r="F221" s="1">
        <v>45924</v>
      </c>
      <c r="G221" s="1">
        <v>45930</v>
      </c>
      <c r="H221" s="2">
        <v>6</v>
      </c>
      <c r="I221" s="2">
        <v>98000</v>
      </c>
      <c r="J221" s="2" t="s">
        <v>1017</v>
      </c>
      <c r="K221" s="2" t="s">
        <v>1059</v>
      </c>
      <c r="L221" t="s">
        <v>1018</v>
      </c>
      <c r="M221" s="2" t="s">
        <v>1024</v>
      </c>
      <c r="N221" s="2">
        <v>5</v>
      </c>
    </row>
    <row r="222" spans="1:14" x14ac:dyDescent="0.3">
      <c r="A222" t="s">
        <v>234</v>
      </c>
      <c r="B222">
        <v>23</v>
      </c>
      <c r="C222" s="2" t="s">
        <v>1014</v>
      </c>
      <c r="D222" s="2" t="s">
        <v>1025</v>
      </c>
      <c r="E222" s="2" t="s">
        <v>1055</v>
      </c>
      <c r="F222" s="1">
        <v>45925</v>
      </c>
      <c r="G222" s="1">
        <v>45931</v>
      </c>
      <c r="H222" s="2">
        <v>6</v>
      </c>
      <c r="I222" s="2">
        <v>78000</v>
      </c>
      <c r="J222" s="2" t="s">
        <v>1027</v>
      </c>
      <c r="K222" s="2" t="s">
        <v>1046</v>
      </c>
      <c r="L222" t="s">
        <v>1018</v>
      </c>
      <c r="M222" s="2" t="s">
        <v>1038</v>
      </c>
      <c r="N222" s="2">
        <v>4</v>
      </c>
    </row>
    <row r="223" spans="1:14" x14ac:dyDescent="0.3">
      <c r="A223" t="s">
        <v>235</v>
      </c>
      <c r="B223">
        <v>19</v>
      </c>
      <c r="C223" s="2" t="s">
        <v>1020</v>
      </c>
      <c r="D223" s="2" t="s">
        <v>1048</v>
      </c>
      <c r="E223" s="2" t="s">
        <v>1063</v>
      </c>
      <c r="F223" s="1">
        <v>45926</v>
      </c>
      <c r="G223" s="1">
        <v>45933</v>
      </c>
      <c r="H223" s="2">
        <v>7</v>
      </c>
      <c r="I223" s="2">
        <v>98000</v>
      </c>
      <c r="J223" s="2" t="s">
        <v>1023</v>
      </c>
      <c r="K223" s="2" t="s">
        <v>1028</v>
      </c>
      <c r="L223" t="s">
        <v>1037</v>
      </c>
      <c r="M223" s="2" t="s">
        <v>1024</v>
      </c>
      <c r="N223" s="2">
        <v>3</v>
      </c>
    </row>
    <row r="224" spans="1:14" x14ac:dyDescent="0.3">
      <c r="A224" t="s">
        <v>236</v>
      </c>
      <c r="B224">
        <v>24</v>
      </c>
      <c r="C224" s="2" t="s">
        <v>1014</v>
      </c>
      <c r="D224" s="2" t="s">
        <v>1029</v>
      </c>
      <c r="E224" s="2" t="s">
        <v>1138</v>
      </c>
      <c r="F224" s="1">
        <v>45927</v>
      </c>
      <c r="G224" s="1">
        <v>45931</v>
      </c>
      <c r="H224" s="2">
        <v>4</v>
      </c>
      <c r="I224" s="2">
        <v>78900</v>
      </c>
      <c r="J224" s="2" t="s">
        <v>1027</v>
      </c>
      <c r="K224" s="2" t="s">
        <v>1033</v>
      </c>
      <c r="L224" t="s">
        <v>1018</v>
      </c>
      <c r="M224" s="2" t="s">
        <v>1038</v>
      </c>
      <c r="N224" s="2">
        <v>2</v>
      </c>
    </row>
    <row r="225" spans="1:14" x14ac:dyDescent="0.3">
      <c r="A225" t="s">
        <v>237</v>
      </c>
      <c r="B225">
        <v>67</v>
      </c>
      <c r="C225" s="2" t="s">
        <v>1014</v>
      </c>
      <c r="D225" s="2" t="s">
        <v>1031</v>
      </c>
      <c r="E225" s="2" t="s">
        <v>1032</v>
      </c>
      <c r="F225" s="1">
        <v>45928</v>
      </c>
      <c r="G225" s="1">
        <v>45933</v>
      </c>
      <c r="H225" s="2">
        <v>2</v>
      </c>
      <c r="I225" s="2">
        <v>33000</v>
      </c>
      <c r="J225" s="2" t="s">
        <v>1023</v>
      </c>
      <c r="K225" s="2" t="s">
        <v>1161</v>
      </c>
      <c r="L225" t="s">
        <v>1037</v>
      </c>
      <c r="M225" s="2" t="s">
        <v>1024</v>
      </c>
      <c r="N225" s="2">
        <v>3</v>
      </c>
    </row>
    <row r="226" spans="1:14" x14ac:dyDescent="0.3">
      <c r="A226" t="s">
        <v>238</v>
      </c>
      <c r="B226">
        <v>87</v>
      </c>
      <c r="C226" s="2" t="s">
        <v>1014</v>
      </c>
      <c r="D226" s="2" t="s">
        <v>1021</v>
      </c>
      <c r="E226" s="2" t="s">
        <v>1139</v>
      </c>
      <c r="F226" s="1">
        <v>45929</v>
      </c>
      <c r="G226" s="1">
        <v>45935</v>
      </c>
      <c r="H226" s="2">
        <v>6</v>
      </c>
      <c r="I226" s="2">
        <v>49000</v>
      </c>
      <c r="J226" s="2" t="s">
        <v>1017</v>
      </c>
      <c r="K226" s="2" t="s">
        <v>1147</v>
      </c>
      <c r="L226" t="s">
        <v>1018</v>
      </c>
      <c r="M226" s="2" t="s">
        <v>1038</v>
      </c>
      <c r="N226" s="2">
        <v>3</v>
      </c>
    </row>
    <row r="227" spans="1:14" x14ac:dyDescent="0.3">
      <c r="A227" t="s">
        <v>239</v>
      </c>
      <c r="B227">
        <v>69</v>
      </c>
      <c r="C227" s="2" t="s">
        <v>1014</v>
      </c>
      <c r="D227" s="2" t="s">
        <v>1021</v>
      </c>
      <c r="E227" s="2" t="s">
        <v>1140</v>
      </c>
      <c r="F227" s="1">
        <v>45930</v>
      </c>
      <c r="G227" s="1">
        <v>45940</v>
      </c>
      <c r="H227" s="2">
        <v>10</v>
      </c>
      <c r="I227" s="2">
        <v>156000</v>
      </c>
      <c r="J227" s="2" t="s">
        <v>1017</v>
      </c>
      <c r="K227" s="2" t="s">
        <v>1147</v>
      </c>
      <c r="L227" t="s">
        <v>1037</v>
      </c>
      <c r="M227" s="2" t="s">
        <v>1024</v>
      </c>
      <c r="N227" s="2">
        <v>4</v>
      </c>
    </row>
    <row r="228" spans="1:14" x14ac:dyDescent="0.3">
      <c r="A228" t="s">
        <v>240</v>
      </c>
      <c r="B228">
        <v>24</v>
      </c>
      <c r="C228" s="2" t="s">
        <v>1020</v>
      </c>
      <c r="D228" s="2" t="s">
        <v>1041</v>
      </c>
      <c r="E228" s="2" t="s">
        <v>1042</v>
      </c>
      <c r="F228" s="1">
        <v>45931</v>
      </c>
      <c r="G228" s="1">
        <v>45935</v>
      </c>
      <c r="H228" s="2">
        <v>5</v>
      </c>
      <c r="I228" s="2">
        <v>12000</v>
      </c>
      <c r="J228" s="2" t="s">
        <v>1027</v>
      </c>
      <c r="K228" s="2" t="s">
        <v>1128</v>
      </c>
      <c r="L228" t="s">
        <v>1037</v>
      </c>
      <c r="M228" s="2" t="s">
        <v>1038</v>
      </c>
      <c r="N228" s="2">
        <v>4</v>
      </c>
    </row>
    <row r="229" spans="1:14" x14ac:dyDescent="0.3">
      <c r="A229" t="s">
        <v>241</v>
      </c>
      <c r="B229">
        <v>19</v>
      </c>
      <c r="C229" s="2" t="s">
        <v>1020</v>
      </c>
      <c r="D229" s="2" t="s">
        <v>1048</v>
      </c>
      <c r="E229" s="2" t="s">
        <v>1063</v>
      </c>
      <c r="F229" s="1">
        <v>45932</v>
      </c>
      <c r="G229" s="1">
        <v>45939</v>
      </c>
      <c r="H229" s="2">
        <v>7</v>
      </c>
      <c r="I229" s="2">
        <v>14000</v>
      </c>
      <c r="J229" s="2" t="s">
        <v>1017</v>
      </c>
      <c r="K229" s="2" t="s">
        <v>1028</v>
      </c>
      <c r="L229" t="s">
        <v>1037</v>
      </c>
      <c r="M229" s="2" t="s">
        <v>1024</v>
      </c>
      <c r="N229" s="2">
        <v>5</v>
      </c>
    </row>
    <row r="230" spans="1:14" x14ac:dyDescent="0.3">
      <c r="A230" t="s">
        <v>242</v>
      </c>
      <c r="B230">
        <v>12</v>
      </c>
      <c r="C230" s="2" t="s">
        <v>1014</v>
      </c>
      <c r="D230" s="2" t="s">
        <v>1029</v>
      </c>
      <c r="E230" s="2" t="s">
        <v>1075</v>
      </c>
      <c r="F230" s="1">
        <v>45933</v>
      </c>
      <c r="G230" s="1">
        <v>45942</v>
      </c>
      <c r="H230" s="2">
        <v>9</v>
      </c>
      <c r="I230" s="2">
        <v>24000</v>
      </c>
      <c r="J230" s="2" t="s">
        <v>1027</v>
      </c>
      <c r="K230" s="2" t="s">
        <v>1033</v>
      </c>
      <c r="L230" t="s">
        <v>1018</v>
      </c>
      <c r="M230" s="2" t="s">
        <v>1024</v>
      </c>
      <c r="N230">
        <v>4</v>
      </c>
    </row>
    <row r="231" spans="1:14" x14ac:dyDescent="0.3">
      <c r="A231" t="s">
        <v>243</v>
      </c>
      <c r="B231">
        <v>10</v>
      </c>
      <c r="C231" s="2" t="s">
        <v>1014</v>
      </c>
      <c r="D231" s="2" t="s">
        <v>1035</v>
      </c>
      <c r="E231" s="2" t="s">
        <v>1078</v>
      </c>
      <c r="F231" s="1">
        <v>45934</v>
      </c>
      <c r="G231" s="1">
        <v>45945</v>
      </c>
      <c r="H231" s="2">
        <v>11</v>
      </c>
      <c r="I231" s="2">
        <v>100000</v>
      </c>
      <c r="J231" s="2" t="s">
        <v>1023</v>
      </c>
      <c r="K231" s="2" t="s">
        <v>1106</v>
      </c>
      <c r="L231" t="s">
        <v>1018</v>
      </c>
      <c r="M231" s="2" t="s">
        <v>1038</v>
      </c>
      <c r="N231">
        <v>5</v>
      </c>
    </row>
    <row r="232" spans="1:14" x14ac:dyDescent="0.3">
      <c r="A232" t="s">
        <v>244</v>
      </c>
      <c r="B232">
        <v>21</v>
      </c>
      <c r="C232" s="2" t="s">
        <v>1020</v>
      </c>
      <c r="D232" s="2" t="s">
        <v>1035</v>
      </c>
      <c r="E232" s="2" t="s">
        <v>1047</v>
      </c>
      <c r="F232" s="1">
        <v>45935</v>
      </c>
      <c r="G232" s="1">
        <v>45950</v>
      </c>
      <c r="H232" s="2">
        <v>15</v>
      </c>
      <c r="I232" s="2">
        <v>150000</v>
      </c>
      <c r="J232" s="2" t="s">
        <v>1027</v>
      </c>
      <c r="K232" s="2" t="s">
        <v>1106</v>
      </c>
      <c r="L232" t="s">
        <v>1037</v>
      </c>
      <c r="M232" s="2" t="s">
        <v>1038</v>
      </c>
      <c r="N232" s="2">
        <v>4</v>
      </c>
    </row>
    <row r="233" spans="1:14" x14ac:dyDescent="0.3">
      <c r="A233" t="s">
        <v>245</v>
      </c>
      <c r="B233">
        <v>34</v>
      </c>
      <c r="C233" s="2" t="s">
        <v>1020</v>
      </c>
      <c r="D233" s="2" t="s">
        <v>1025</v>
      </c>
      <c r="E233" s="2" t="s">
        <v>1055</v>
      </c>
      <c r="F233" s="1">
        <v>45936</v>
      </c>
      <c r="G233" s="1">
        <v>45945</v>
      </c>
      <c r="H233" s="2">
        <v>9</v>
      </c>
      <c r="I233" s="2">
        <v>145000</v>
      </c>
      <c r="J233" s="2" t="s">
        <v>1017</v>
      </c>
      <c r="K233" s="2" t="s">
        <v>1046</v>
      </c>
      <c r="L233" t="s">
        <v>1018</v>
      </c>
      <c r="M233" s="2" t="s">
        <v>1038</v>
      </c>
      <c r="N233">
        <v>4</v>
      </c>
    </row>
    <row r="234" spans="1:14" x14ac:dyDescent="0.3">
      <c r="A234" t="s">
        <v>246</v>
      </c>
      <c r="B234">
        <v>54</v>
      </c>
      <c r="C234" s="2" t="s">
        <v>1014</v>
      </c>
      <c r="D234" s="2" t="s">
        <v>1035</v>
      </c>
      <c r="E234" s="2" t="s">
        <v>1074</v>
      </c>
      <c r="F234" s="1">
        <v>45937</v>
      </c>
      <c r="G234" s="1">
        <v>45951</v>
      </c>
      <c r="H234" s="2">
        <v>14</v>
      </c>
      <c r="I234" s="2">
        <v>156000</v>
      </c>
      <c r="J234" s="2" t="s">
        <v>1027</v>
      </c>
      <c r="K234" s="2" t="s">
        <v>1106</v>
      </c>
      <c r="L234" t="s">
        <v>1037</v>
      </c>
      <c r="M234" s="2" t="s">
        <v>1038</v>
      </c>
      <c r="N234">
        <v>3</v>
      </c>
    </row>
    <row r="235" spans="1:14" x14ac:dyDescent="0.3">
      <c r="A235" t="s">
        <v>247</v>
      </c>
      <c r="B235">
        <v>67</v>
      </c>
      <c r="C235" s="2" t="s">
        <v>1020</v>
      </c>
      <c r="D235" s="2" t="s">
        <v>1025</v>
      </c>
      <c r="E235" s="2" t="s">
        <v>1127</v>
      </c>
      <c r="F235" s="1">
        <v>45938</v>
      </c>
      <c r="G235" s="1">
        <v>45947</v>
      </c>
      <c r="H235" s="2">
        <v>9</v>
      </c>
      <c r="I235" s="2">
        <v>139000</v>
      </c>
      <c r="J235" s="2" t="s">
        <v>1017</v>
      </c>
      <c r="K235" s="2" t="s">
        <v>1046</v>
      </c>
      <c r="L235" t="s">
        <v>1018</v>
      </c>
      <c r="M235" s="2" t="s">
        <v>1019</v>
      </c>
      <c r="N235">
        <v>2</v>
      </c>
    </row>
    <row r="236" spans="1:14" x14ac:dyDescent="0.3">
      <c r="A236" t="s">
        <v>248</v>
      </c>
      <c r="B236">
        <v>19</v>
      </c>
      <c r="C236" s="2" t="s">
        <v>1014</v>
      </c>
      <c r="D236" s="2" t="s">
        <v>1029</v>
      </c>
      <c r="E236" s="2" t="s">
        <v>1030</v>
      </c>
      <c r="F236" s="1">
        <v>45939</v>
      </c>
      <c r="G236" s="1">
        <v>45940</v>
      </c>
      <c r="H236" s="2">
        <v>1</v>
      </c>
      <c r="I236" s="2">
        <v>167000</v>
      </c>
      <c r="J236" s="2" t="s">
        <v>1027</v>
      </c>
      <c r="K236" s="2" t="s">
        <v>1033</v>
      </c>
      <c r="L236" t="s">
        <v>1018</v>
      </c>
      <c r="M236" s="2" t="s">
        <v>1019</v>
      </c>
      <c r="N236">
        <v>3</v>
      </c>
    </row>
    <row r="237" spans="1:14" x14ac:dyDescent="0.3">
      <c r="A237" t="s">
        <v>249</v>
      </c>
      <c r="B237">
        <v>24</v>
      </c>
      <c r="C237" s="2" t="s">
        <v>1014</v>
      </c>
      <c r="D237" s="2" t="s">
        <v>1039</v>
      </c>
      <c r="E237" s="2" t="s">
        <v>1137</v>
      </c>
      <c r="F237" s="1">
        <v>45940</v>
      </c>
      <c r="G237" s="1">
        <v>45951</v>
      </c>
      <c r="H237" s="2">
        <v>11</v>
      </c>
      <c r="I237" s="2">
        <v>176000</v>
      </c>
      <c r="J237" s="2" t="s">
        <v>1023</v>
      </c>
      <c r="K237" s="2" t="s">
        <v>1059</v>
      </c>
      <c r="L237" t="s">
        <v>1018</v>
      </c>
      <c r="M237" s="2" t="s">
        <v>1019</v>
      </c>
      <c r="N237">
        <v>5</v>
      </c>
    </row>
    <row r="238" spans="1:14" x14ac:dyDescent="0.3">
      <c r="A238" t="s">
        <v>250</v>
      </c>
      <c r="B238">
        <v>34</v>
      </c>
      <c r="C238" s="2" t="s">
        <v>1020</v>
      </c>
      <c r="D238" s="2" t="s">
        <v>1025</v>
      </c>
      <c r="E238" s="2" t="s">
        <v>1062</v>
      </c>
      <c r="F238" s="1">
        <v>45941</v>
      </c>
      <c r="G238" s="1">
        <v>45943</v>
      </c>
      <c r="H238" s="2">
        <v>2</v>
      </c>
      <c r="I238" s="2">
        <v>13400</v>
      </c>
      <c r="J238" s="2" t="s">
        <v>1027</v>
      </c>
      <c r="K238" s="2" t="s">
        <v>1046</v>
      </c>
      <c r="L238" t="s">
        <v>1037</v>
      </c>
      <c r="M238" s="2" t="s">
        <v>1019</v>
      </c>
      <c r="N238">
        <v>4</v>
      </c>
    </row>
    <row r="239" spans="1:14" x14ac:dyDescent="0.3">
      <c r="A239" t="s">
        <v>251</v>
      </c>
      <c r="B239">
        <v>46</v>
      </c>
      <c r="C239" s="2" t="s">
        <v>1020</v>
      </c>
      <c r="D239" s="2" t="s">
        <v>1031</v>
      </c>
      <c r="E239" s="2" t="s">
        <v>1034</v>
      </c>
      <c r="F239" s="1">
        <v>45942</v>
      </c>
      <c r="G239" s="1">
        <v>45949</v>
      </c>
      <c r="H239" s="2">
        <v>7</v>
      </c>
      <c r="I239" s="2">
        <v>55000</v>
      </c>
      <c r="J239" s="2" t="s">
        <v>1017</v>
      </c>
      <c r="K239" s="2" t="s">
        <v>1161</v>
      </c>
      <c r="L239" t="s">
        <v>1018</v>
      </c>
      <c r="M239" s="2" t="s">
        <v>1038</v>
      </c>
      <c r="N239">
        <v>5</v>
      </c>
    </row>
    <row r="240" spans="1:14" x14ac:dyDescent="0.3">
      <c r="A240" t="s">
        <v>252</v>
      </c>
      <c r="B240">
        <v>44</v>
      </c>
      <c r="C240" s="2" t="s">
        <v>1020</v>
      </c>
      <c r="D240" s="2" t="s">
        <v>1041</v>
      </c>
      <c r="E240" s="2" t="s">
        <v>1042</v>
      </c>
      <c r="F240" s="1">
        <v>45943</v>
      </c>
      <c r="G240" s="1">
        <v>45950</v>
      </c>
      <c r="H240" s="2">
        <v>7</v>
      </c>
      <c r="I240" s="2">
        <v>45000</v>
      </c>
      <c r="J240" s="2" t="s">
        <v>1017</v>
      </c>
      <c r="K240" s="2" t="s">
        <v>1128</v>
      </c>
      <c r="L240" t="s">
        <v>1037</v>
      </c>
      <c r="M240" s="2" t="s">
        <v>1038</v>
      </c>
      <c r="N240">
        <v>5</v>
      </c>
    </row>
    <row r="241" spans="1:14" x14ac:dyDescent="0.3">
      <c r="A241" t="s">
        <v>253</v>
      </c>
      <c r="B241">
        <v>24</v>
      </c>
      <c r="C241" s="2" t="s">
        <v>1014</v>
      </c>
      <c r="D241" s="2" t="s">
        <v>1025</v>
      </c>
      <c r="E241" s="2" t="s">
        <v>1129</v>
      </c>
      <c r="F241" s="1">
        <v>45944</v>
      </c>
      <c r="G241" s="1">
        <v>45954</v>
      </c>
      <c r="H241" s="2">
        <v>10</v>
      </c>
      <c r="I241" s="2">
        <v>78000</v>
      </c>
      <c r="J241" s="2" t="s">
        <v>1027</v>
      </c>
      <c r="K241" s="2" t="s">
        <v>1046</v>
      </c>
      <c r="L241" t="s">
        <v>1018</v>
      </c>
      <c r="M241" s="2" t="s">
        <v>1019</v>
      </c>
      <c r="N241">
        <v>5</v>
      </c>
    </row>
    <row r="242" spans="1:14" x14ac:dyDescent="0.3">
      <c r="A242" t="s">
        <v>254</v>
      </c>
      <c r="B242">
        <v>35</v>
      </c>
      <c r="C242" s="2" t="s">
        <v>1014</v>
      </c>
      <c r="D242" s="2" t="s">
        <v>1021</v>
      </c>
      <c r="E242" s="2" t="s">
        <v>1022</v>
      </c>
      <c r="F242" s="1">
        <v>45945</v>
      </c>
      <c r="G242" s="1">
        <v>45951</v>
      </c>
      <c r="H242" s="2">
        <v>6</v>
      </c>
      <c r="I242" s="2">
        <v>178000</v>
      </c>
      <c r="J242" s="2" t="s">
        <v>1023</v>
      </c>
      <c r="K242" s="2" t="s">
        <v>1147</v>
      </c>
      <c r="L242" t="s">
        <v>1037</v>
      </c>
      <c r="M242" s="2" t="s">
        <v>1038</v>
      </c>
      <c r="N242">
        <v>4</v>
      </c>
    </row>
    <row r="243" spans="1:14" x14ac:dyDescent="0.3">
      <c r="A243" t="s">
        <v>255</v>
      </c>
      <c r="B243">
        <v>45</v>
      </c>
      <c r="C243" s="2" t="s">
        <v>1014</v>
      </c>
      <c r="D243" s="2" t="s">
        <v>1021</v>
      </c>
      <c r="E243" s="2" t="s">
        <v>1084</v>
      </c>
      <c r="F243" s="1">
        <v>45946</v>
      </c>
      <c r="G243" s="1">
        <v>45956</v>
      </c>
      <c r="H243" s="2">
        <v>10</v>
      </c>
      <c r="I243" s="2">
        <v>245000</v>
      </c>
      <c r="J243" s="2" t="s">
        <v>1023</v>
      </c>
      <c r="K243" s="2" t="s">
        <v>1147</v>
      </c>
      <c r="L243" t="s">
        <v>1037</v>
      </c>
      <c r="M243" s="2" t="s">
        <v>1024</v>
      </c>
      <c r="N243">
        <v>4</v>
      </c>
    </row>
    <row r="244" spans="1:14" x14ac:dyDescent="0.3">
      <c r="A244" t="s">
        <v>256</v>
      </c>
      <c r="B244">
        <v>48</v>
      </c>
      <c r="C244" s="2" t="s">
        <v>1020</v>
      </c>
      <c r="D244" s="2" t="s">
        <v>1025</v>
      </c>
      <c r="E244" s="2" t="s">
        <v>1123</v>
      </c>
      <c r="F244" s="1">
        <v>45947</v>
      </c>
      <c r="G244" s="1">
        <v>45950</v>
      </c>
      <c r="H244" s="2">
        <v>3</v>
      </c>
      <c r="I244" s="2">
        <v>67000</v>
      </c>
      <c r="J244" s="2" t="s">
        <v>1017</v>
      </c>
      <c r="K244" s="2" t="s">
        <v>1046</v>
      </c>
      <c r="L244" t="s">
        <v>1037</v>
      </c>
      <c r="M244" s="2" t="s">
        <v>1038</v>
      </c>
      <c r="N244">
        <v>4</v>
      </c>
    </row>
    <row r="245" spans="1:14" x14ac:dyDescent="0.3">
      <c r="A245" t="s">
        <v>257</v>
      </c>
      <c r="B245">
        <v>24</v>
      </c>
      <c r="C245" s="2" t="s">
        <v>1020</v>
      </c>
      <c r="D245" s="2" t="s">
        <v>1029</v>
      </c>
      <c r="E245" s="2" t="s">
        <v>1141</v>
      </c>
      <c r="F245" s="1">
        <v>45948</v>
      </c>
      <c r="G245" s="1">
        <v>45955</v>
      </c>
      <c r="H245" s="2">
        <v>7</v>
      </c>
      <c r="I245" s="2">
        <v>98000</v>
      </c>
      <c r="J245" s="2" t="s">
        <v>1017</v>
      </c>
      <c r="K245" s="2" t="s">
        <v>1033</v>
      </c>
      <c r="L245" t="s">
        <v>1018</v>
      </c>
      <c r="M245" s="2" t="s">
        <v>1024</v>
      </c>
      <c r="N245">
        <v>5</v>
      </c>
    </row>
    <row r="246" spans="1:14" x14ac:dyDescent="0.3">
      <c r="A246" t="s">
        <v>258</v>
      </c>
      <c r="B246">
        <v>78</v>
      </c>
      <c r="C246" s="2" t="s">
        <v>1020</v>
      </c>
      <c r="D246" s="2" t="s">
        <v>1021</v>
      </c>
      <c r="E246" s="2" t="s">
        <v>1022</v>
      </c>
      <c r="F246" s="1">
        <v>45949</v>
      </c>
      <c r="G246" s="1">
        <v>45957</v>
      </c>
      <c r="H246" s="2">
        <v>8</v>
      </c>
      <c r="I246" s="2">
        <v>100000</v>
      </c>
      <c r="J246" s="2" t="s">
        <v>1017</v>
      </c>
      <c r="K246" s="2" t="s">
        <v>1147</v>
      </c>
      <c r="L246" t="s">
        <v>1018</v>
      </c>
      <c r="M246" s="2" t="s">
        <v>1038</v>
      </c>
      <c r="N246">
        <v>5</v>
      </c>
    </row>
    <row r="247" spans="1:14" x14ac:dyDescent="0.3">
      <c r="A247" t="s">
        <v>259</v>
      </c>
      <c r="B247">
        <v>67</v>
      </c>
      <c r="C247" s="2" t="s">
        <v>1020</v>
      </c>
      <c r="D247" s="2" t="s">
        <v>1035</v>
      </c>
      <c r="E247" s="2" t="s">
        <v>1047</v>
      </c>
      <c r="F247" s="1">
        <v>45950</v>
      </c>
      <c r="G247" s="1">
        <v>45960</v>
      </c>
      <c r="H247" s="2">
        <v>10</v>
      </c>
      <c r="I247" s="2">
        <v>150000</v>
      </c>
      <c r="J247" s="2" t="s">
        <v>1023</v>
      </c>
      <c r="K247" s="2" t="s">
        <v>1106</v>
      </c>
      <c r="L247" t="s">
        <v>1037</v>
      </c>
      <c r="M247" s="2" t="s">
        <v>1038</v>
      </c>
      <c r="N247">
        <v>5</v>
      </c>
    </row>
    <row r="248" spans="1:14" x14ac:dyDescent="0.3">
      <c r="A248" t="s">
        <v>260</v>
      </c>
      <c r="B248">
        <v>24</v>
      </c>
      <c r="C248" s="2" t="s">
        <v>1014</v>
      </c>
      <c r="D248" s="2" t="s">
        <v>1029</v>
      </c>
      <c r="E248" s="2" t="s">
        <v>1030</v>
      </c>
      <c r="F248" s="1">
        <v>45951</v>
      </c>
      <c r="G248" s="1">
        <v>45955</v>
      </c>
      <c r="H248" s="2">
        <v>4</v>
      </c>
      <c r="I248" s="2">
        <v>134000</v>
      </c>
      <c r="J248" s="2" t="s">
        <v>1027</v>
      </c>
      <c r="K248" s="2" t="s">
        <v>1033</v>
      </c>
      <c r="L248" t="s">
        <v>1018</v>
      </c>
      <c r="M248" s="2" t="s">
        <v>1019</v>
      </c>
      <c r="N248">
        <v>4</v>
      </c>
    </row>
    <row r="249" spans="1:14" x14ac:dyDescent="0.3">
      <c r="A249" t="s">
        <v>261</v>
      </c>
      <c r="B249">
        <v>27</v>
      </c>
      <c r="C249" s="2" t="s">
        <v>1014</v>
      </c>
      <c r="D249" s="2" t="s">
        <v>1021</v>
      </c>
      <c r="E249" s="2" t="s">
        <v>1142</v>
      </c>
      <c r="F249" s="1">
        <v>45952</v>
      </c>
      <c r="G249" s="1">
        <v>45960</v>
      </c>
      <c r="H249" s="2">
        <v>8</v>
      </c>
      <c r="I249" s="2">
        <v>156000</v>
      </c>
      <c r="J249" s="2" t="s">
        <v>1027</v>
      </c>
      <c r="K249" s="2" t="s">
        <v>1147</v>
      </c>
      <c r="L249" t="s">
        <v>1037</v>
      </c>
      <c r="M249" s="2" t="s">
        <v>1038</v>
      </c>
      <c r="N249">
        <v>4</v>
      </c>
    </row>
    <row r="250" spans="1:14" x14ac:dyDescent="0.3">
      <c r="A250" t="s">
        <v>262</v>
      </c>
      <c r="B250">
        <v>19</v>
      </c>
      <c r="C250" s="2" t="s">
        <v>1014</v>
      </c>
      <c r="D250" s="2" t="s">
        <v>1025</v>
      </c>
      <c r="E250" s="2" t="s">
        <v>1055</v>
      </c>
      <c r="F250" s="1">
        <v>45953</v>
      </c>
      <c r="G250" s="1">
        <v>45955</v>
      </c>
      <c r="H250" s="2">
        <v>2</v>
      </c>
      <c r="I250" s="2">
        <v>134500</v>
      </c>
      <c r="J250" s="2" t="s">
        <v>1017</v>
      </c>
      <c r="K250" s="2" t="s">
        <v>1046</v>
      </c>
      <c r="L250" t="s">
        <v>1018</v>
      </c>
      <c r="M250" s="2" t="s">
        <v>1024</v>
      </c>
      <c r="N250">
        <v>4</v>
      </c>
    </row>
    <row r="251" spans="1:14" x14ac:dyDescent="0.3">
      <c r="A251" t="s">
        <v>263</v>
      </c>
      <c r="B251">
        <v>20</v>
      </c>
      <c r="C251" s="2" t="s">
        <v>1014</v>
      </c>
      <c r="D251" s="2" t="s">
        <v>1035</v>
      </c>
      <c r="E251" s="2" t="s">
        <v>1143</v>
      </c>
      <c r="F251" s="1">
        <v>45954</v>
      </c>
      <c r="G251" s="1">
        <v>45961</v>
      </c>
      <c r="H251" s="2">
        <v>7</v>
      </c>
      <c r="I251" s="2">
        <v>156700</v>
      </c>
      <c r="J251" s="2" t="s">
        <v>1017</v>
      </c>
      <c r="K251" s="2" t="s">
        <v>1106</v>
      </c>
      <c r="L251" t="s">
        <v>1018</v>
      </c>
      <c r="M251" s="2" t="s">
        <v>1024</v>
      </c>
      <c r="N251">
        <v>3</v>
      </c>
    </row>
    <row r="252" spans="1:14" x14ac:dyDescent="0.3">
      <c r="A252" t="s">
        <v>264</v>
      </c>
      <c r="B252">
        <v>21</v>
      </c>
      <c r="C252" s="2" t="s">
        <v>1014</v>
      </c>
      <c r="D252" s="2" t="s">
        <v>1041</v>
      </c>
      <c r="E252" s="2" t="s">
        <v>1108</v>
      </c>
      <c r="F252" s="1">
        <v>45955</v>
      </c>
      <c r="G252" s="1">
        <v>45958</v>
      </c>
      <c r="H252" s="2">
        <v>3</v>
      </c>
      <c r="I252" s="2">
        <v>145000</v>
      </c>
      <c r="J252" s="2" t="s">
        <v>1017</v>
      </c>
      <c r="K252" s="2" t="s">
        <v>1128</v>
      </c>
      <c r="L252" t="s">
        <v>1018</v>
      </c>
      <c r="M252" s="2" t="s">
        <v>1038</v>
      </c>
      <c r="N252">
        <v>4</v>
      </c>
    </row>
    <row r="253" spans="1:14" x14ac:dyDescent="0.3">
      <c r="A253" t="s">
        <v>265</v>
      </c>
      <c r="B253">
        <v>22</v>
      </c>
      <c r="C253" s="2" t="s">
        <v>1020</v>
      </c>
      <c r="D253" s="2" t="s">
        <v>1025</v>
      </c>
      <c r="E253" s="2" t="s">
        <v>1055</v>
      </c>
      <c r="F253" s="1">
        <v>45956</v>
      </c>
      <c r="G253" s="3">
        <v>45960</v>
      </c>
      <c r="H253" s="2">
        <v>4</v>
      </c>
      <c r="I253" s="2">
        <v>145000</v>
      </c>
      <c r="J253" s="2" t="s">
        <v>1017</v>
      </c>
      <c r="K253" s="2" t="s">
        <v>1046</v>
      </c>
      <c r="L253" t="s">
        <v>1037</v>
      </c>
      <c r="M253" s="2" t="s">
        <v>1038</v>
      </c>
      <c r="N253">
        <v>5</v>
      </c>
    </row>
    <row r="254" spans="1:14" x14ac:dyDescent="0.3">
      <c r="A254" t="s">
        <v>266</v>
      </c>
      <c r="B254">
        <v>23</v>
      </c>
      <c r="C254" s="2" t="s">
        <v>1014</v>
      </c>
      <c r="D254" s="2" t="s">
        <v>1031</v>
      </c>
      <c r="E254" s="2" t="s">
        <v>1053</v>
      </c>
      <c r="F254" s="1">
        <v>45957</v>
      </c>
      <c r="G254" s="1">
        <v>45961</v>
      </c>
      <c r="H254" s="2">
        <v>4</v>
      </c>
      <c r="I254" s="2">
        <v>12000</v>
      </c>
      <c r="J254" s="2" t="s">
        <v>1027</v>
      </c>
      <c r="K254" s="2" t="s">
        <v>1161</v>
      </c>
      <c r="L254" t="s">
        <v>1018</v>
      </c>
      <c r="M254" s="2" t="s">
        <v>1019</v>
      </c>
      <c r="N254">
        <v>4</v>
      </c>
    </row>
    <row r="255" spans="1:14" x14ac:dyDescent="0.3">
      <c r="A255" t="s">
        <v>267</v>
      </c>
      <c r="B255">
        <v>24</v>
      </c>
      <c r="C255" s="2" t="s">
        <v>1014</v>
      </c>
      <c r="D255" s="2" t="s">
        <v>1035</v>
      </c>
      <c r="E255" s="2" t="s">
        <v>1078</v>
      </c>
      <c r="F255" s="1">
        <v>45958</v>
      </c>
      <c r="G255" s="1">
        <v>45962</v>
      </c>
      <c r="H255" s="2">
        <v>4</v>
      </c>
      <c r="I255" s="2">
        <v>156000</v>
      </c>
      <c r="J255" s="2" t="s">
        <v>1027</v>
      </c>
      <c r="K255" s="2" t="s">
        <v>1106</v>
      </c>
      <c r="L255" t="s">
        <v>1037</v>
      </c>
      <c r="M255" s="2" t="s">
        <v>1024</v>
      </c>
      <c r="N255">
        <v>4.9000000000000004</v>
      </c>
    </row>
    <row r="256" spans="1:14" x14ac:dyDescent="0.3">
      <c r="A256" t="s">
        <v>268</v>
      </c>
      <c r="B256">
        <v>30</v>
      </c>
      <c r="C256" s="2" t="s">
        <v>1014</v>
      </c>
      <c r="D256" s="2" t="s">
        <v>1124</v>
      </c>
      <c r="E256" s="2" t="s">
        <v>1125</v>
      </c>
      <c r="F256" s="1">
        <v>45959</v>
      </c>
      <c r="G256" s="1">
        <v>45963</v>
      </c>
      <c r="H256" s="2">
        <v>4</v>
      </c>
      <c r="I256" s="2">
        <v>157900</v>
      </c>
      <c r="J256" s="2" t="s">
        <v>1023</v>
      </c>
      <c r="K256" s="2" t="s">
        <v>1044</v>
      </c>
      <c r="L256" t="s">
        <v>1018</v>
      </c>
      <c r="M256" s="2" t="s">
        <v>1024</v>
      </c>
      <c r="N256">
        <v>4.8</v>
      </c>
    </row>
    <row r="257" spans="1:14" x14ac:dyDescent="0.3">
      <c r="A257" t="s">
        <v>269</v>
      </c>
      <c r="B257">
        <v>34</v>
      </c>
      <c r="C257" s="2" t="s">
        <v>1020</v>
      </c>
      <c r="D257" s="2" t="s">
        <v>1035</v>
      </c>
      <c r="E257" s="2" t="s">
        <v>1047</v>
      </c>
      <c r="F257" s="1">
        <v>45960</v>
      </c>
      <c r="G257" s="1">
        <v>45966</v>
      </c>
      <c r="H257" s="2">
        <v>6</v>
      </c>
      <c r="I257" s="2">
        <v>17800</v>
      </c>
      <c r="J257" s="2" t="s">
        <v>1023</v>
      </c>
      <c r="K257" s="2" t="s">
        <v>1106</v>
      </c>
      <c r="L257" t="s">
        <v>1037</v>
      </c>
      <c r="M257" s="2" t="s">
        <v>1024</v>
      </c>
      <c r="N257">
        <v>4.7</v>
      </c>
    </row>
    <row r="258" spans="1:14" x14ac:dyDescent="0.3">
      <c r="A258" t="s">
        <v>270</v>
      </c>
      <c r="B258">
        <v>36</v>
      </c>
      <c r="C258" s="2" t="s">
        <v>1020</v>
      </c>
      <c r="D258" s="2" t="s">
        <v>1048</v>
      </c>
      <c r="E258" s="2" t="s">
        <v>1063</v>
      </c>
      <c r="F258" s="1">
        <v>45961</v>
      </c>
      <c r="G258" s="1">
        <v>45970</v>
      </c>
      <c r="H258" s="2">
        <v>10</v>
      </c>
      <c r="I258" s="2">
        <v>127000</v>
      </c>
      <c r="J258" s="2" t="s">
        <v>1023</v>
      </c>
      <c r="K258" s="2" t="s">
        <v>1028</v>
      </c>
      <c r="L258" t="s">
        <v>1037</v>
      </c>
      <c r="M258" s="2" t="s">
        <v>1024</v>
      </c>
      <c r="N258">
        <v>4.5999999999999996</v>
      </c>
    </row>
    <row r="259" spans="1:14" x14ac:dyDescent="0.3">
      <c r="A259" t="s">
        <v>271</v>
      </c>
      <c r="B259">
        <v>44</v>
      </c>
      <c r="C259" s="2" t="s">
        <v>1020</v>
      </c>
      <c r="D259" s="2" t="s">
        <v>1041</v>
      </c>
      <c r="E259" s="2" t="s">
        <v>1108</v>
      </c>
      <c r="F259" s="1">
        <v>45962</v>
      </c>
      <c r="G259" s="1">
        <v>45971</v>
      </c>
      <c r="H259" s="2">
        <v>10</v>
      </c>
      <c r="I259" s="2">
        <v>134000</v>
      </c>
      <c r="J259" s="2" t="s">
        <v>1027</v>
      </c>
      <c r="K259" s="2" t="s">
        <v>1128</v>
      </c>
      <c r="L259" t="s">
        <v>1037</v>
      </c>
      <c r="M259" s="2" t="s">
        <v>1038</v>
      </c>
      <c r="N259">
        <v>4.5</v>
      </c>
    </row>
    <row r="260" spans="1:14" x14ac:dyDescent="0.3">
      <c r="A260" t="s">
        <v>272</v>
      </c>
      <c r="B260">
        <v>24</v>
      </c>
      <c r="C260" s="2" t="s">
        <v>1014</v>
      </c>
      <c r="D260" s="2" t="s">
        <v>1025</v>
      </c>
      <c r="E260" s="2" t="s">
        <v>1127</v>
      </c>
      <c r="F260" s="1">
        <v>45963</v>
      </c>
      <c r="G260" s="1">
        <v>45976</v>
      </c>
      <c r="H260" s="2">
        <v>13</v>
      </c>
      <c r="I260" s="2">
        <v>156000</v>
      </c>
      <c r="J260" s="2" t="s">
        <v>1027</v>
      </c>
      <c r="K260" s="2" t="s">
        <v>1046</v>
      </c>
      <c r="L260" t="s">
        <v>1018</v>
      </c>
      <c r="M260" s="2" t="s">
        <v>1038</v>
      </c>
      <c r="N260">
        <v>5</v>
      </c>
    </row>
    <row r="261" spans="1:14" x14ac:dyDescent="0.3">
      <c r="A261" t="s">
        <v>273</v>
      </c>
      <c r="B261">
        <v>56</v>
      </c>
      <c r="C261" s="2" t="s">
        <v>1014</v>
      </c>
      <c r="D261" s="2" t="s">
        <v>1031</v>
      </c>
      <c r="E261" s="2" t="s">
        <v>1054</v>
      </c>
      <c r="F261" s="1">
        <v>45964</v>
      </c>
      <c r="G261" s="1">
        <v>45971</v>
      </c>
      <c r="H261" s="2">
        <v>7</v>
      </c>
      <c r="I261" s="2">
        <v>145000</v>
      </c>
      <c r="J261" s="2" t="s">
        <v>1027</v>
      </c>
      <c r="K261" s="2" t="s">
        <v>1161</v>
      </c>
      <c r="L261" t="s">
        <v>1018</v>
      </c>
      <c r="M261" s="2" t="s">
        <v>1019</v>
      </c>
      <c r="N261">
        <v>3</v>
      </c>
    </row>
    <row r="262" spans="1:14" x14ac:dyDescent="0.3">
      <c r="A262" t="s">
        <v>274</v>
      </c>
      <c r="B262">
        <v>57</v>
      </c>
      <c r="C262" s="2" t="s">
        <v>1020</v>
      </c>
      <c r="D262" s="2" t="s">
        <v>1025</v>
      </c>
      <c r="E262" s="2" t="s">
        <v>1127</v>
      </c>
      <c r="F262" s="1">
        <v>45965</v>
      </c>
      <c r="G262" s="1">
        <v>45970</v>
      </c>
      <c r="H262" s="2">
        <v>5</v>
      </c>
      <c r="I262" s="2">
        <v>150000</v>
      </c>
      <c r="J262" s="2" t="s">
        <v>1023</v>
      </c>
      <c r="K262" s="2" t="s">
        <v>1046</v>
      </c>
      <c r="L262" t="s">
        <v>1037</v>
      </c>
      <c r="M262" s="2" t="s">
        <v>1038</v>
      </c>
      <c r="N262">
        <v>3.4</v>
      </c>
    </row>
    <row r="263" spans="1:14" x14ac:dyDescent="0.3">
      <c r="A263" t="s">
        <v>275</v>
      </c>
      <c r="B263">
        <v>60</v>
      </c>
      <c r="C263" s="2" t="s">
        <v>1020</v>
      </c>
      <c r="D263" s="2" t="s">
        <v>1031</v>
      </c>
      <c r="E263" s="2" t="s">
        <v>1053</v>
      </c>
      <c r="F263" s="1">
        <v>45966</v>
      </c>
      <c r="G263" s="1">
        <v>45981</v>
      </c>
      <c r="H263" s="2">
        <v>15</v>
      </c>
      <c r="I263" s="2">
        <v>120000</v>
      </c>
      <c r="J263" s="2" t="s">
        <v>1027</v>
      </c>
      <c r="K263" s="2" t="s">
        <v>1161</v>
      </c>
      <c r="L263" t="s">
        <v>1018</v>
      </c>
      <c r="M263" s="2" t="s">
        <v>1038</v>
      </c>
      <c r="N263">
        <v>3.5</v>
      </c>
    </row>
    <row r="264" spans="1:14" x14ac:dyDescent="0.3">
      <c r="A264" t="s">
        <v>276</v>
      </c>
      <c r="B264">
        <v>24</v>
      </c>
      <c r="C264" s="2" t="s">
        <v>1020</v>
      </c>
      <c r="D264" s="2" t="s">
        <v>1035</v>
      </c>
      <c r="E264" s="2" t="s">
        <v>1115</v>
      </c>
      <c r="F264" s="1">
        <v>45967</v>
      </c>
      <c r="G264" s="1">
        <v>45980</v>
      </c>
      <c r="H264" s="2">
        <v>14</v>
      </c>
      <c r="I264" s="2">
        <v>119000</v>
      </c>
      <c r="J264" s="2" t="s">
        <v>1017</v>
      </c>
      <c r="K264" s="2" t="s">
        <v>1106</v>
      </c>
      <c r="L264" t="s">
        <v>1037</v>
      </c>
      <c r="M264" s="2" t="s">
        <v>1024</v>
      </c>
      <c r="N264">
        <v>3.6</v>
      </c>
    </row>
    <row r="265" spans="1:14" x14ac:dyDescent="0.3">
      <c r="A265" t="s">
        <v>277</v>
      </c>
      <c r="B265">
        <v>44</v>
      </c>
      <c r="C265" s="2" t="s">
        <v>1014</v>
      </c>
      <c r="D265" s="2" t="s">
        <v>1029</v>
      </c>
      <c r="E265" s="2" t="s">
        <v>1130</v>
      </c>
      <c r="F265" s="1">
        <v>45968</v>
      </c>
      <c r="G265" s="1">
        <v>45971</v>
      </c>
      <c r="H265" s="2">
        <v>3</v>
      </c>
      <c r="I265" s="2">
        <v>120000</v>
      </c>
      <c r="J265" s="2" t="s">
        <v>1017</v>
      </c>
      <c r="K265" s="2" t="s">
        <v>1033</v>
      </c>
      <c r="L265" t="s">
        <v>1018</v>
      </c>
      <c r="M265" s="2" t="s">
        <v>1024</v>
      </c>
      <c r="N265">
        <v>3.7</v>
      </c>
    </row>
    <row r="266" spans="1:14" x14ac:dyDescent="0.3">
      <c r="A266" t="s">
        <v>278</v>
      </c>
      <c r="B266">
        <v>3</v>
      </c>
      <c r="C266" s="2" t="s">
        <v>1020</v>
      </c>
      <c r="D266" s="2" t="s">
        <v>1029</v>
      </c>
      <c r="E266" s="2" t="s">
        <v>1030</v>
      </c>
      <c r="F266" s="1">
        <v>45969</v>
      </c>
      <c r="G266" s="1">
        <v>45976</v>
      </c>
      <c r="H266" s="2">
        <v>7</v>
      </c>
      <c r="I266" s="2">
        <v>134000</v>
      </c>
      <c r="J266" s="2" t="s">
        <v>1027</v>
      </c>
      <c r="K266" s="2" t="s">
        <v>1033</v>
      </c>
      <c r="L266" t="s">
        <v>1018</v>
      </c>
      <c r="M266" s="2" t="s">
        <v>1019</v>
      </c>
      <c r="N266">
        <v>3.8</v>
      </c>
    </row>
    <row r="267" spans="1:14" x14ac:dyDescent="0.3">
      <c r="A267" t="s">
        <v>279</v>
      </c>
      <c r="B267">
        <v>16</v>
      </c>
      <c r="C267" s="2" t="s">
        <v>1020</v>
      </c>
      <c r="D267" s="2" t="s">
        <v>1015</v>
      </c>
      <c r="E267" s="2" t="s">
        <v>1116</v>
      </c>
      <c r="F267" s="1">
        <v>45970</v>
      </c>
      <c r="G267" s="1">
        <v>45980</v>
      </c>
      <c r="H267" s="2">
        <v>10</v>
      </c>
      <c r="I267" s="2">
        <v>156000</v>
      </c>
      <c r="J267" s="2" t="s">
        <v>1027</v>
      </c>
      <c r="K267" s="2" t="s">
        <v>1052</v>
      </c>
      <c r="L267" t="s">
        <v>1018</v>
      </c>
      <c r="M267" s="2" t="s">
        <v>1019</v>
      </c>
      <c r="N267">
        <v>3.9</v>
      </c>
    </row>
    <row r="268" spans="1:14" x14ac:dyDescent="0.3">
      <c r="A268" t="s">
        <v>280</v>
      </c>
      <c r="B268">
        <v>24</v>
      </c>
      <c r="C268" s="2" t="s">
        <v>1014</v>
      </c>
      <c r="D268" s="2" t="s">
        <v>1124</v>
      </c>
      <c r="E268" s="2" t="s">
        <v>1125</v>
      </c>
      <c r="F268" s="1">
        <v>45971</v>
      </c>
      <c r="G268" s="1">
        <v>45981</v>
      </c>
      <c r="H268" s="2">
        <v>10</v>
      </c>
      <c r="I268" s="2">
        <v>176000</v>
      </c>
      <c r="J268" s="2" t="s">
        <v>1017</v>
      </c>
      <c r="K268" s="2" t="s">
        <v>1044</v>
      </c>
      <c r="L268" t="s">
        <v>1037</v>
      </c>
      <c r="M268" s="2" t="s">
        <v>1024</v>
      </c>
      <c r="N268">
        <v>3</v>
      </c>
    </row>
    <row r="269" spans="1:14" x14ac:dyDescent="0.3">
      <c r="A269" t="s">
        <v>281</v>
      </c>
      <c r="B269">
        <v>29</v>
      </c>
      <c r="C269" s="2" t="s">
        <v>1014</v>
      </c>
      <c r="D269" s="2" t="s">
        <v>1015</v>
      </c>
      <c r="E269" s="2" t="s">
        <v>1016</v>
      </c>
      <c r="F269" s="1">
        <v>45972</v>
      </c>
      <c r="G269" s="1">
        <v>45980</v>
      </c>
      <c r="H269" s="2">
        <v>8</v>
      </c>
      <c r="I269" s="2">
        <v>120000</v>
      </c>
      <c r="J269" s="2" t="s">
        <v>1017</v>
      </c>
      <c r="K269" s="2" t="s">
        <v>1052</v>
      </c>
      <c r="L269" t="s">
        <v>1018</v>
      </c>
      <c r="M269" s="2" t="s">
        <v>1019</v>
      </c>
      <c r="N269">
        <v>4</v>
      </c>
    </row>
    <row r="270" spans="1:14" x14ac:dyDescent="0.3">
      <c r="A270" t="s">
        <v>282</v>
      </c>
      <c r="B270">
        <v>30</v>
      </c>
      <c r="C270" s="2" t="s">
        <v>1014</v>
      </c>
      <c r="D270" s="2" t="s">
        <v>1025</v>
      </c>
      <c r="E270" s="2" t="s">
        <v>1062</v>
      </c>
      <c r="F270" s="1">
        <v>45973</v>
      </c>
      <c r="G270" s="1">
        <v>45979</v>
      </c>
      <c r="H270" s="2">
        <v>7</v>
      </c>
      <c r="I270" s="2">
        <v>130000</v>
      </c>
      <c r="J270" s="2" t="s">
        <v>1017</v>
      </c>
      <c r="K270" s="2" t="s">
        <v>1170</v>
      </c>
      <c r="L270" t="s">
        <v>1037</v>
      </c>
      <c r="M270" s="2" t="s">
        <v>1019</v>
      </c>
      <c r="N270">
        <v>3</v>
      </c>
    </row>
    <row r="271" spans="1:14" x14ac:dyDescent="0.3">
      <c r="A271" t="s">
        <v>283</v>
      </c>
      <c r="B271">
        <v>31</v>
      </c>
      <c r="C271" s="2" t="s">
        <v>1020</v>
      </c>
      <c r="D271" s="2" t="s">
        <v>1025</v>
      </c>
      <c r="E271" s="2" t="s">
        <v>1136</v>
      </c>
      <c r="F271" s="1">
        <v>45974</v>
      </c>
      <c r="G271" s="1">
        <v>45991</v>
      </c>
      <c r="H271" s="2">
        <v>17</v>
      </c>
      <c r="I271" s="2">
        <v>156000</v>
      </c>
      <c r="J271" s="2" t="s">
        <v>1017</v>
      </c>
      <c r="K271" s="2" t="s">
        <v>1046</v>
      </c>
      <c r="L271" t="s">
        <v>1018</v>
      </c>
      <c r="M271" s="2" t="s">
        <v>1038</v>
      </c>
      <c r="N271">
        <v>2</v>
      </c>
    </row>
    <row r="272" spans="1:14" x14ac:dyDescent="0.3">
      <c r="A272" t="s">
        <v>284</v>
      </c>
      <c r="B272">
        <v>24</v>
      </c>
      <c r="C272" s="2" t="s">
        <v>1020</v>
      </c>
      <c r="D272" s="2" t="s">
        <v>1015</v>
      </c>
      <c r="E272" s="2" t="s">
        <v>1116</v>
      </c>
      <c r="F272" s="1">
        <v>45975</v>
      </c>
      <c r="G272" s="1">
        <v>45978</v>
      </c>
      <c r="H272" s="2">
        <v>3</v>
      </c>
      <c r="I272" s="2">
        <v>98000</v>
      </c>
      <c r="J272" s="2" t="s">
        <v>1023</v>
      </c>
      <c r="K272" s="2" t="s">
        <v>1052</v>
      </c>
      <c r="L272" t="s">
        <v>1037</v>
      </c>
      <c r="M272" s="2" t="s">
        <v>1038</v>
      </c>
      <c r="N272">
        <v>4</v>
      </c>
    </row>
    <row r="273" spans="1:14" x14ac:dyDescent="0.3">
      <c r="A273" t="s">
        <v>285</v>
      </c>
      <c r="B273">
        <v>34</v>
      </c>
      <c r="C273" s="2" t="s">
        <v>1020</v>
      </c>
      <c r="D273" s="2" t="s">
        <v>1048</v>
      </c>
      <c r="E273" s="2" t="s">
        <v>1063</v>
      </c>
      <c r="F273" s="1">
        <v>45976</v>
      </c>
      <c r="G273" s="1">
        <v>45985</v>
      </c>
      <c r="H273" s="2">
        <v>9</v>
      </c>
      <c r="I273" s="2">
        <v>19000</v>
      </c>
      <c r="J273" s="2" t="s">
        <v>1027</v>
      </c>
      <c r="K273" s="2" t="s">
        <v>1028</v>
      </c>
      <c r="L273" t="s">
        <v>1037</v>
      </c>
      <c r="M273" s="2" t="s">
        <v>1024</v>
      </c>
      <c r="N273">
        <v>3</v>
      </c>
    </row>
    <row r="274" spans="1:14" x14ac:dyDescent="0.3">
      <c r="A274" t="s">
        <v>286</v>
      </c>
      <c r="B274">
        <v>47</v>
      </c>
      <c r="C274" s="2" t="s">
        <v>1014</v>
      </c>
      <c r="D274" s="2" t="s">
        <v>1035</v>
      </c>
      <c r="E274" s="2" t="s">
        <v>1074</v>
      </c>
      <c r="F274" s="1">
        <v>45977</v>
      </c>
      <c r="G274" s="1">
        <v>45981</v>
      </c>
      <c r="H274" s="2">
        <v>4</v>
      </c>
      <c r="I274" s="2">
        <v>25000</v>
      </c>
      <c r="J274" s="2" t="s">
        <v>1027</v>
      </c>
      <c r="K274" s="2" t="s">
        <v>1106</v>
      </c>
      <c r="L274" t="s">
        <v>1037</v>
      </c>
      <c r="M274" s="2" t="s">
        <v>1038</v>
      </c>
      <c r="N274">
        <v>4</v>
      </c>
    </row>
    <row r="275" spans="1:14" x14ac:dyDescent="0.3">
      <c r="A275" t="s">
        <v>287</v>
      </c>
      <c r="B275">
        <v>24</v>
      </c>
      <c r="C275" s="2" t="s">
        <v>1014</v>
      </c>
      <c r="D275" s="2" t="s">
        <v>1025</v>
      </c>
      <c r="E275" s="2" t="s">
        <v>1127</v>
      </c>
      <c r="F275" s="1">
        <v>45978</v>
      </c>
      <c r="G275" s="1">
        <v>45979</v>
      </c>
      <c r="H275" s="2">
        <v>1</v>
      </c>
      <c r="I275" s="2">
        <v>35000</v>
      </c>
      <c r="J275" s="2" t="s">
        <v>1027</v>
      </c>
      <c r="K275" s="2" t="s">
        <v>1046</v>
      </c>
      <c r="L275" t="s">
        <v>1018</v>
      </c>
      <c r="M275" s="2" t="s">
        <v>1038</v>
      </c>
      <c r="N275">
        <v>3</v>
      </c>
    </row>
    <row r="276" spans="1:14" x14ac:dyDescent="0.3">
      <c r="A276" t="s">
        <v>288</v>
      </c>
      <c r="B276">
        <v>19</v>
      </c>
      <c r="C276" s="2" t="s">
        <v>1020</v>
      </c>
      <c r="D276" s="2" t="s">
        <v>1029</v>
      </c>
      <c r="E276" s="2" t="s">
        <v>1050</v>
      </c>
      <c r="F276" s="1">
        <v>45979</v>
      </c>
      <c r="G276" s="1">
        <v>45982</v>
      </c>
      <c r="H276" s="2">
        <v>3</v>
      </c>
      <c r="I276" s="2">
        <v>120000</v>
      </c>
      <c r="J276" s="2" t="s">
        <v>1017</v>
      </c>
      <c r="K276" s="2" t="s">
        <v>1033</v>
      </c>
      <c r="L276" t="s">
        <v>1018</v>
      </c>
      <c r="M276" s="2" t="s">
        <v>1038</v>
      </c>
      <c r="N276">
        <v>4</v>
      </c>
    </row>
    <row r="277" spans="1:14" x14ac:dyDescent="0.3">
      <c r="A277" t="s">
        <v>289</v>
      </c>
      <c r="B277">
        <v>22</v>
      </c>
      <c r="C277" s="2" t="s">
        <v>1020</v>
      </c>
      <c r="D277" s="2" t="s">
        <v>1041</v>
      </c>
      <c r="E277" s="2" t="s">
        <v>1042</v>
      </c>
      <c r="F277" s="1">
        <v>45980</v>
      </c>
      <c r="G277" s="1">
        <v>45986</v>
      </c>
      <c r="H277" s="2">
        <v>6</v>
      </c>
      <c r="I277" s="2">
        <v>130000</v>
      </c>
      <c r="J277" s="2" t="s">
        <v>1017</v>
      </c>
      <c r="K277" s="2" t="s">
        <v>1128</v>
      </c>
      <c r="L277" t="s">
        <v>1037</v>
      </c>
      <c r="M277" s="2" t="s">
        <v>1019</v>
      </c>
      <c r="N277">
        <v>3</v>
      </c>
    </row>
    <row r="278" spans="1:14" x14ac:dyDescent="0.3">
      <c r="A278" t="s">
        <v>290</v>
      </c>
      <c r="B278">
        <v>24</v>
      </c>
      <c r="C278" s="2" t="s">
        <v>1020</v>
      </c>
      <c r="D278" s="2" t="s">
        <v>1048</v>
      </c>
      <c r="E278" s="2" t="s">
        <v>1063</v>
      </c>
      <c r="F278" s="1">
        <v>45981</v>
      </c>
      <c r="G278" s="1">
        <v>45990</v>
      </c>
      <c r="H278" s="2">
        <v>9</v>
      </c>
      <c r="I278" s="2">
        <v>145000</v>
      </c>
      <c r="J278" s="2" t="s">
        <v>1027</v>
      </c>
      <c r="K278" s="2" t="s">
        <v>1028</v>
      </c>
      <c r="L278" t="s">
        <v>1018</v>
      </c>
      <c r="M278" s="2" t="s">
        <v>1019</v>
      </c>
      <c r="N278">
        <v>4</v>
      </c>
    </row>
    <row r="279" spans="1:14" x14ac:dyDescent="0.3">
      <c r="A279" t="s">
        <v>291</v>
      </c>
      <c r="B279">
        <v>12</v>
      </c>
      <c r="C279" s="2" t="s">
        <v>1014</v>
      </c>
      <c r="D279" s="2" t="s">
        <v>1029</v>
      </c>
      <c r="E279" s="2" t="s">
        <v>1030</v>
      </c>
      <c r="F279" s="1">
        <v>45982</v>
      </c>
      <c r="G279" s="1">
        <v>45986</v>
      </c>
      <c r="H279" s="2">
        <v>4</v>
      </c>
      <c r="I279" s="2">
        <v>13000</v>
      </c>
      <c r="J279" s="2" t="s">
        <v>1017</v>
      </c>
      <c r="K279" s="2" t="s">
        <v>1033</v>
      </c>
      <c r="L279" t="s">
        <v>1037</v>
      </c>
      <c r="M279" s="2" t="s">
        <v>1024</v>
      </c>
      <c r="N279">
        <v>3</v>
      </c>
    </row>
    <row r="280" spans="1:14" x14ac:dyDescent="0.3">
      <c r="A280" t="s">
        <v>292</v>
      </c>
      <c r="B280">
        <v>11</v>
      </c>
      <c r="C280" s="2" t="s">
        <v>1020</v>
      </c>
      <c r="D280" s="2" t="s">
        <v>1021</v>
      </c>
      <c r="E280" s="2" t="s">
        <v>1077</v>
      </c>
      <c r="F280" s="1">
        <v>45983</v>
      </c>
      <c r="G280" s="1">
        <v>45991</v>
      </c>
      <c r="H280" s="2">
        <v>8</v>
      </c>
      <c r="I280" s="2">
        <v>134000</v>
      </c>
      <c r="J280" s="2" t="s">
        <v>1023</v>
      </c>
      <c r="K280" s="2" t="s">
        <v>1147</v>
      </c>
      <c r="L280" t="s">
        <v>1037</v>
      </c>
      <c r="M280" s="2" t="s">
        <v>1038</v>
      </c>
      <c r="N280">
        <v>5</v>
      </c>
    </row>
    <row r="281" spans="1:14" x14ac:dyDescent="0.3">
      <c r="A281" t="s">
        <v>293</v>
      </c>
      <c r="B281">
        <v>5</v>
      </c>
      <c r="C281" s="2" t="s">
        <v>1020</v>
      </c>
      <c r="D281" s="2" t="s">
        <v>1029</v>
      </c>
      <c r="E281" s="2" t="s">
        <v>1030</v>
      </c>
      <c r="F281" s="1">
        <v>45984</v>
      </c>
      <c r="G281" s="1">
        <v>45988</v>
      </c>
      <c r="H281" s="2">
        <v>4</v>
      </c>
      <c r="I281" s="2">
        <v>120000</v>
      </c>
      <c r="J281" s="2" t="s">
        <v>1023</v>
      </c>
      <c r="K281" s="2" t="s">
        <v>1033</v>
      </c>
      <c r="L281" t="s">
        <v>1018</v>
      </c>
      <c r="M281" s="2" t="s">
        <v>1024</v>
      </c>
      <c r="N281">
        <v>5</v>
      </c>
    </row>
    <row r="282" spans="1:14" x14ac:dyDescent="0.3">
      <c r="A282" t="s">
        <v>294</v>
      </c>
      <c r="B282">
        <v>24</v>
      </c>
      <c r="C282" s="2" t="s">
        <v>1014</v>
      </c>
      <c r="D282" s="2" t="s">
        <v>1025</v>
      </c>
      <c r="E282" s="2" t="s">
        <v>1055</v>
      </c>
      <c r="F282" s="1">
        <v>45985</v>
      </c>
      <c r="G282" s="1">
        <v>45992</v>
      </c>
      <c r="H282" s="2">
        <v>7</v>
      </c>
      <c r="I282" s="2">
        <v>130000</v>
      </c>
      <c r="J282" s="2" t="s">
        <v>1027</v>
      </c>
      <c r="K282" s="2" t="s">
        <v>1046</v>
      </c>
      <c r="L282" t="s">
        <v>1018</v>
      </c>
      <c r="M282" s="2" t="s">
        <v>1024</v>
      </c>
      <c r="N282">
        <v>5</v>
      </c>
    </row>
    <row r="283" spans="1:14" x14ac:dyDescent="0.3">
      <c r="A283" t="s">
        <v>295</v>
      </c>
      <c r="B283">
        <v>12</v>
      </c>
      <c r="C283" s="2" t="s">
        <v>1014</v>
      </c>
      <c r="D283" s="2" t="s">
        <v>1035</v>
      </c>
      <c r="E283" s="2" t="s">
        <v>1115</v>
      </c>
      <c r="F283" s="1">
        <v>45986</v>
      </c>
      <c r="G283" s="1">
        <v>45993</v>
      </c>
      <c r="H283" s="2">
        <v>7</v>
      </c>
      <c r="I283" s="2">
        <v>140000</v>
      </c>
      <c r="J283" s="2" t="s">
        <v>1017</v>
      </c>
      <c r="K283" s="2" t="s">
        <v>1106</v>
      </c>
      <c r="L283" t="s">
        <v>1037</v>
      </c>
      <c r="M283" s="2" t="s">
        <v>1038</v>
      </c>
      <c r="N283">
        <v>5</v>
      </c>
    </row>
    <row r="284" spans="1:14" x14ac:dyDescent="0.3">
      <c r="A284" t="s">
        <v>296</v>
      </c>
      <c r="B284">
        <v>11</v>
      </c>
      <c r="C284" s="2" t="s">
        <v>1020</v>
      </c>
      <c r="D284" s="2" t="s">
        <v>1029</v>
      </c>
      <c r="E284" s="2" t="s">
        <v>1030</v>
      </c>
      <c r="F284" s="1">
        <v>45987</v>
      </c>
      <c r="G284" s="1">
        <v>45995</v>
      </c>
      <c r="H284" s="2">
        <v>8</v>
      </c>
      <c r="I284" s="2">
        <v>11000</v>
      </c>
      <c r="J284" s="2" t="s">
        <v>1027</v>
      </c>
      <c r="K284" s="2" t="s">
        <v>1033</v>
      </c>
      <c r="L284" t="s">
        <v>1018</v>
      </c>
      <c r="M284" s="2" t="s">
        <v>1024</v>
      </c>
      <c r="N284">
        <v>4</v>
      </c>
    </row>
    <row r="285" spans="1:14" x14ac:dyDescent="0.3">
      <c r="A285" t="s">
        <v>297</v>
      </c>
      <c r="B285">
        <v>65</v>
      </c>
      <c r="C285" s="2" t="s">
        <v>1020</v>
      </c>
      <c r="D285" s="2" t="s">
        <v>1021</v>
      </c>
      <c r="E285" s="2" t="s">
        <v>1080</v>
      </c>
      <c r="F285" s="1">
        <v>45988</v>
      </c>
      <c r="G285" s="1">
        <v>46000</v>
      </c>
      <c r="H285" s="2">
        <v>11</v>
      </c>
      <c r="I285" s="2">
        <v>155000</v>
      </c>
      <c r="J285" s="2" t="s">
        <v>1027</v>
      </c>
      <c r="K285" s="2" t="s">
        <v>1147</v>
      </c>
      <c r="L285" t="s">
        <v>1037</v>
      </c>
      <c r="M285" s="2" t="s">
        <v>1038</v>
      </c>
      <c r="N285">
        <v>3</v>
      </c>
    </row>
    <row r="286" spans="1:14" x14ac:dyDescent="0.3">
      <c r="A286" t="s">
        <v>298</v>
      </c>
      <c r="B286">
        <v>67</v>
      </c>
      <c r="C286" s="2" t="s">
        <v>1014</v>
      </c>
      <c r="D286" s="2" t="s">
        <v>1025</v>
      </c>
      <c r="E286" s="2" t="s">
        <v>1091</v>
      </c>
      <c r="F286" s="1">
        <v>45989</v>
      </c>
      <c r="G286" s="1">
        <v>46001</v>
      </c>
      <c r="H286" s="2">
        <v>12</v>
      </c>
      <c r="I286" s="2">
        <v>167000</v>
      </c>
      <c r="J286" s="2" t="s">
        <v>1023</v>
      </c>
      <c r="K286" s="2" t="s">
        <v>1106</v>
      </c>
      <c r="L286" t="s">
        <v>1018</v>
      </c>
      <c r="M286" s="2" t="s">
        <v>1038</v>
      </c>
      <c r="N286">
        <v>2</v>
      </c>
    </row>
    <row r="287" spans="1:14" x14ac:dyDescent="0.3">
      <c r="A287" t="s">
        <v>299</v>
      </c>
      <c r="B287">
        <v>78</v>
      </c>
      <c r="C287" s="2" t="s">
        <v>1020</v>
      </c>
      <c r="D287" s="2" t="s">
        <v>1025</v>
      </c>
      <c r="E287" s="2" t="s">
        <v>1123</v>
      </c>
      <c r="F287" s="1">
        <v>45990</v>
      </c>
      <c r="G287" s="1">
        <v>46006</v>
      </c>
      <c r="H287" s="2">
        <v>16</v>
      </c>
      <c r="I287" s="2">
        <v>230000</v>
      </c>
      <c r="J287" s="2" t="s">
        <v>1023</v>
      </c>
      <c r="K287" s="2" t="s">
        <v>1106</v>
      </c>
      <c r="L287" t="s">
        <v>1037</v>
      </c>
      <c r="M287" s="2" t="s">
        <v>1024</v>
      </c>
      <c r="N287">
        <v>4</v>
      </c>
    </row>
    <row r="288" spans="1:14" x14ac:dyDescent="0.3">
      <c r="A288" t="s">
        <v>300</v>
      </c>
      <c r="B288">
        <v>24</v>
      </c>
      <c r="C288" s="2" t="s">
        <v>1014</v>
      </c>
      <c r="D288" s="2" t="s">
        <v>1031</v>
      </c>
      <c r="E288" s="2" t="s">
        <v>1034</v>
      </c>
      <c r="F288" s="1">
        <v>45991</v>
      </c>
      <c r="G288" s="1">
        <v>46001</v>
      </c>
      <c r="H288" s="2">
        <v>10</v>
      </c>
      <c r="I288" s="2">
        <v>190000</v>
      </c>
      <c r="J288" s="2" t="s">
        <v>1023</v>
      </c>
      <c r="K288" s="2" t="s">
        <v>1161</v>
      </c>
      <c r="L288" t="s">
        <v>1037</v>
      </c>
      <c r="M288" s="2" t="s">
        <v>1024</v>
      </c>
      <c r="N288">
        <v>2</v>
      </c>
    </row>
    <row r="289" spans="1:14" x14ac:dyDescent="0.3">
      <c r="A289" t="s">
        <v>301</v>
      </c>
      <c r="B289">
        <v>89</v>
      </c>
      <c r="C289" s="2" t="s">
        <v>1020</v>
      </c>
      <c r="D289" s="2" t="s">
        <v>1021</v>
      </c>
      <c r="E289" s="2" t="s">
        <v>1022</v>
      </c>
      <c r="F289" s="1">
        <v>45992</v>
      </c>
      <c r="G289" s="1">
        <v>46003</v>
      </c>
      <c r="H289" s="2">
        <v>11</v>
      </c>
      <c r="I289" s="2">
        <v>120000</v>
      </c>
      <c r="J289" s="2" t="s">
        <v>1017</v>
      </c>
      <c r="K289" s="2" t="s">
        <v>1147</v>
      </c>
      <c r="L289" t="s">
        <v>1037</v>
      </c>
      <c r="M289" s="2" t="s">
        <v>1019</v>
      </c>
      <c r="N289">
        <v>5</v>
      </c>
    </row>
    <row r="290" spans="1:14" x14ac:dyDescent="0.3">
      <c r="A290" t="s">
        <v>302</v>
      </c>
      <c r="B290">
        <v>79</v>
      </c>
      <c r="C290" s="2" t="s">
        <v>1020</v>
      </c>
      <c r="D290" s="2" t="s">
        <v>1015</v>
      </c>
      <c r="E290" s="2" t="s">
        <v>1016</v>
      </c>
      <c r="F290" s="1">
        <v>45993</v>
      </c>
      <c r="G290" s="1">
        <v>46006</v>
      </c>
      <c r="H290" s="2">
        <v>13</v>
      </c>
      <c r="I290" s="2">
        <v>156000</v>
      </c>
      <c r="J290" s="2" t="s">
        <v>1017</v>
      </c>
      <c r="K290" s="2" t="s">
        <v>1052</v>
      </c>
      <c r="L290" t="s">
        <v>1018</v>
      </c>
      <c r="M290" s="2" t="s">
        <v>1019</v>
      </c>
      <c r="N290">
        <v>2</v>
      </c>
    </row>
    <row r="291" spans="1:14" x14ac:dyDescent="0.3">
      <c r="A291" t="s">
        <v>303</v>
      </c>
      <c r="B291">
        <v>71</v>
      </c>
      <c r="C291" s="2" t="s">
        <v>1020</v>
      </c>
      <c r="D291" s="2" t="s">
        <v>1021</v>
      </c>
      <c r="E291" s="2" t="s">
        <v>1022</v>
      </c>
      <c r="F291" s="1">
        <v>45994</v>
      </c>
      <c r="G291" s="1">
        <v>46011</v>
      </c>
      <c r="H291" s="2">
        <v>17</v>
      </c>
      <c r="I291" s="2">
        <v>187000</v>
      </c>
      <c r="J291" s="2" t="s">
        <v>1017</v>
      </c>
      <c r="K291" s="2" t="s">
        <v>1147</v>
      </c>
      <c r="L291" t="s">
        <v>1018</v>
      </c>
      <c r="M291" s="2" t="s">
        <v>1019</v>
      </c>
      <c r="N291">
        <v>1</v>
      </c>
    </row>
    <row r="292" spans="1:14" x14ac:dyDescent="0.3">
      <c r="A292" t="s">
        <v>304</v>
      </c>
      <c r="B292">
        <v>11</v>
      </c>
      <c r="C292" s="2" t="s">
        <v>1014</v>
      </c>
      <c r="D292" s="2" t="s">
        <v>1029</v>
      </c>
      <c r="E292" s="2" t="s">
        <v>1030</v>
      </c>
      <c r="F292" s="1">
        <v>45995</v>
      </c>
      <c r="G292" s="1">
        <v>46003</v>
      </c>
      <c r="H292" s="2">
        <v>8</v>
      </c>
      <c r="I292" s="2">
        <v>167000</v>
      </c>
      <c r="J292" s="2" t="s">
        <v>1027</v>
      </c>
      <c r="K292" s="2" t="s">
        <v>1033</v>
      </c>
      <c r="L292" t="s">
        <v>1037</v>
      </c>
      <c r="M292" s="2" t="s">
        <v>1038</v>
      </c>
      <c r="N292">
        <v>5</v>
      </c>
    </row>
    <row r="293" spans="1:14" x14ac:dyDescent="0.3">
      <c r="A293" t="s">
        <v>305</v>
      </c>
      <c r="B293">
        <v>24</v>
      </c>
      <c r="C293" s="2" t="s">
        <v>1014</v>
      </c>
      <c r="D293" s="2" t="s">
        <v>1025</v>
      </c>
      <c r="E293" s="2" t="s">
        <v>1026</v>
      </c>
      <c r="F293" s="1">
        <v>45996</v>
      </c>
      <c r="G293" s="1">
        <v>46001</v>
      </c>
      <c r="H293" s="2">
        <v>5</v>
      </c>
      <c r="I293" s="2">
        <v>14500</v>
      </c>
      <c r="J293" s="2" t="s">
        <v>1027</v>
      </c>
      <c r="K293" s="2" t="s">
        <v>1046</v>
      </c>
      <c r="L293" t="s">
        <v>1018</v>
      </c>
      <c r="M293" s="2" t="s">
        <v>1019</v>
      </c>
      <c r="N293">
        <v>1</v>
      </c>
    </row>
    <row r="294" spans="1:14" x14ac:dyDescent="0.3">
      <c r="A294" t="s">
        <v>306</v>
      </c>
      <c r="B294">
        <v>33</v>
      </c>
      <c r="C294" s="2" t="s">
        <v>1014</v>
      </c>
      <c r="D294" s="2" t="s">
        <v>1031</v>
      </c>
      <c r="E294" s="2" t="s">
        <v>1053</v>
      </c>
      <c r="F294" s="1">
        <v>45997</v>
      </c>
      <c r="G294" s="1">
        <v>46001</v>
      </c>
      <c r="H294" s="2">
        <v>4</v>
      </c>
      <c r="I294" s="2">
        <v>156000</v>
      </c>
      <c r="J294" s="2" t="s">
        <v>1023</v>
      </c>
      <c r="K294" s="2" t="s">
        <v>1161</v>
      </c>
      <c r="L294" t="s">
        <v>1037</v>
      </c>
      <c r="M294" s="2" t="s">
        <v>1038</v>
      </c>
      <c r="N294">
        <v>5</v>
      </c>
    </row>
    <row r="295" spans="1:14" x14ac:dyDescent="0.3">
      <c r="A295" t="s">
        <v>307</v>
      </c>
      <c r="B295">
        <v>24</v>
      </c>
      <c r="C295" s="2" t="s">
        <v>1020</v>
      </c>
      <c r="D295" s="2" t="s">
        <v>1031</v>
      </c>
      <c r="E295" s="2" t="s">
        <v>1144</v>
      </c>
      <c r="F295" s="1">
        <v>45998</v>
      </c>
      <c r="G295" s="1">
        <v>46003</v>
      </c>
      <c r="H295" s="2">
        <v>5</v>
      </c>
      <c r="I295" s="2">
        <v>120000</v>
      </c>
      <c r="J295" s="2" t="s">
        <v>1023</v>
      </c>
      <c r="K295" s="2" t="s">
        <v>1161</v>
      </c>
      <c r="L295" t="s">
        <v>1018</v>
      </c>
      <c r="M295" s="2" t="s">
        <v>1038</v>
      </c>
      <c r="N295">
        <v>4</v>
      </c>
    </row>
    <row r="296" spans="1:14" x14ac:dyDescent="0.3">
      <c r="A296" t="s">
        <v>308</v>
      </c>
      <c r="B296">
        <v>24</v>
      </c>
      <c r="C296" s="2" t="s">
        <v>1014</v>
      </c>
      <c r="D296" s="2" t="s">
        <v>1035</v>
      </c>
      <c r="E296" s="2" t="s">
        <v>1115</v>
      </c>
      <c r="F296" s="1">
        <v>45999</v>
      </c>
      <c r="G296" s="1">
        <v>46005</v>
      </c>
      <c r="H296" s="2">
        <v>6</v>
      </c>
      <c r="I296" s="2">
        <v>147000</v>
      </c>
      <c r="J296" s="2" t="s">
        <v>1023</v>
      </c>
      <c r="K296" s="2" t="s">
        <v>1106</v>
      </c>
      <c r="L296" t="s">
        <v>1018</v>
      </c>
      <c r="M296" s="2" t="s">
        <v>1019</v>
      </c>
      <c r="N296">
        <v>3</v>
      </c>
    </row>
    <row r="297" spans="1:14" x14ac:dyDescent="0.3">
      <c r="A297" t="s">
        <v>309</v>
      </c>
      <c r="B297">
        <v>65</v>
      </c>
      <c r="C297" s="2" t="s">
        <v>1020</v>
      </c>
      <c r="D297" s="2" t="s">
        <v>1041</v>
      </c>
      <c r="E297" s="2" t="s">
        <v>1042</v>
      </c>
      <c r="F297" s="1">
        <v>46000</v>
      </c>
      <c r="G297" s="4">
        <v>46004</v>
      </c>
      <c r="H297" s="2">
        <v>4</v>
      </c>
      <c r="I297" s="2">
        <v>15000</v>
      </c>
      <c r="J297" s="2" t="s">
        <v>1027</v>
      </c>
      <c r="K297" s="2" t="s">
        <v>1128</v>
      </c>
      <c r="L297" t="s">
        <v>1018</v>
      </c>
      <c r="M297" s="2" t="s">
        <v>1019</v>
      </c>
      <c r="N297">
        <v>2</v>
      </c>
    </row>
    <row r="298" spans="1:14" x14ac:dyDescent="0.3">
      <c r="A298" t="s">
        <v>310</v>
      </c>
      <c r="B298">
        <v>24</v>
      </c>
      <c r="C298" s="2" t="s">
        <v>1014</v>
      </c>
      <c r="D298" s="2" t="s">
        <v>1015</v>
      </c>
      <c r="E298" s="2" t="s">
        <v>1016</v>
      </c>
      <c r="F298" s="1">
        <v>46001</v>
      </c>
      <c r="G298" s="1">
        <v>46006</v>
      </c>
      <c r="H298" s="2">
        <v>5</v>
      </c>
      <c r="I298" s="2">
        <v>150000</v>
      </c>
      <c r="J298" s="2" t="s">
        <v>1023</v>
      </c>
      <c r="K298" s="2" t="s">
        <v>1052</v>
      </c>
      <c r="L298" t="s">
        <v>1037</v>
      </c>
      <c r="M298" s="2" t="s">
        <v>1038</v>
      </c>
      <c r="N298">
        <v>1</v>
      </c>
    </row>
    <row r="299" spans="1:14" x14ac:dyDescent="0.3">
      <c r="A299" t="s">
        <v>311</v>
      </c>
      <c r="B299">
        <v>78</v>
      </c>
      <c r="C299" s="2" t="s">
        <v>1014</v>
      </c>
      <c r="D299" s="2" t="s">
        <v>1015</v>
      </c>
      <c r="E299" s="2" t="s">
        <v>1016</v>
      </c>
      <c r="F299" s="1">
        <v>46002</v>
      </c>
      <c r="G299" s="1">
        <v>46011</v>
      </c>
      <c r="H299" s="2">
        <v>9</v>
      </c>
      <c r="I299" s="2">
        <v>130000</v>
      </c>
      <c r="J299" s="2" t="s">
        <v>1023</v>
      </c>
      <c r="K299" s="2" t="s">
        <v>1052</v>
      </c>
      <c r="L299" t="s">
        <v>1018</v>
      </c>
      <c r="M299" s="2" t="s">
        <v>1024</v>
      </c>
      <c r="N299">
        <v>1</v>
      </c>
    </row>
    <row r="300" spans="1:14" x14ac:dyDescent="0.3">
      <c r="A300" t="s">
        <v>312</v>
      </c>
      <c r="B300">
        <v>12</v>
      </c>
      <c r="C300" s="2" t="s">
        <v>1014</v>
      </c>
      <c r="D300" s="2" t="s">
        <v>1029</v>
      </c>
      <c r="E300" s="2" t="s">
        <v>1030</v>
      </c>
      <c r="F300" s="1">
        <v>46003</v>
      </c>
      <c r="G300" s="1">
        <v>46012</v>
      </c>
      <c r="H300" s="2">
        <v>9</v>
      </c>
      <c r="I300" s="2">
        <v>170000</v>
      </c>
      <c r="J300" s="2" t="s">
        <v>1027</v>
      </c>
      <c r="K300" s="2" t="s">
        <v>1033</v>
      </c>
      <c r="L300" t="s">
        <v>1037</v>
      </c>
      <c r="M300" s="2" t="s">
        <v>1038</v>
      </c>
      <c r="N300">
        <v>2</v>
      </c>
    </row>
    <row r="301" spans="1:14" x14ac:dyDescent="0.3">
      <c r="A301" t="s">
        <v>313</v>
      </c>
      <c r="B301">
        <v>10</v>
      </c>
      <c r="C301" s="2" t="s">
        <v>1014</v>
      </c>
      <c r="D301" s="2" t="s">
        <v>1031</v>
      </c>
      <c r="E301" s="2" t="s">
        <v>1054</v>
      </c>
      <c r="F301" s="1">
        <v>46004</v>
      </c>
      <c r="G301" s="1">
        <v>46013</v>
      </c>
      <c r="H301" s="2">
        <v>9</v>
      </c>
      <c r="I301" s="2">
        <v>100000</v>
      </c>
      <c r="J301" s="2" t="s">
        <v>1017</v>
      </c>
      <c r="K301" s="2" t="s">
        <v>1161</v>
      </c>
      <c r="L301" t="s">
        <v>1018</v>
      </c>
      <c r="M301" s="2" t="s">
        <v>1038</v>
      </c>
      <c r="N301">
        <v>3</v>
      </c>
    </row>
    <row r="302" spans="1:14" x14ac:dyDescent="0.3">
      <c r="A302" t="s">
        <v>314</v>
      </c>
      <c r="B302">
        <v>18</v>
      </c>
      <c r="C302" s="2" t="s">
        <v>1020</v>
      </c>
      <c r="D302" s="2" t="s">
        <v>1031</v>
      </c>
      <c r="E302" s="2" t="s">
        <v>1054</v>
      </c>
      <c r="F302" s="1">
        <v>46005</v>
      </c>
      <c r="G302" s="1">
        <v>46013</v>
      </c>
      <c r="H302" s="2">
        <v>8</v>
      </c>
      <c r="I302" s="2">
        <v>99000</v>
      </c>
      <c r="J302" s="2" t="s">
        <v>1017</v>
      </c>
      <c r="K302" s="2" t="s">
        <v>1161</v>
      </c>
      <c r="L302" t="s">
        <v>1037</v>
      </c>
      <c r="M302" s="2" t="s">
        <v>1019</v>
      </c>
      <c r="N302">
        <v>4</v>
      </c>
    </row>
    <row r="303" spans="1:14" x14ac:dyDescent="0.3">
      <c r="A303" t="s">
        <v>315</v>
      </c>
      <c r="B303">
        <v>24</v>
      </c>
      <c r="C303" s="2" t="s">
        <v>1020</v>
      </c>
      <c r="D303" s="2" t="s">
        <v>1048</v>
      </c>
      <c r="E303" s="2" t="s">
        <v>1063</v>
      </c>
      <c r="F303" s="1">
        <v>46006</v>
      </c>
      <c r="G303" s="1">
        <v>46010</v>
      </c>
      <c r="H303" s="2">
        <v>4</v>
      </c>
      <c r="I303" s="2">
        <v>120000</v>
      </c>
      <c r="J303" s="2" t="s">
        <v>1023</v>
      </c>
      <c r="K303" s="2" t="s">
        <v>1028</v>
      </c>
      <c r="L303" t="s">
        <v>1037</v>
      </c>
      <c r="M303" s="2" t="s">
        <v>1019</v>
      </c>
      <c r="N303">
        <v>5</v>
      </c>
    </row>
    <row r="304" spans="1:14" x14ac:dyDescent="0.3">
      <c r="A304" t="s">
        <v>316</v>
      </c>
      <c r="B304">
        <v>26</v>
      </c>
      <c r="C304" s="2" t="s">
        <v>1020</v>
      </c>
      <c r="D304" s="2" t="s">
        <v>1041</v>
      </c>
      <c r="E304" s="2" t="s">
        <v>1042</v>
      </c>
      <c r="F304" s="1">
        <v>46007</v>
      </c>
      <c r="G304" s="1">
        <v>46016</v>
      </c>
      <c r="H304" s="2">
        <v>9</v>
      </c>
      <c r="I304" s="2">
        <v>110000</v>
      </c>
      <c r="J304" s="2" t="s">
        <v>1023</v>
      </c>
      <c r="K304" s="2" t="s">
        <v>1128</v>
      </c>
      <c r="L304" t="s">
        <v>1037</v>
      </c>
      <c r="M304" s="2" t="s">
        <v>1038</v>
      </c>
      <c r="N304">
        <v>5</v>
      </c>
    </row>
    <row r="305" spans="1:14" x14ac:dyDescent="0.3">
      <c r="A305" t="s">
        <v>317</v>
      </c>
      <c r="B305">
        <v>33</v>
      </c>
      <c r="C305" s="2" t="s">
        <v>1014</v>
      </c>
      <c r="D305" s="2" t="s">
        <v>1031</v>
      </c>
      <c r="E305" s="2" t="s">
        <v>1053</v>
      </c>
      <c r="F305" s="1">
        <v>46008</v>
      </c>
      <c r="G305" s="1">
        <v>46019</v>
      </c>
      <c r="H305" s="2">
        <v>11</v>
      </c>
      <c r="I305" s="2">
        <v>98000</v>
      </c>
      <c r="J305" s="2" t="s">
        <v>1027</v>
      </c>
      <c r="K305" s="2" t="s">
        <v>1161</v>
      </c>
      <c r="L305" t="s">
        <v>1018</v>
      </c>
      <c r="M305" s="2" t="s">
        <v>1019</v>
      </c>
      <c r="N305">
        <v>4</v>
      </c>
    </row>
    <row r="306" spans="1:14" x14ac:dyDescent="0.3">
      <c r="A306" t="s">
        <v>318</v>
      </c>
      <c r="B306">
        <v>12</v>
      </c>
      <c r="C306" s="2" t="s">
        <v>1014</v>
      </c>
      <c r="D306" s="2" t="s">
        <v>1031</v>
      </c>
      <c r="E306" s="2" t="s">
        <v>1145</v>
      </c>
      <c r="F306" s="1">
        <v>46009</v>
      </c>
      <c r="G306" s="1">
        <v>46011</v>
      </c>
      <c r="H306" s="2">
        <v>2</v>
      </c>
      <c r="I306" s="2">
        <v>78000</v>
      </c>
      <c r="J306" s="2" t="s">
        <v>1027</v>
      </c>
      <c r="K306" s="2" t="s">
        <v>1161</v>
      </c>
      <c r="L306" t="s">
        <v>1018</v>
      </c>
      <c r="M306" s="2" t="s">
        <v>1019</v>
      </c>
      <c r="N306">
        <v>3</v>
      </c>
    </row>
    <row r="307" spans="1:14" x14ac:dyDescent="0.3">
      <c r="A307" t="s">
        <v>319</v>
      </c>
      <c r="B307">
        <v>24</v>
      </c>
      <c r="C307" s="2" t="s">
        <v>1014</v>
      </c>
      <c r="D307" s="2" t="s">
        <v>1029</v>
      </c>
      <c r="E307" s="2" t="s">
        <v>1030</v>
      </c>
      <c r="F307" s="1">
        <v>46010</v>
      </c>
      <c r="G307" s="1">
        <v>46018</v>
      </c>
      <c r="H307" s="2">
        <v>8</v>
      </c>
      <c r="I307" s="2">
        <v>98000</v>
      </c>
      <c r="J307" s="2" t="s">
        <v>1027</v>
      </c>
      <c r="K307" s="2" t="s">
        <v>1033</v>
      </c>
      <c r="L307" t="s">
        <v>1037</v>
      </c>
      <c r="M307" s="2" t="s">
        <v>1019</v>
      </c>
      <c r="N307">
        <v>2</v>
      </c>
    </row>
    <row r="308" spans="1:14" x14ac:dyDescent="0.3">
      <c r="A308" t="s">
        <v>320</v>
      </c>
      <c r="B308">
        <v>24</v>
      </c>
      <c r="C308" s="2" t="s">
        <v>1020</v>
      </c>
      <c r="D308" s="2" t="s">
        <v>1039</v>
      </c>
      <c r="E308" s="2" t="s">
        <v>1137</v>
      </c>
      <c r="F308" s="1">
        <v>46011</v>
      </c>
      <c r="G308" s="1">
        <v>46020</v>
      </c>
      <c r="H308" s="2">
        <v>9</v>
      </c>
      <c r="I308" s="2">
        <v>78000</v>
      </c>
      <c r="J308" s="2" t="s">
        <v>1023</v>
      </c>
      <c r="K308" s="2" t="s">
        <v>1059</v>
      </c>
      <c r="L308" t="s">
        <v>1018</v>
      </c>
      <c r="M308" s="2" t="s">
        <v>1019</v>
      </c>
      <c r="N308">
        <v>1</v>
      </c>
    </row>
    <row r="309" spans="1:14" x14ac:dyDescent="0.3">
      <c r="A309" t="s">
        <v>321</v>
      </c>
      <c r="B309">
        <v>33</v>
      </c>
      <c r="C309" s="2" t="s">
        <v>1020</v>
      </c>
      <c r="D309" s="2" t="s">
        <v>1124</v>
      </c>
      <c r="E309" s="2" t="s">
        <v>1125</v>
      </c>
      <c r="F309" s="1">
        <v>46012</v>
      </c>
      <c r="G309" s="1">
        <v>46020</v>
      </c>
      <c r="H309" s="2">
        <v>8</v>
      </c>
      <c r="I309" s="2">
        <v>98000</v>
      </c>
      <c r="J309" s="2" t="s">
        <v>1027</v>
      </c>
      <c r="K309" s="2" t="s">
        <v>1044</v>
      </c>
      <c r="L309" t="s">
        <v>1037</v>
      </c>
      <c r="M309" s="2" t="s">
        <v>1019</v>
      </c>
      <c r="N309">
        <v>1</v>
      </c>
    </row>
    <row r="310" spans="1:14" x14ac:dyDescent="0.3">
      <c r="A310" t="s">
        <v>322</v>
      </c>
      <c r="B310">
        <v>67</v>
      </c>
      <c r="C310" s="2" t="s">
        <v>1020</v>
      </c>
      <c r="D310" s="2" t="s">
        <v>1124</v>
      </c>
      <c r="E310" s="2" t="s">
        <v>1135</v>
      </c>
      <c r="F310" s="1">
        <v>46012</v>
      </c>
      <c r="G310" s="1">
        <v>46019</v>
      </c>
      <c r="H310" s="2">
        <v>7</v>
      </c>
      <c r="I310" s="2">
        <v>78900</v>
      </c>
      <c r="J310" s="2" t="s">
        <v>1027</v>
      </c>
      <c r="K310" s="2" t="s">
        <v>1044</v>
      </c>
      <c r="L310" t="s">
        <v>1018</v>
      </c>
      <c r="M310" s="2" t="s">
        <v>1038</v>
      </c>
      <c r="N310">
        <v>2</v>
      </c>
    </row>
    <row r="311" spans="1:14" x14ac:dyDescent="0.3">
      <c r="A311" t="s">
        <v>323</v>
      </c>
      <c r="B311">
        <v>89</v>
      </c>
      <c r="C311" s="2" t="s">
        <v>1020</v>
      </c>
      <c r="D311" s="2" t="s">
        <v>1039</v>
      </c>
      <c r="E311" s="2" t="s">
        <v>1102</v>
      </c>
      <c r="F311" s="1">
        <v>46013</v>
      </c>
      <c r="G311" s="1">
        <v>46017</v>
      </c>
      <c r="H311" s="2">
        <v>4</v>
      </c>
      <c r="I311" s="2">
        <v>89000</v>
      </c>
      <c r="J311" s="2" t="s">
        <v>1023</v>
      </c>
      <c r="K311" s="2" t="s">
        <v>1147</v>
      </c>
      <c r="L311" t="s">
        <v>1018</v>
      </c>
      <c r="M311" s="2" t="s">
        <v>1024</v>
      </c>
      <c r="N311">
        <v>3</v>
      </c>
    </row>
    <row r="312" spans="1:14" x14ac:dyDescent="0.3">
      <c r="A312" t="s">
        <v>324</v>
      </c>
      <c r="B312">
        <v>24</v>
      </c>
      <c r="C312" s="2" t="s">
        <v>1014</v>
      </c>
      <c r="D312" s="2" t="s">
        <v>1039</v>
      </c>
      <c r="E312" s="2" t="s">
        <v>1137</v>
      </c>
      <c r="F312" s="1">
        <v>46014</v>
      </c>
      <c r="G312" s="1">
        <v>46019</v>
      </c>
      <c r="H312" s="2">
        <v>5</v>
      </c>
      <c r="I312" s="2">
        <v>89000</v>
      </c>
      <c r="J312" s="2" t="s">
        <v>1017</v>
      </c>
      <c r="K312" s="2" t="s">
        <v>1059</v>
      </c>
      <c r="L312" t="s">
        <v>1018</v>
      </c>
      <c r="M312" s="2" t="s">
        <v>1038</v>
      </c>
      <c r="N312">
        <v>4</v>
      </c>
    </row>
    <row r="313" spans="1:14" x14ac:dyDescent="0.3">
      <c r="A313" t="s">
        <v>325</v>
      </c>
      <c r="B313">
        <v>12</v>
      </c>
      <c r="C313" s="2" t="s">
        <v>1014</v>
      </c>
      <c r="D313" s="2" t="s">
        <v>1039</v>
      </c>
      <c r="E313" s="2" t="s">
        <v>1137</v>
      </c>
      <c r="F313" s="1">
        <v>46015</v>
      </c>
      <c r="G313" s="1">
        <v>46022</v>
      </c>
      <c r="H313" s="2">
        <v>6</v>
      </c>
      <c r="I313" s="2">
        <v>76000</v>
      </c>
      <c r="J313" s="2" t="s">
        <v>1023</v>
      </c>
      <c r="K313" s="2" t="s">
        <v>1059</v>
      </c>
      <c r="L313" t="s">
        <v>1037</v>
      </c>
      <c r="M313" s="2" t="s">
        <v>1038</v>
      </c>
      <c r="N313">
        <v>5</v>
      </c>
    </row>
    <row r="314" spans="1:14" x14ac:dyDescent="0.3">
      <c r="A314" t="s">
        <v>326</v>
      </c>
      <c r="B314">
        <v>24</v>
      </c>
      <c r="C314" s="2" t="s">
        <v>1014</v>
      </c>
      <c r="D314" s="2" t="s">
        <v>1021</v>
      </c>
      <c r="E314" s="2" t="s">
        <v>1022</v>
      </c>
      <c r="F314" s="1">
        <v>46016</v>
      </c>
      <c r="G314" s="1">
        <v>46020</v>
      </c>
      <c r="H314" s="2">
        <v>4</v>
      </c>
      <c r="I314" s="2">
        <v>56000</v>
      </c>
      <c r="J314" s="2" t="s">
        <v>1027</v>
      </c>
      <c r="K314" s="2" t="s">
        <v>1147</v>
      </c>
      <c r="L314" t="s">
        <v>1018</v>
      </c>
      <c r="M314" s="2" t="s">
        <v>1024</v>
      </c>
      <c r="N314">
        <v>4.0999999999999996</v>
      </c>
    </row>
    <row r="315" spans="1:14" x14ac:dyDescent="0.3">
      <c r="A315" t="s">
        <v>327</v>
      </c>
      <c r="B315">
        <v>78</v>
      </c>
      <c r="C315" s="2" t="s">
        <v>1014</v>
      </c>
      <c r="D315" s="2" t="s">
        <v>1025</v>
      </c>
      <c r="E315" s="2" t="s">
        <v>1026</v>
      </c>
      <c r="F315" s="1">
        <v>46017</v>
      </c>
      <c r="G315" s="1">
        <v>46022</v>
      </c>
      <c r="H315" s="2">
        <v>5</v>
      </c>
      <c r="I315" s="2">
        <v>45000</v>
      </c>
      <c r="J315" s="2" t="s">
        <v>1023</v>
      </c>
      <c r="K315" s="2" t="s">
        <v>1046</v>
      </c>
      <c r="L315" t="s">
        <v>1037</v>
      </c>
      <c r="M315" s="2" t="s">
        <v>1024</v>
      </c>
      <c r="N315">
        <v>4.2</v>
      </c>
    </row>
    <row r="316" spans="1:14" x14ac:dyDescent="0.3">
      <c r="A316" t="s">
        <v>328</v>
      </c>
      <c r="B316">
        <v>24</v>
      </c>
      <c r="C316" s="2" t="s">
        <v>1020</v>
      </c>
      <c r="D316" s="2" t="s">
        <v>1048</v>
      </c>
      <c r="E316" s="2" t="s">
        <v>1063</v>
      </c>
      <c r="F316" s="1">
        <v>46018</v>
      </c>
      <c r="G316" s="1">
        <v>46023</v>
      </c>
      <c r="H316" s="2">
        <v>4</v>
      </c>
      <c r="I316" s="2">
        <v>45000</v>
      </c>
      <c r="J316" s="2" t="s">
        <v>1027</v>
      </c>
      <c r="K316" s="2" t="s">
        <v>1028</v>
      </c>
      <c r="L316" t="s">
        <v>1018</v>
      </c>
      <c r="M316" s="2" t="s">
        <v>1038</v>
      </c>
      <c r="N316">
        <v>4.3</v>
      </c>
    </row>
    <row r="317" spans="1:14" x14ac:dyDescent="0.3">
      <c r="A317" t="s">
        <v>329</v>
      </c>
      <c r="B317">
        <v>27</v>
      </c>
      <c r="C317" s="2" t="s">
        <v>1020</v>
      </c>
      <c r="D317" s="2" t="s">
        <v>1041</v>
      </c>
      <c r="E317" s="2" t="s">
        <v>1042</v>
      </c>
      <c r="F317" s="1">
        <v>46019</v>
      </c>
      <c r="G317" s="1">
        <v>46024</v>
      </c>
      <c r="H317" s="2">
        <v>4</v>
      </c>
      <c r="I317" s="2">
        <v>78900</v>
      </c>
      <c r="J317" s="2" t="s">
        <v>1027</v>
      </c>
      <c r="K317" s="2" t="s">
        <v>1128</v>
      </c>
      <c r="L317" t="s">
        <v>1037</v>
      </c>
      <c r="M317" s="2" t="s">
        <v>1038</v>
      </c>
      <c r="N317">
        <v>4.4000000000000004</v>
      </c>
    </row>
    <row r="318" spans="1:14" x14ac:dyDescent="0.3">
      <c r="A318" t="s">
        <v>330</v>
      </c>
      <c r="B318">
        <v>66</v>
      </c>
      <c r="C318" s="2" t="s">
        <v>1020</v>
      </c>
      <c r="D318" s="2" t="s">
        <v>1029</v>
      </c>
      <c r="E318" s="2" t="s">
        <v>1030</v>
      </c>
      <c r="F318" s="1">
        <v>46020</v>
      </c>
      <c r="G318" s="1">
        <v>46027</v>
      </c>
      <c r="H318" s="2">
        <v>6</v>
      </c>
      <c r="I318" s="2">
        <v>56000</v>
      </c>
      <c r="J318" s="2" t="s">
        <v>1027</v>
      </c>
      <c r="K318" s="2" t="s">
        <v>1033</v>
      </c>
      <c r="L318" t="s">
        <v>1037</v>
      </c>
      <c r="M318" s="2" t="s">
        <v>1024</v>
      </c>
      <c r="N318">
        <v>5</v>
      </c>
    </row>
    <row r="319" spans="1:14" x14ac:dyDescent="0.3">
      <c r="A319" t="s">
        <v>331</v>
      </c>
      <c r="B319">
        <v>89</v>
      </c>
      <c r="C319" s="2" t="s">
        <v>1020</v>
      </c>
      <c r="D319" s="2" t="s">
        <v>1021</v>
      </c>
      <c r="E319" s="2" t="s">
        <v>1022</v>
      </c>
      <c r="F319" s="1">
        <v>46021</v>
      </c>
      <c r="G319" s="1">
        <v>46032</v>
      </c>
      <c r="H319" s="2">
        <v>11</v>
      </c>
      <c r="I319" s="2">
        <v>150000</v>
      </c>
      <c r="J319" s="2" t="s">
        <v>1027</v>
      </c>
      <c r="K319" s="2" t="s">
        <v>1147</v>
      </c>
      <c r="L319" t="s">
        <v>1037</v>
      </c>
      <c r="M319" s="2" t="s">
        <v>1024</v>
      </c>
      <c r="N319">
        <v>4.5999999999999996</v>
      </c>
    </row>
    <row r="320" spans="1:14" x14ac:dyDescent="0.3">
      <c r="A320" t="s">
        <v>332</v>
      </c>
      <c r="B320">
        <v>99</v>
      </c>
      <c r="C320" s="2" t="s">
        <v>1020</v>
      </c>
      <c r="D320" s="2" t="s">
        <v>1025</v>
      </c>
      <c r="E320" s="2" t="s">
        <v>1062</v>
      </c>
      <c r="F320" s="1">
        <v>46022</v>
      </c>
      <c r="G320" s="1">
        <v>46037</v>
      </c>
      <c r="H320" s="2">
        <v>15</v>
      </c>
      <c r="I320" s="2">
        <v>198000</v>
      </c>
      <c r="J320" s="2" t="s">
        <v>1023</v>
      </c>
      <c r="K320" s="2" t="s">
        <v>1046</v>
      </c>
      <c r="L320" t="s">
        <v>1018</v>
      </c>
      <c r="M320" s="2" t="s">
        <v>1024</v>
      </c>
      <c r="N320">
        <v>4.7</v>
      </c>
    </row>
    <row r="321" spans="1:14" x14ac:dyDescent="0.3">
      <c r="A321" t="s">
        <v>333</v>
      </c>
      <c r="B321">
        <v>24</v>
      </c>
      <c r="C321" s="2" t="s">
        <v>1020</v>
      </c>
      <c r="D321" s="2" t="s">
        <v>1029</v>
      </c>
      <c r="E321" s="2" t="s">
        <v>1030</v>
      </c>
      <c r="F321" s="1">
        <v>46023</v>
      </c>
      <c r="G321" s="1">
        <v>46035</v>
      </c>
      <c r="H321" s="2">
        <v>12</v>
      </c>
      <c r="I321" s="2">
        <v>178000</v>
      </c>
      <c r="J321" s="2" t="s">
        <v>1017</v>
      </c>
      <c r="K321" s="2" t="s">
        <v>1033</v>
      </c>
      <c r="L321" t="s">
        <v>1018</v>
      </c>
      <c r="M321" s="2" t="s">
        <v>1024</v>
      </c>
      <c r="N321">
        <v>4</v>
      </c>
    </row>
    <row r="322" spans="1:14" x14ac:dyDescent="0.3">
      <c r="A322" t="s">
        <v>334</v>
      </c>
      <c r="B322">
        <v>87</v>
      </c>
      <c r="C322" s="2" t="s">
        <v>1014</v>
      </c>
      <c r="D322" s="2" t="s">
        <v>1015</v>
      </c>
      <c r="E322" s="2" t="s">
        <v>1148</v>
      </c>
      <c r="F322" s="1">
        <v>46024</v>
      </c>
      <c r="G322" s="1">
        <v>46042</v>
      </c>
      <c r="H322" s="2">
        <v>18</v>
      </c>
      <c r="I322" s="2">
        <v>18900</v>
      </c>
      <c r="J322" s="2" t="s">
        <v>1017</v>
      </c>
      <c r="K322" s="2" t="s">
        <v>1052</v>
      </c>
      <c r="L322" t="s">
        <v>1037</v>
      </c>
      <c r="M322" s="2" t="s">
        <v>1024</v>
      </c>
      <c r="N322">
        <v>3</v>
      </c>
    </row>
    <row r="323" spans="1:14" x14ac:dyDescent="0.3">
      <c r="A323" t="s">
        <v>335</v>
      </c>
      <c r="B323">
        <v>98</v>
      </c>
      <c r="C323" s="2" t="s">
        <v>1014</v>
      </c>
      <c r="D323" s="2" t="s">
        <v>1025</v>
      </c>
      <c r="E323" s="2" t="s">
        <v>1123</v>
      </c>
      <c r="F323" s="1">
        <v>46025</v>
      </c>
      <c r="G323" s="1">
        <v>46043</v>
      </c>
      <c r="H323" s="2">
        <v>18</v>
      </c>
      <c r="I323" s="2">
        <v>245000</v>
      </c>
      <c r="J323" s="2" t="s">
        <v>1027</v>
      </c>
      <c r="K323" s="2" t="s">
        <v>1046</v>
      </c>
      <c r="L323" t="s">
        <v>1018</v>
      </c>
      <c r="M323" s="2" t="s">
        <v>1038</v>
      </c>
      <c r="N323">
        <v>3</v>
      </c>
    </row>
    <row r="324" spans="1:14" x14ac:dyDescent="0.3">
      <c r="A324" t="s">
        <v>336</v>
      </c>
      <c r="B324">
        <v>24</v>
      </c>
      <c r="C324" s="2" t="s">
        <v>1014</v>
      </c>
      <c r="D324" s="2" t="s">
        <v>1031</v>
      </c>
      <c r="E324" s="2" t="s">
        <v>1053</v>
      </c>
      <c r="F324" s="1">
        <v>46026</v>
      </c>
      <c r="G324" s="1">
        <v>46041</v>
      </c>
      <c r="H324" s="2">
        <v>15</v>
      </c>
      <c r="I324" s="2">
        <v>56990</v>
      </c>
      <c r="J324" s="2" t="s">
        <v>1027</v>
      </c>
      <c r="K324" s="2" t="s">
        <v>1161</v>
      </c>
      <c r="L324" t="s">
        <v>1037</v>
      </c>
      <c r="M324" s="2" t="s">
        <v>1038</v>
      </c>
      <c r="N324">
        <v>2</v>
      </c>
    </row>
    <row r="325" spans="1:14" x14ac:dyDescent="0.3">
      <c r="A325" t="s">
        <v>337</v>
      </c>
      <c r="B325">
        <v>23</v>
      </c>
      <c r="C325" s="2" t="s">
        <v>1014</v>
      </c>
      <c r="D325" s="2" t="s">
        <v>1035</v>
      </c>
      <c r="E325" s="2" t="s">
        <v>1115</v>
      </c>
      <c r="F325" s="1">
        <v>46027</v>
      </c>
      <c r="G325" s="1">
        <v>46032</v>
      </c>
      <c r="H325" s="2">
        <v>5</v>
      </c>
      <c r="I325" s="2">
        <v>87000</v>
      </c>
      <c r="J325" s="2" t="s">
        <v>1027</v>
      </c>
      <c r="K325" s="2" t="s">
        <v>1106</v>
      </c>
      <c r="L325" t="s">
        <v>1037</v>
      </c>
      <c r="M325" s="2" t="s">
        <v>1038</v>
      </c>
      <c r="N325">
        <v>2.4</v>
      </c>
    </row>
    <row r="326" spans="1:14" x14ac:dyDescent="0.3">
      <c r="A326" t="s">
        <v>338</v>
      </c>
      <c r="B326">
        <v>24</v>
      </c>
      <c r="C326" s="2" t="s">
        <v>1020</v>
      </c>
      <c r="D326" s="2" t="s">
        <v>1025</v>
      </c>
      <c r="E326" s="2" t="s">
        <v>1123</v>
      </c>
      <c r="F326" s="1">
        <v>46028</v>
      </c>
      <c r="G326" s="1">
        <v>46042</v>
      </c>
      <c r="H326" s="2">
        <v>14</v>
      </c>
      <c r="I326" s="2">
        <v>98000</v>
      </c>
      <c r="J326" s="2" t="s">
        <v>1017</v>
      </c>
      <c r="K326" s="2" t="s">
        <v>1046</v>
      </c>
      <c r="L326" t="s">
        <v>1018</v>
      </c>
      <c r="M326" s="2" t="s">
        <v>1024</v>
      </c>
      <c r="N326">
        <v>2.5</v>
      </c>
    </row>
    <row r="327" spans="1:14" x14ac:dyDescent="0.3">
      <c r="A327" t="s">
        <v>339</v>
      </c>
      <c r="B327">
        <v>44</v>
      </c>
      <c r="C327" s="2" t="s">
        <v>1020</v>
      </c>
      <c r="D327" s="2" t="s">
        <v>1021</v>
      </c>
      <c r="E327" s="2" t="s">
        <v>1149</v>
      </c>
      <c r="F327" s="1">
        <v>46029</v>
      </c>
      <c r="G327" s="1">
        <v>46033</v>
      </c>
      <c r="H327" s="2">
        <v>4</v>
      </c>
      <c r="I327" s="2">
        <v>87000</v>
      </c>
      <c r="J327" s="2" t="s">
        <v>1017</v>
      </c>
      <c r="K327" s="2" t="s">
        <v>1147</v>
      </c>
      <c r="L327" t="s">
        <v>1018</v>
      </c>
      <c r="M327" s="2" t="s">
        <v>1024</v>
      </c>
      <c r="N327">
        <v>2.9</v>
      </c>
    </row>
    <row r="328" spans="1:14" x14ac:dyDescent="0.3">
      <c r="A328" t="s">
        <v>340</v>
      </c>
      <c r="B328">
        <v>89</v>
      </c>
      <c r="C328" s="2" t="s">
        <v>1020</v>
      </c>
      <c r="D328" s="2" t="s">
        <v>1029</v>
      </c>
      <c r="E328" s="2" t="s">
        <v>1030</v>
      </c>
      <c r="F328" s="1">
        <v>46030</v>
      </c>
      <c r="G328" s="1">
        <v>46040</v>
      </c>
      <c r="H328" s="2">
        <v>10</v>
      </c>
      <c r="I328" s="2">
        <v>178000</v>
      </c>
      <c r="J328" s="2" t="s">
        <v>1017</v>
      </c>
      <c r="K328" s="2" t="s">
        <v>1033</v>
      </c>
      <c r="L328" t="s">
        <v>1037</v>
      </c>
      <c r="M328" s="2" t="s">
        <v>1038</v>
      </c>
      <c r="N328">
        <v>3</v>
      </c>
    </row>
    <row r="329" spans="1:14" x14ac:dyDescent="0.3">
      <c r="A329" t="s">
        <v>341</v>
      </c>
      <c r="B329">
        <v>24</v>
      </c>
      <c r="C329" s="2" t="s">
        <v>1020</v>
      </c>
      <c r="D329" s="2" t="s">
        <v>1029</v>
      </c>
      <c r="E329" s="2" t="s">
        <v>1030</v>
      </c>
      <c r="F329" s="1">
        <v>46031</v>
      </c>
      <c r="G329" s="1">
        <v>46042</v>
      </c>
      <c r="H329" s="2">
        <v>11</v>
      </c>
      <c r="I329" s="2">
        <v>89000</v>
      </c>
      <c r="J329" s="2" t="s">
        <v>1017</v>
      </c>
      <c r="K329" s="2" t="s">
        <v>1033</v>
      </c>
      <c r="L329" t="s">
        <v>1018</v>
      </c>
      <c r="M329" s="2" t="s">
        <v>1038</v>
      </c>
      <c r="N329">
        <v>4</v>
      </c>
    </row>
    <row r="330" spans="1:14" x14ac:dyDescent="0.3">
      <c r="A330" t="s">
        <v>342</v>
      </c>
      <c r="B330">
        <v>76</v>
      </c>
      <c r="C330" s="2" t="s">
        <v>1020</v>
      </c>
      <c r="D330" s="2" t="s">
        <v>1029</v>
      </c>
      <c r="E330" s="2" t="s">
        <v>1030</v>
      </c>
      <c r="F330" s="1">
        <v>46032</v>
      </c>
      <c r="G330" s="1">
        <v>46034</v>
      </c>
      <c r="H330" s="2">
        <v>2</v>
      </c>
      <c r="I330" s="2">
        <v>98000</v>
      </c>
      <c r="J330" s="2" t="s">
        <v>1027</v>
      </c>
      <c r="K330" s="2" t="s">
        <v>1033</v>
      </c>
      <c r="L330" t="s">
        <v>1037</v>
      </c>
      <c r="M330" s="2" t="s">
        <v>1024</v>
      </c>
      <c r="N330">
        <v>3</v>
      </c>
    </row>
    <row r="331" spans="1:14" x14ac:dyDescent="0.3">
      <c r="A331" t="s">
        <v>343</v>
      </c>
      <c r="B331">
        <v>24</v>
      </c>
      <c r="C331" s="2" t="s">
        <v>1014</v>
      </c>
      <c r="D331" s="2" t="s">
        <v>1031</v>
      </c>
      <c r="E331" s="2" t="s">
        <v>1053</v>
      </c>
      <c r="F331" s="1">
        <v>46033</v>
      </c>
      <c r="G331" s="1">
        <v>46046</v>
      </c>
      <c r="H331" s="2">
        <v>13</v>
      </c>
      <c r="I331" s="2">
        <v>178000</v>
      </c>
      <c r="J331" s="2" t="s">
        <v>1027</v>
      </c>
      <c r="K331" s="2" t="s">
        <v>1161</v>
      </c>
      <c r="L331" t="s">
        <v>1018</v>
      </c>
      <c r="M331" s="2" t="s">
        <v>1024</v>
      </c>
      <c r="N331">
        <v>3</v>
      </c>
    </row>
    <row r="332" spans="1:14" x14ac:dyDescent="0.3">
      <c r="A332" t="s">
        <v>344</v>
      </c>
      <c r="B332">
        <v>39</v>
      </c>
      <c r="C332" s="2" t="s">
        <v>1014</v>
      </c>
      <c r="D332" s="2" t="s">
        <v>1021</v>
      </c>
      <c r="E332" s="2" t="s">
        <v>1022</v>
      </c>
      <c r="F332" s="1">
        <v>46034</v>
      </c>
      <c r="G332" s="1">
        <v>46047</v>
      </c>
      <c r="H332" s="2">
        <v>13</v>
      </c>
      <c r="I332" s="2">
        <v>2900000</v>
      </c>
      <c r="J332" s="2" t="s">
        <v>1027</v>
      </c>
      <c r="K332" s="2" t="s">
        <v>1147</v>
      </c>
      <c r="L332" t="s">
        <v>1037</v>
      </c>
      <c r="M332" s="2" t="s">
        <v>1038</v>
      </c>
      <c r="N332">
        <v>2</v>
      </c>
    </row>
    <row r="333" spans="1:14" x14ac:dyDescent="0.3">
      <c r="A333" t="s">
        <v>345</v>
      </c>
      <c r="B333">
        <v>24</v>
      </c>
      <c r="C333" s="2" t="s">
        <v>1014</v>
      </c>
      <c r="D333" s="2" t="s">
        <v>1124</v>
      </c>
      <c r="E333" s="2" t="s">
        <v>1125</v>
      </c>
      <c r="F333" s="1">
        <v>46035</v>
      </c>
      <c r="G333" s="1">
        <v>46042</v>
      </c>
      <c r="H333" s="2">
        <v>7</v>
      </c>
      <c r="I333" s="2">
        <v>120000</v>
      </c>
      <c r="J333" s="2" t="s">
        <v>1017</v>
      </c>
      <c r="K333" s="2" t="s">
        <v>1044</v>
      </c>
      <c r="L333" t="s">
        <v>1037</v>
      </c>
      <c r="M333" s="2" t="s">
        <v>1038</v>
      </c>
      <c r="N333">
        <v>1</v>
      </c>
    </row>
    <row r="334" spans="1:14" x14ac:dyDescent="0.3">
      <c r="A334" t="s">
        <v>346</v>
      </c>
      <c r="B334">
        <v>45</v>
      </c>
      <c r="C334" s="2" t="s">
        <v>1014</v>
      </c>
      <c r="D334" s="2" t="s">
        <v>1025</v>
      </c>
      <c r="E334" s="2" t="s">
        <v>1150</v>
      </c>
      <c r="F334" s="1">
        <v>46036</v>
      </c>
      <c r="G334" s="1">
        <v>46041</v>
      </c>
      <c r="H334" s="2">
        <v>5</v>
      </c>
      <c r="I334" s="2">
        <v>14599</v>
      </c>
      <c r="J334" s="2" t="s">
        <v>1017</v>
      </c>
      <c r="K334" s="2" t="s">
        <v>1046</v>
      </c>
      <c r="L334" t="s">
        <v>1037</v>
      </c>
      <c r="M334" s="2" t="s">
        <v>1038</v>
      </c>
      <c r="N334">
        <v>2</v>
      </c>
    </row>
    <row r="335" spans="1:14" x14ac:dyDescent="0.3">
      <c r="A335" t="s">
        <v>347</v>
      </c>
      <c r="B335">
        <v>24</v>
      </c>
      <c r="C335" s="2" t="s">
        <v>1020</v>
      </c>
      <c r="D335" s="2" t="s">
        <v>1048</v>
      </c>
      <c r="E335" s="2" t="s">
        <v>1063</v>
      </c>
      <c r="F335" s="1">
        <v>46037</v>
      </c>
      <c r="G335" s="1">
        <v>46042</v>
      </c>
      <c r="H335" s="2">
        <v>5</v>
      </c>
      <c r="I335" s="2">
        <v>145000</v>
      </c>
      <c r="J335" s="2" t="s">
        <v>1027</v>
      </c>
      <c r="K335" s="2" t="s">
        <v>1028</v>
      </c>
      <c r="L335" t="s">
        <v>1018</v>
      </c>
      <c r="M335" s="2" t="s">
        <v>1024</v>
      </c>
      <c r="N335">
        <v>3</v>
      </c>
    </row>
    <row r="336" spans="1:14" x14ac:dyDescent="0.3">
      <c r="A336" t="s">
        <v>348</v>
      </c>
      <c r="B336">
        <v>56</v>
      </c>
      <c r="C336" s="2" t="s">
        <v>1020</v>
      </c>
      <c r="D336" s="2" t="s">
        <v>1025</v>
      </c>
      <c r="E336" s="2" t="s">
        <v>1091</v>
      </c>
      <c r="F336" s="1">
        <v>46038</v>
      </c>
      <c r="G336" s="1">
        <v>46043</v>
      </c>
      <c r="H336" s="2">
        <v>5</v>
      </c>
      <c r="I336" s="2">
        <v>89000</v>
      </c>
      <c r="J336" s="2" t="s">
        <v>1027</v>
      </c>
      <c r="K336" s="2" t="s">
        <v>1046</v>
      </c>
      <c r="L336" t="s">
        <v>1018</v>
      </c>
      <c r="M336" s="2" t="s">
        <v>1024</v>
      </c>
      <c r="N336">
        <v>4</v>
      </c>
    </row>
    <row r="337" spans="1:14" x14ac:dyDescent="0.3">
      <c r="A337" t="s">
        <v>349</v>
      </c>
      <c r="B337">
        <v>98</v>
      </c>
      <c r="C337" s="2" t="s">
        <v>1020</v>
      </c>
      <c r="D337" s="2" t="s">
        <v>1025</v>
      </c>
      <c r="E337" s="2" t="s">
        <v>1123</v>
      </c>
      <c r="F337" s="1">
        <v>46039</v>
      </c>
      <c r="G337" s="1">
        <v>46051</v>
      </c>
      <c r="H337" s="2">
        <v>12</v>
      </c>
      <c r="I337" s="2">
        <v>178000</v>
      </c>
      <c r="J337" s="2" t="s">
        <v>1027</v>
      </c>
      <c r="K337" s="2" t="s">
        <v>1046</v>
      </c>
      <c r="L337" t="s">
        <v>1037</v>
      </c>
      <c r="M337" s="2" t="s">
        <v>1024</v>
      </c>
      <c r="N337">
        <v>5</v>
      </c>
    </row>
    <row r="338" spans="1:14" x14ac:dyDescent="0.3">
      <c r="A338" t="s">
        <v>350</v>
      </c>
      <c r="B338">
        <v>87</v>
      </c>
      <c r="C338" s="2" t="s">
        <v>1014</v>
      </c>
      <c r="D338" s="2" t="s">
        <v>1021</v>
      </c>
      <c r="E338" s="2" t="s">
        <v>1022</v>
      </c>
      <c r="F338" s="1">
        <v>46040</v>
      </c>
      <c r="G338" s="1">
        <v>46048</v>
      </c>
      <c r="H338" s="2">
        <v>8</v>
      </c>
      <c r="I338" s="2">
        <v>156000</v>
      </c>
      <c r="J338" s="2" t="s">
        <v>1027</v>
      </c>
      <c r="K338" s="2" t="s">
        <v>1147</v>
      </c>
      <c r="L338" t="s">
        <v>1018</v>
      </c>
      <c r="M338" s="2" t="s">
        <v>1024</v>
      </c>
      <c r="N338">
        <v>5</v>
      </c>
    </row>
    <row r="339" spans="1:14" x14ac:dyDescent="0.3">
      <c r="A339" t="s">
        <v>351</v>
      </c>
      <c r="B339">
        <v>87</v>
      </c>
      <c r="C339" s="2" t="s">
        <v>1020</v>
      </c>
      <c r="D339" s="2" t="s">
        <v>1025</v>
      </c>
      <c r="E339" s="2" t="s">
        <v>1123</v>
      </c>
      <c r="F339" s="1">
        <v>46041</v>
      </c>
      <c r="G339" s="1">
        <v>46054</v>
      </c>
      <c r="H339" s="2">
        <v>13</v>
      </c>
      <c r="I339" s="2">
        <v>270000</v>
      </c>
      <c r="J339" s="2" t="s">
        <v>1027</v>
      </c>
      <c r="K339" s="2" t="s">
        <v>1046</v>
      </c>
      <c r="L339" t="s">
        <v>1037</v>
      </c>
      <c r="M339" s="2" t="s">
        <v>1038</v>
      </c>
      <c r="N339">
        <v>1</v>
      </c>
    </row>
    <row r="340" spans="1:14" x14ac:dyDescent="0.3">
      <c r="A340" t="s">
        <v>352</v>
      </c>
      <c r="B340">
        <v>77</v>
      </c>
      <c r="C340" s="2" t="s">
        <v>1020</v>
      </c>
      <c r="D340" s="2" t="s">
        <v>1021</v>
      </c>
      <c r="E340" s="2" t="s">
        <v>1080</v>
      </c>
      <c r="F340" s="1">
        <v>46042</v>
      </c>
      <c r="G340" s="1">
        <v>46053</v>
      </c>
      <c r="H340" s="2">
        <v>11</v>
      </c>
      <c r="I340" s="2">
        <v>145000</v>
      </c>
      <c r="J340" s="2" t="s">
        <v>1017</v>
      </c>
      <c r="K340" s="2" t="s">
        <v>1147</v>
      </c>
      <c r="L340" t="s">
        <v>1018</v>
      </c>
      <c r="M340" s="2" t="s">
        <v>1038</v>
      </c>
      <c r="N340">
        <v>2</v>
      </c>
    </row>
    <row r="341" spans="1:14" x14ac:dyDescent="0.3">
      <c r="A341" t="s">
        <v>353</v>
      </c>
      <c r="B341">
        <v>24</v>
      </c>
      <c r="C341" s="2" t="s">
        <v>1020</v>
      </c>
      <c r="D341" s="2" t="s">
        <v>1021</v>
      </c>
      <c r="E341" s="2" t="s">
        <v>1069</v>
      </c>
      <c r="F341" s="1">
        <v>46043</v>
      </c>
      <c r="G341" s="1">
        <v>46051</v>
      </c>
      <c r="H341" s="2">
        <v>8</v>
      </c>
      <c r="I341" s="2">
        <v>13400</v>
      </c>
      <c r="J341" s="2" t="s">
        <v>1017</v>
      </c>
      <c r="K341" s="2" t="s">
        <v>1147</v>
      </c>
      <c r="L341" t="s">
        <v>1018</v>
      </c>
      <c r="M341" s="2" t="s">
        <v>1038</v>
      </c>
      <c r="N341">
        <v>3</v>
      </c>
    </row>
    <row r="342" spans="1:14" x14ac:dyDescent="0.3">
      <c r="A342" t="s">
        <v>354</v>
      </c>
      <c r="B342">
        <v>24</v>
      </c>
      <c r="C342" s="2" t="s">
        <v>1014</v>
      </c>
      <c r="D342" s="2" t="s">
        <v>1035</v>
      </c>
      <c r="E342" s="2" t="s">
        <v>1115</v>
      </c>
      <c r="F342" s="1">
        <v>46044</v>
      </c>
      <c r="G342" s="1">
        <v>46056</v>
      </c>
      <c r="H342" s="2">
        <v>12</v>
      </c>
      <c r="I342" s="2">
        <v>178000</v>
      </c>
      <c r="J342" s="2" t="s">
        <v>1017</v>
      </c>
      <c r="K342" s="2" t="s">
        <v>1106</v>
      </c>
      <c r="L342" t="s">
        <v>1018</v>
      </c>
      <c r="M342" s="2" t="s">
        <v>1038</v>
      </c>
      <c r="N342">
        <v>4</v>
      </c>
    </row>
    <row r="343" spans="1:14" x14ac:dyDescent="0.3">
      <c r="A343" t="s">
        <v>355</v>
      </c>
      <c r="B343">
        <v>45</v>
      </c>
      <c r="C343" s="2" t="s">
        <v>1020</v>
      </c>
      <c r="D343" s="2" t="s">
        <v>1035</v>
      </c>
      <c r="E343" s="2" t="s">
        <v>1047</v>
      </c>
      <c r="F343" s="1">
        <v>46045</v>
      </c>
      <c r="G343" s="1">
        <v>46053</v>
      </c>
      <c r="H343" s="2">
        <v>8</v>
      </c>
      <c r="I343" s="2">
        <v>145000</v>
      </c>
      <c r="J343" s="2" t="s">
        <v>1017</v>
      </c>
      <c r="K343" s="2" t="s">
        <v>1106</v>
      </c>
      <c r="L343" t="s">
        <v>1037</v>
      </c>
      <c r="M343" s="2" t="s">
        <v>1038</v>
      </c>
    </row>
    <row r="344" spans="1:14" x14ac:dyDescent="0.3">
      <c r="A344" t="s">
        <v>356</v>
      </c>
      <c r="B344">
        <v>24</v>
      </c>
      <c r="C344" s="2" t="s">
        <v>1020</v>
      </c>
      <c r="D344" s="2" t="s">
        <v>1015</v>
      </c>
      <c r="E344" s="2" t="s">
        <v>1016</v>
      </c>
      <c r="F344" s="1">
        <v>46046</v>
      </c>
      <c r="G344" s="1">
        <v>46054</v>
      </c>
      <c r="H344" s="2">
        <v>8</v>
      </c>
      <c r="I344" s="2">
        <v>98000</v>
      </c>
      <c r="J344" s="2" t="s">
        <v>1027</v>
      </c>
      <c r="K344" s="2" t="s">
        <v>1052</v>
      </c>
      <c r="L344" t="s">
        <v>1018</v>
      </c>
      <c r="M344" s="2" t="s">
        <v>1038</v>
      </c>
      <c r="N344">
        <v>5</v>
      </c>
    </row>
    <row r="345" spans="1:14" x14ac:dyDescent="0.3">
      <c r="A345" t="s">
        <v>357</v>
      </c>
      <c r="B345">
        <v>66</v>
      </c>
      <c r="C345" s="2" t="s">
        <v>1014</v>
      </c>
      <c r="D345" s="2" t="s">
        <v>1021</v>
      </c>
      <c r="E345" s="2" t="s">
        <v>1022</v>
      </c>
      <c r="F345" s="1">
        <v>46047</v>
      </c>
      <c r="G345" s="1">
        <v>46058</v>
      </c>
      <c r="H345" s="2">
        <v>11</v>
      </c>
      <c r="I345" s="2">
        <v>87000</v>
      </c>
      <c r="J345" s="2" t="s">
        <v>1023</v>
      </c>
      <c r="K345" s="2" t="s">
        <v>1147</v>
      </c>
      <c r="L345" t="s">
        <v>1037</v>
      </c>
      <c r="M345" s="2" t="s">
        <v>1024</v>
      </c>
      <c r="N345">
        <v>4.5</v>
      </c>
    </row>
    <row r="346" spans="1:14" x14ac:dyDescent="0.3">
      <c r="A346" t="s">
        <v>358</v>
      </c>
      <c r="B346">
        <v>24</v>
      </c>
      <c r="C346" s="2" t="s">
        <v>1014</v>
      </c>
      <c r="D346" s="2" t="s">
        <v>1029</v>
      </c>
      <c r="E346" s="2" t="s">
        <v>1030</v>
      </c>
      <c r="F346" s="1">
        <v>46048</v>
      </c>
      <c r="G346" s="1">
        <v>46063</v>
      </c>
      <c r="H346" s="2">
        <v>15</v>
      </c>
      <c r="I346" s="2">
        <v>198000</v>
      </c>
      <c r="J346" s="2" t="s">
        <v>1023</v>
      </c>
      <c r="K346" s="2" t="s">
        <v>1033</v>
      </c>
      <c r="L346" t="s">
        <v>1018</v>
      </c>
      <c r="M346" s="2" t="s">
        <v>1024</v>
      </c>
      <c r="N346">
        <v>4.5999999999999996</v>
      </c>
    </row>
    <row r="347" spans="1:14" x14ac:dyDescent="0.3">
      <c r="A347" t="s">
        <v>359</v>
      </c>
      <c r="B347">
        <v>34</v>
      </c>
      <c r="C347" s="2" t="s">
        <v>1014</v>
      </c>
      <c r="D347" s="2" t="s">
        <v>1021</v>
      </c>
      <c r="E347" s="2" t="s">
        <v>1022</v>
      </c>
      <c r="F347" s="1">
        <v>46049</v>
      </c>
      <c r="G347" s="1">
        <v>46068</v>
      </c>
      <c r="H347" s="2">
        <v>19</v>
      </c>
      <c r="I347" s="2">
        <v>278000</v>
      </c>
      <c r="J347" s="2" t="s">
        <v>1023</v>
      </c>
      <c r="K347" s="2" t="s">
        <v>1147</v>
      </c>
      <c r="L347" t="s">
        <v>1037</v>
      </c>
      <c r="M347" s="2" t="s">
        <v>1038</v>
      </c>
      <c r="N347">
        <v>4.7</v>
      </c>
    </row>
    <row r="348" spans="1:14" x14ac:dyDescent="0.3">
      <c r="A348" t="s">
        <v>360</v>
      </c>
      <c r="B348">
        <v>24</v>
      </c>
      <c r="C348" s="2" t="s">
        <v>1020</v>
      </c>
      <c r="D348" s="2" t="s">
        <v>1015</v>
      </c>
      <c r="E348" s="2" t="s">
        <v>1016</v>
      </c>
      <c r="F348" s="1">
        <v>46050</v>
      </c>
      <c r="G348" s="1">
        <v>46069</v>
      </c>
      <c r="H348" s="2">
        <v>19</v>
      </c>
      <c r="I348" s="2">
        <v>350000</v>
      </c>
      <c r="J348" s="2" t="s">
        <v>1023</v>
      </c>
      <c r="K348" s="2" t="s">
        <v>1052</v>
      </c>
      <c r="L348" t="s">
        <v>1037</v>
      </c>
      <c r="M348" s="2" t="s">
        <v>1019</v>
      </c>
      <c r="N348">
        <v>4.8</v>
      </c>
    </row>
    <row r="349" spans="1:14" x14ac:dyDescent="0.3">
      <c r="A349" t="s">
        <v>361</v>
      </c>
      <c r="B349">
        <v>78</v>
      </c>
      <c r="C349" s="2" t="s">
        <v>1020</v>
      </c>
      <c r="D349" s="2" t="s">
        <v>1015</v>
      </c>
      <c r="E349" s="2" t="s">
        <v>1148</v>
      </c>
      <c r="F349" s="1">
        <v>46051</v>
      </c>
      <c r="G349" s="1">
        <v>46073</v>
      </c>
      <c r="H349" s="2">
        <v>22</v>
      </c>
      <c r="I349" s="2">
        <v>450000</v>
      </c>
      <c r="J349" s="2" t="s">
        <v>1027</v>
      </c>
      <c r="K349" s="2" t="s">
        <v>1052</v>
      </c>
      <c r="L349" t="s">
        <v>1037</v>
      </c>
      <c r="M349" s="2" t="s">
        <v>1019</v>
      </c>
      <c r="N349">
        <v>4.8</v>
      </c>
    </row>
    <row r="350" spans="1:14" x14ac:dyDescent="0.3">
      <c r="A350" t="s">
        <v>362</v>
      </c>
      <c r="B350">
        <v>24</v>
      </c>
      <c r="C350" s="2" t="s">
        <v>1020</v>
      </c>
      <c r="D350" s="2" t="s">
        <v>1048</v>
      </c>
      <c r="E350" s="2" t="s">
        <v>1063</v>
      </c>
      <c r="F350" s="1">
        <v>46052</v>
      </c>
      <c r="G350" s="1">
        <v>46063</v>
      </c>
      <c r="H350" s="2">
        <v>10</v>
      </c>
      <c r="I350" s="2">
        <v>398000</v>
      </c>
      <c r="J350" s="2" t="s">
        <v>1027</v>
      </c>
      <c r="K350" s="2" t="s">
        <v>1028</v>
      </c>
      <c r="L350" t="s">
        <v>1018</v>
      </c>
      <c r="M350" s="2" t="s">
        <v>1038</v>
      </c>
      <c r="N350">
        <v>4.9000000000000004</v>
      </c>
    </row>
    <row r="351" spans="1:14" x14ac:dyDescent="0.3">
      <c r="A351" t="s">
        <v>363</v>
      </c>
      <c r="B351">
        <v>87</v>
      </c>
      <c r="C351" s="2" t="s">
        <v>1020</v>
      </c>
      <c r="D351" s="2" t="s">
        <v>1041</v>
      </c>
      <c r="E351" s="2" t="s">
        <v>1042</v>
      </c>
      <c r="F351" s="1">
        <v>46053</v>
      </c>
      <c r="G351" s="1">
        <v>46064</v>
      </c>
      <c r="H351" s="2">
        <v>10</v>
      </c>
      <c r="I351" s="2">
        <v>200000</v>
      </c>
      <c r="J351" s="2" t="s">
        <v>1023</v>
      </c>
      <c r="K351" s="2" t="s">
        <v>1128</v>
      </c>
      <c r="L351" t="s">
        <v>1018</v>
      </c>
      <c r="M351" s="2" t="s">
        <v>1038</v>
      </c>
      <c r="N351">
        <v>5</v>
      </c>
    </row>
    <row r="352" spans="1:14" x14ac:dyDescent="0.3">
      <c r="A352" t="s">
        <v>364</v>
      </c>
      <c r="B352">
        <v>24</v>
      </c>
      <c r="C352" s="2" t="s">
        <v>1014</v>
      </c>
      <c r="D352" s="2" t="s">
        <v>1031</v>
      </c>
      <c r="E352" s="2" t="s">
        <v>1054</v>
      </c>
      <c r="F352" s="1">
        <v>46054</v>
      </c>
      <c r="G352" s="1">
        <v>46063</v>
      </c>
      <c r="H352" s="2">
        <v>9</v>
      </c>
      <c r="I352" s="2">
        <v>120000</v>
      </c>
      <c r="J352" s="2" t="s">
        <v>1027</v>
      </c>
      <c r="K352" s="2" t="s">
        <v>1161</v>
      </c>
      <c r="L352" t="s">
        <v>1037</v>
      </c>
      <c r="M352" s="2" t="s">
        <v>1038</v>
      </c>
      <c r="N352">
        <v>4</v>
      </c>
    </row>
    <row r="353" spans="1:14" x14ac:dyDescent="0.3">
      <c r="A353" t="s">
        <v>365</v>
      </c>
      <c r="B353">
        <v>33</v>
      </c>
      <c r="C353" s="2" t="s">
        <v>1014</v>
      </c>
      <c r="D353" s="2" t="s">
        <v>1035</v>
      </c>
      <c r="E353" s="2" t="s">
        <v>1074</v>
      </c>
      <c r="F353" s="1">
        <v>46055</v>
      </c>
      <c r="G353" s="1">
        <v>46064</v>
      </c>
      <c r="H353" s="2">
        <v>10</v>
      </c>
      <c r="I353" s="2">
        <v>230000</v>
      </c>
      <c r="J353" s="2" t="s">
        <v>1027</v>
      </c>
      <c r="K353" s="2" t="s">
        <v>1106</v>
      </c>
      <c r="L353" t="s">
        <v>1018</v>
      </c>
      <c r="M353" s="2" t="s">
        <v>1038</v>
      </c>
      <c r="N353">
        <v>3</v>
      </c>
    </row>
    <row r="354" spans="1:14" x14ac:dyDescent="0.3">
      <c r="A354" t="s">
        <v>366</v>
      </c>
      <c r="B354">
        <v>24</v>
      </c>
      <c r="C354" s="2" t="s">
        <v>1014</v>
      </c>
      <c r="D354" s="2" t="s">
        <v>1029</v>
      </c>
      <c r="E354" s="2" t="s">
        <v>1057</v>
      </c>
      <c r="F354" s="1">
        <v>46056</v>
      </c>
      <c r="G354" s="1">
        <v>46069</v>
      </c>
      <c r="H354" s="2">
        <v>13</v>
      </c>
      <c r="I354" s="2">
        <v>120000</v>
      </c>
      <c r="J354" s="2" t="s">
        <v>1023</v>
      </c>
      <c r="K354" s="2" t="s">
        <v>1033</v>
      </c>
      <c r="L354" t="s">
        <v>1037</v>
      </c>
      <c r="M354" s="2" t="s">
        <v>1024</v>
      </c>
      <c r="N354">
        <v>3.4</v>
      </c>
    </row>
    <row r="355" spans="1:14" x14ac:dyDescent="0.3">
      <c r="A355" t="s">
        <v>367</v>
      </c>
      <c r="B355">
        <v>65</v>
      </c>
      <c r="C355" s="2" t="s">
        <v>1014</v>
      </c>
      <c r="D355" s="2" t="s">
        <v>1124</v>
      </c>
      <c r="E355" s="2" t="s">
        <v>1135</v>
      </c>
      <c r="F355" s="1">
        <v>46057</v>
      </c>
      <c r="G355" s="1">
        <v>46063</v>
      </c>
      <c r="H355" s="2">
        <v>6</v>
      </c>
      <c r="I355" s="2">
        <v>340000</v>
      </c>
      <c r="J355" s="2" t="s">
        <v>1023</v>
      </c>
      <c r="K355" s="2" t="s">
        <v>1044</v>
      </c>
      <c r="L355" t="s">
        <v>1018</v>
      </c>
      <c r="M355" s="2" t="s">
        <v>1038</v>
      </c>
      <c r="N355">
        <v>3.5</v>
      </c>
    </row>
    <row r="356" spans="1:14" x14ac:dyDescent="0.3">
      <c r="A356" t="s">
        <v>368</v>
      </c>
      <c r="B356">
        <v>24</v>
      </c>
      <c r="C356" s="2" t="s">
        <v>1014</v>
      </c>
      <c r="D356" s="2" t="s">
        <v>1029</v>
      </c>
      <c r="E356" s="2" t="s">
        <v>1151</v>
      </c>
      <c r="F356" s="1">
        <v>46058</v>
      </c>
      <c r="G356" s="1">
        <v>46062</v>
      </c>
      <c r="H356" s="2">
        <v>4</v>
      </c>
      <c r="I356" s="2">
        <v>120000</v>
      </c>
      <c r="J356" s="2" t="s">
        <v>1027</v>
      </c>
      <c r="K356" s="2" t="s">
        <v>1033</v>
      </c>
      <c r="L356" t="s">
        <v>1018</v>
      </c>
      <c r="M356" s="2" t="s">
        <v>1038</v>
      </c>
      <c r="N356">
        <v>3.6</v>
      </c>
    </row>
    <row r="357" spans="1:14" x14ac:dyDescent="0.3">
      <c r="A357" t="s">
        <v>369</v>
      </c>
      <c r="B357">
        <v>24</v>
      </c>
      <c r="C357" s="2" t="s">
        <v>1020</v>
      </c>
      <c r="D357" s="2" t="s">
        <v>1021</v>
      </c>
      <c r="E357" s="2" t="s">
        <v>1022</v>
      </c>
      <c r="F357" s="1">
        <v>46059</v>
      </c>
      <c r="G357" s="1">
        <v>46068</v>
      </c>
      <c r="H357" s="2">
        <v>9</v>
      </c>
      <c r="I357" s="2">
        <v>130000</v>
      </c>
      <c r="J357" s="2" t="s">
        <v>1027</v>
      </c>
      <c r="K357" s="2" t="s">
        <v>1147</v>
      </c>
      <c r="L357" t="s">
        <v>1018</v>
      </c>
      <c r="M357" s="2" t="s">
        <v>1024</v>
      </c>
      <c r="N357">
        <v>3.7</v>
      </c>
    </row>
    <row r="358" spans="1:14" x14ac:dyDescent="0.3">
      <c r="A358" t="s">
        <v>370</v>
      </c>
      <c r="B358">
        <v>45</v>
      </c>
      <c r="C358" s="2" t="s">
        <v>1014</v>
      </c>
      <c r="D358" s="2" t="s">
        <v>1035</v>
      </c>
      <c r="E358" s="2" t="s">
        <v>1074</v>
      </c>
      <c r="F358" s="1">
        <v>45695</v>
      </c>
      <c r="G358" s="1">
        <v>46072</v>
      </c>
      <c r="H358" s="2">
        <v>12</v>
      </c>
      <c r="I358" s="2">
        <v>78000</v>
      </c>
      <c r="J358" s="2" t="s">
        <v>1023</v>
      </c>
      <c r="K358" s="2" t="s">
        <v>1106</v>
      </c>
      <c r="L358" t="s">
        <v>1037</v>
      </c>
      <c r="M358" s="2" t="s">
        <v>1024</v>
      </c>
      <c r="N358">
        <v>3.8</v>
      </c>
    </row>
    <row r="359" spans="1:14" x14ac:dyDescent="0.3">
      <c r="A359" t="s">
        <v>371</v>
      </c>
      <c r="B359">
        <v>67</v>
      </c>
      <c r="C359" s="2" t="s">
        <v>1014</v>
      </c>
      <c r="D359" s="2" t="s">
        <v>1025</v>
      </c>
      <c r="E359" s="2" t="s">
        <v>1062</v>
      </c>
      <c r="F359" s="1">
        <v>46061</v>
      </c>
      <c r="G359" s="1">
        <v>46073</v>
      </c>
      <c r="H359" s="2">
        <v>12</v>
      </c>
      <c r="I359" s="2">
        <v>98000</v>
      </c>
      <c r="J359" s="2" t="s">
        <v>1023</v>
      </c>
      <c r="K359" s="2" t="s">
        <v>1046</v>
      </c>
      <c r="L359" t="s">
        <v>1018</v>
      </c>
      <c r="M359" s="2" t="s">
        <v>1024</v>
      </c>
      <c r="N359">
        <v>3.9</v>
      </c>
    </row>
    <row r="360" spans="1:14" x14ac:dyDescent="0.3">
      <c r="A360" t="s">
        <v>372</v>
      </c>
      <c r="B360">
        <v>24</v>
      </c>
      <c r="C360" s="2" t="s">
        <v>1014</v>
      </c>
      <c r="D360" s="2" t="s">
        <v>1031</v>
      </c>
      <c r="E360" s="2" t="s">
        <v>1054</v>
      </c>
      <c r="F360" s="1">
        <v>46062</v>
      </c>
      <c r="G360" s="1">
        <v>46072</v>
      </c>
      <c r="H360" s="2">
        <v>10</v>
      </c>
      <c r="I360" s="2">
        <v>100000</v>
      </c>
      <c r="J360" s="2" t="s">
        <v>1023</v>
      </c>
      <c r="K360" s="2" t="s">
        <v>1161</v>
      </c>
      <c r="L360" t="s">
        <v>1037</v>
      </c>
      <c r="M360" s="2" t="s">
        <v>1024</v>
      </c>
      <c r="N360">
        <v>2.4</v>
      </c>
    </row>
    <row r="361" spans="1:14" x14ac:dyDescent="0.3">
      <c r="A361" t="s">
        <v>373</v>
      </c>
      <c r="B361">
        <v>55</v>
      </c>
      <c r="C361" s="2" t="s">
        <v>1020</v>
      </c>
      <c r="D361" s="2" t="s">
        <v>1025</v>
      </c>
      <c r="E361" s="2" t="s">
        <v>1136</v>
      </c>
      <c r="F361" s="1">
        <v>46063</v>
      </c>
      <c r="G361" s="1">
        <v>46073</v>
      </c>
      <c r="H361" s="2">
        <v>10</v>
      </c>
      <c r="I361" s="2">
        <v>120000</v>
      </c>
      <c r="J361" s="2" t="s">
        <v>1023</v>
      </c>
      <c r="K361" s="2" t="s">
        <v>1046</v>
      </c>
      <c r="L361" t="s">
        <v>1018</v>
      </c>
      <c r="M361" s="2" t="s">
        <v>1024</v>
      </c>
      <c r="N361">
        <v>3</v>
      </c>
    </row>
    <row r="362" spans="1:14" x14ac:dyDescent="0.3">
      <c r="A362" t="s">
        <v>374</v>
      </c>
      <c r="B362">
        <v>24</v>
      </c>
      <c r="C362" s="2" t="s">
        <v>1020</v>
      </c>
      <c r="D362" s="2" t="s">
        <v>1031</v>
      </c>
      <c r="E362" s="2" t="s">
        <v>1144</v>
      </c>
      <c r="F362" s="1">
        <v>46064</v>
      </c>
      <c r="G362" s="1">
        <v>46074</v>
      </c>
      <c r="H362" s="2">
        <v>10</v>
      </c>
      <c r="I362" s="2">
        <v>130000</v>
      </c>
      <c r="J362" s="2" t="s">
        <v>1023</v>
      </c>
      <c r="K362" s="2" t="s">
        <v>1161</v>
      </c>
      <c r="L362" t="s">
        <v>1037</v>
      </c>
      <c r="M362" s="2" t="s">
        <v>1024</v>
      </c>
      <c r="N362">
        <v>3</v>
      </c>
    </row>
    <row r="363" spans="1:14" x14ac:dyDescent="0.3">
      <c r="A363" t="s">
        <v>375</v>
      </c>
      <c r="B363">
        <v>56</v>
      </c>
      <c r="C363" s="2" t="s">
        <v>1020</v>
      </c>
      <c r="D363" s="2" t="s">
        <v>1048</v>
      </c>
      <c r="E363" s="2" t="s">
        <v>1058</v>
      </c>
      <c r="F363" s="1">
        <v>46065</v>
      </c>
      <c r="G363" s="1">
        <v>46074</v>
      </c>
      <c r="H363" s="2">
        <v>9</v>
      </c>
      <c r="I363" s="2">
        <v>160000</v>
      </c>
      <c r="J363" s="2" t="s">
        <v>1017</v>
      </c>
      <c r="K363" s="2" t="s">
        <v>1028</v>
      </c>
      <c r="L363" t="s">
        <v>1037</v>
      </c>
      <c r="M363" s="2" t="s">
        <v>1038</v>
      </c>
      <c r="N363">
        <v>4</v>
      </c>
    </row>
    <row r="364" spans="1:14" x14ac:dyDescent="0.3">
      <c r="A364" t="s">
        <v>376</v>
      </c>
      <c r="B364">
        <v>88</v>
      </c>
      <c r="C364" s="2" t="s">
        <v>1014</v>
      </c>
      <c r="D364" s="2" t="s">
        <v>1021</v>
      </c>
      <c r="E364" s="2" t="s">
        <v>1080</v>
      </c>
      <c r="F364" s="1">
        <v>46066</v>
      </c>
      <c r="G364" s="1">
        <v>46072</v>
      </c>
      <c r="H364" s="2">
        <v>6</v>
      </c>
      <c r="I364" s="2">
        <v>170000</v>
      </c>
      <c r="J364" s="2" t="s">
        <v>1017</v>
      </c>
      <c r="K364" s="2" t="s">
        <v>1147</v>
      </c>
      <c r="L364" t="s">
        <v>1037</v>
      </c>
      <c r="M364" s="2" t="s">
        <v>1038</v>
      </c>
      <c r="N364">
        <v>4</v>
      </c>
    </row>
    <row r="365" spans="1:14" x14ac:dyDescent="0.3">
      <c r="A365" t="s">
        <v>377</v>
      </c>
      <c r="B365">
        <v>89</v>
      </c>
      <c r="C365" s="2" t="s">
        <v>1014</v>
      </c>
      <c r="D365" s="2" t="s">
        <v>1035</v>
      </c>
      <c r="E365" s="2" t="s">
        <v>1115</v>
      </c>
      <c r="F365" s="1">
        <v>46067</v>
      </c>
      <c r="G365" s="1">
        <v>46077</v>
      </c>
      <c r="H365" s="2">
        <v>10</v>
      </c>
      <c r="I365" s="2">
        <v>189000</v>
      </c>
      <c r="J365" s="2" t="s">
        <v>1017</v>
      </c>
      <c r="K365" s="2" t="s">
        <v>1106</v>
      </c>
      <c r="L365" t="s">
        <v>1018</v>
      </c>
      <c r="M365" s="2" t="s">
        <v>1024</v>
      </c>
      <c r="N365">
        <v>5</v>
      </c>
    </row>
    <row r="366" spans="1:14" x14ac:dyDescent="0.3">
      <c r="A366" t="s">
        <v>378</v>
      </c>
      <c r="B366">
        <v>24</v>
      </c>
      <c r="C366" s="2" t="s">
        <v>1014</v>
      </c>
      <c r="D366" s="2" t="s">
        <v>1031</v>
      </c>
      <c r="E366" s="2" t="s">
        <v>1054</v>
      </c>
      <c r="F366" s="1">
        <v>46068</v>
      </c>
      <c r="G366" s="1">
        <v>46073</v>
      </c>
      <c r="H366" s="2">
        <v>5</v>
      </c>
      <c r="I366" s="2">
        <v>178000</v>
      </c>
      <c r="J366" s="2" t="s">
        <v>1017</v>
      </c>
      <c r="K366" s="2" t="s">
        <v>1161</v>
      </c>
      <c r="L366" t="s">
        <v>1018</v>
      </c>
      <c r="M366" s="2" t="s">
        <v>1019</v>
      </c>
      <c r="N366">
        <v>4</v>
      </c>
    </row>
    <row r="367" spans="1:14" x14ac:dyDescent="0.3">
      <c r="A367" t="s">
        <v>379</v>
      </c>
      <c r="B367">
        <v>35</v>
      </c>
      <c r="C367" s="2" t="s">
        <v>1020</v>
      </c>
      <c r="D367" s="2" t="s">
        <v>1031</v>
      </c>
      <c r="E367" s="2" t="s">
        <v>1145</v>
      </c>
      <c r="F367" s="1">
        <v>46069</v>
      </c>
      <c r="G367" s="1">
        <v>46073</v>
      </c>
      <c r="H367" s="2">
        <v>4</v>
      </c>
      <c r="I367" s="2">
        <v>120000</v>
      </c>
      <c r="J367" s="2" t="s">
        <v>1017</v>
      </c>
      <c r="K367" s="2" t="s">
        <v>1161</v>
      </c>
      <c r="L367" t="s">
        <v>1037</v>
      </c>
      <c r="M367" s="2" t="s">
        <v>1019</v>
      </c>
      <c r="N367">
        <v>3</v>
      </c>
    </row>
    <row r="368" spans="1:14" x14ac:dyDescent="0.3">
      <c r="A368" t="s">
        <v>380</v>
      </c>
      <c r="B368">
        <v>29</v>
      </c>
      <c r="C368" s="2" t="s">
        <v>1020</v>
      </c>
      <c r="D368" s="2" t="s">
        <v>1048</v>
      </c>
      <c r="E368" s="2" t="s">
        <v>1063</v>
      </c>
      <c r="F368" s="1">
        <v>46070</v>
      </c>
      <c r="G368" s="1">
        <v>46074</v>
      </c>
      <c r="H368" s="2">
        <v>4</v>
      </c>
      <c r="I368" s="2">
        <v>11000</v>
      </c>
      <c r="J368" s="2" t="s">
        <v>1027</v>
      </c>
      <c r="K368" s="2" t="s">
        <v>1028</v>
      </c>
      <c r="L368" t="s">
        <v>1018</v>
      </c>
      <c r="M368" s="2" t="s">
        <v>1019</v>
      </c>
      <c r="N368">
        <v>5</v>
      </c>
    </row>
    <row r="369" spans="1:14" x14ac:dyDescent="0.3">
      <c r="A369" t="s">
        <v>381</v>
      </c>
      <c r="B369">
        <v>30</v>
      </c>
      <c r="C369" s="2" t="s">
        <v>1020</v>
      </c>
      <c r="D369" s="2" t="s">
        <v>1029</v>
      </c>
      <c r="E369" s="2" t="s">
        <v>1057</v>
      </c>
      <c r="F369" s="1">
        <v>46071</v>
      </c>
      <c r="G369" s="1">
        <v>46075</v>
      </c>
      <c r="H369" s="2">
        <v>4</v>
      </c>
      <c r="I369" s="2">
        <v>120000</v>
      </c>
      <c r="J369" s="2" t="s">
        <v>1027</v>
      </c>
      <c r="K369" s="2" t="s">
        <v>1033</v>
      </c>
      <c r="L369" t="s">
        <v>1037</v>
      </c>
      <c r="M369" s="2" t="s">
        <v>1019</v>
      </c>
      <c r="N369">
        <v>4</v>
      </c>
    </row>
    <row r="370" spans="1:14" x14ac:dyDescent="0.3">
      <c r="A370" t="s">
        <v>382</v>
      </c>
      <c r="B370">
        <v>87</v>
      </c>
      <c r="C370" s="2" t="s">
        <v>1020</v>
      </c>
      <c r="D370" s="2" t="s">
        <v>1021</v>
      </c>
      <c r="E370" s="2" t="s">
        <v>1149</v>
      </c>
      <c r="F370" s="1">
        <v>46072</v>
      </c>
      <c r="G370" s="1">
        <v>46081</v>
      </c>
      <c r="H370" s="2">
        <v>9</v>
      </c>
      <c r="I370" s="2">
        <v>150000</v>
      </c>
      <c r="J370" s="2" t="s">
        <v>1017</v>
      </c>
      <c r="K370" s="2" t="s">
        <v>1169</v>
      </c>
      <c r="L370" t="s">
        <v>1018</v>
      </c>
      <c r="M370" s="2" t="s">
        <v>1019</v>
      </c>
      <c r="N370">
        <v>3</v>
      </c>
    </row>
    <row r="371" spans="1:14" x14ac:dyDescent="0.3">
      <c r="A371" t="s">
        <v>383</v>
      </c>
      <c r="B371">
        <v>24</v>
      </c>
      <c r="C371" s="2" t="s">
        <v>1014</v>
      </c>
      <c r="D371" s="2" t="s">
        <v>1031</v>
      </c>
      <c r="E371" s="2" t="s">
        <v>1144</v>
      </c>
      <c r="F371" s="1">
        <v>46073</v>
      </c>
      <c r="G371" s="1">
        <v>46080</v>
      </c>
      <c r="H371" s="2">
        <v>7</v>
      </c>
      <c r="I371" s="2">
        <v>140000</v>
      </c>
      <c r="J371" s="2" t="s">
        <v>1027</v>
      </c>
      <c r="K371" s="2" t="s">
        <v>1161</v>
      </c>
      <c r="L371" t="s">
        <v>1018</v>
      </c>
      <c r="M371" s="2" t="s">
        <v>1019</v>
      </c>
      <c r="N371">
        <v>5</v>
      </c>
    </row>
    <row r="372" spans="1:14" x14ac:dyDescent="0.3">
      <c r="A372" t="s">
        <v>384</v>
      </c>
      <c r="B372">
        <v>13</v>
      </c>
      <c r="C372" s="2" t="s">
        <v>1014</v>
      </c>
      <c r="D372" s="2" t="s">
        <v>1041</v>
      </c>
      <c r="E372" s="2" t="s">
        <v>1042</v>
      </c>
      <c r="F372" s="1">
        <v>46074</v>
      </c>
      <c r="G372" s="1">
        <v>46078</v>
      </c>
      <c r="H372" s="2">
        <v>4</v>
      </c>
      <c r="I372" s="2">
        <v>130000</v>
      </c>
      <c r="J372" s="2" t="s">
        <v>1027</v>
      </c>
      <c r="K372" s="2" t="s">
        <v>1128</v>
      </c>
      <c r="L372" t="s">
        <v>1018</v>
      </c>
      <c r="M372" s="2" t="s">
        <v>1019</v>
      </c>
      <c r="N372">
        <v>4</v>
      </c>
    </row>
    <row r="373" spans="1:14" x14ac:dyDescent="0.3">
      <c r="A373" t="s">
        <v>385</v>
      </c>
      <c r="B373">
        <v>24</v>
      </c>
      <c r="C373" s="2" t="s">
        <v>1014</v>
      </c>
      <c r="D373" s="2" t="s">
        <v>1029</v>
      </c>
      <c r="E373" s="2" t="s">
        <v>1151</v>
      </c>
      <c r="F373" s="1">
        <v>46075</v>
      </c>
      <c r="G373" s="1">
        <v>46082</v>
      </c>
      <c r="H373" s="2">
        <v>7</v>
      </c>
      <c r="I373" s="2">
        <v>134000</v>
      </c>
      <c r="J373" s="2" t="s">
        <v>1017</v>
      </c>
      <c r="K373" s="2" t="s">
        <v>1033</v>
      </c>
      <c r="L373" t="s">
        <v>1037</v>
      </c>
      <c r="M373" s="2" t="s">
        <v>1038</v>
      </c>
      <c r="N373">
        <v>3</v>
      </c>
    </row>
    <row r="374" spans="1:14" x14ac:dyDescent="0.3">
      <c r="A374" t="s">
        <v>386</v>
      </c>
      <c r="B374">
        <v>90</v>
      </c>
      <c r="C374" s="2" t="s">
        <v>1020</v>
      </c>
      <c r="D374" s="2" t="s">
        <v>1025</v>
      </c>
      <c r="E374" s="2" t="s">
        <v>1152</v>
      </c>
      <c r="F374" s="1">
        <v>46076</v>
      </c>
      <c r="G374" s="1">
        <v>46081</v>
      </c>
      <c r="H374" s="2">
        <v>5</v>
      </c>
      <c r="I374" s="2">
        <v>120000</v>
      </c>
      <c r="J374" s="2" t="s">
        <v>1017</v>
      </c>
      <c r="K374" s="2" t="s">
        <v>1046</v>
      </c>
      <c r="L374" t="s">
        <v>1018</v>
      </c>
      <c r="M374" s="2" t="s">
        <v>1019</v>
      </c>
      <c r="N374">
        <v>2</v>
      </c>
    </row>
    <row r="375" spans="1:14" x14ac:dyDescent="0.3">
      <c r="A375" t="s">
        <v>387</v>
      </c>
      <c r="B375">
        <v>34</v>
      </c>
      <c r="C375" s="2" t="s">
        <v>1020</v>
      </c>
      <c r="D375" s="2" t="s">
        <v>1021</v>
      </c>
      <c r="E375" s="2" t="s">
        <v>1022</v>
      </c>
      <c r="F375" s="1">
        <v>46077</v>
      </c>
      <c r="G375" s="3">
        <v>46083</v>
      </c>
      <c r="H375" s="2">
        <v>6</v>
      </c>
      <c r="I375" s="2">
        <v>140000</v>
      </c>
      <c r="J375" s="2" t="s">
        <v>1027</v>
      </c>
      <c r="K375" s="2" t="s">
        <v>1147</v>
      </c>
      <c r="L375" t="s">
        <v>1037</v>
      </c>
      <c r="M375" s="2" t="s">
        <v>1019</v>
      </c>
      <c r="N375">
        <v>1</v>
      </c>
    </row>
    <row r="376" spans="1:14" x14ac:dyDescent="0.3">
      <c r="A376" t="s">
        <v>388</v>
      </c>
      <c r="B376">
        <v>24</v>
      </c>
      <c r="C376" s="2" t="s">
        <v>1020</v>
      </c>
      <c r="D376" s="2" t="s">
        <v>1124</v>
      </c>
      <c r="E376" s="2" t="s">
        <v>1125</v>
      </c>
      <c r="F376" s="1">
        <v>46078</v>
      </c>
      <c r="G376" s="1">
        <v>45719</v>
      </c>
      <c r="H376" s="2">
        <v>6</v>
      </c>
      <c r="I376" s="2">
        <v>150000</v>
      </c>
      <c r="J376" s="2" t="s">
        <v>1023</v>
      </c>
      <c r="K376" s="2" t="s">
        <v>1044</v>
      </c>
      <c r="L376" t="s">
        <v>1018</v>
      </c>
      <c r="M376" s="2" t="s">
        <v>1019</v>
      </c>
      <c r="N376">
        <v>2</v>
      </c>
    </row>
    <row r="377" spans="1:14" x14ac:dyDescent="0.3">
      <c r="A377" t="s">
        <v>389</v>
      </c>
      <c r="B377">
        <v>12</v>
      </c>
      <c r="C377" s="2" t="s">
        <v>1014</v>
      </c>
      <c r="D377" s="2" t="s">
        <v>1029</v>
      </c>
      <c r="E377" s="2" t="s">
        <v>1030</v>
      </c>
      <c r="F377" s="1">
        <v>46079</v>
      </c>
      <c r="G377" s="1">
        <v>46081</v>
      </c>
      <c r="H377" s="2">
        <v>2</v>
      </c>
      <c r="I377" s="2">
        <v>12000</v>
      </c>
      <c r="J377" s="2" t="s">
        <v>1027</v>
      </c>
      <c r="K377" s="2" t="s">
        <v>1033</v>
      </c>
      <c r="L377" t="s">
        <v>1037</v>
      </c>
      <c r="M377" s="2" t="s">
        <v>1019</v>
      </c>
      <c r="N377">
        <v>3</v>
      </c>
    </row>
    <row r="378" spans="1:14" x14ac:dyDescent="0.3">
      <c r="A378" t="s">
        <v>390</v>
      </c>
      <c r="B378">
        <v>24</v>
      </c>
      <c r="C378" s="2" t="s">
        <v>1014</v>
      </c>
      <c r="D378" s="2" t="s">
        <v>1025</v>
      </c>
      <c r="E378" s="2" t="s">
        <v>1026</v>
      </c>
      <c r="F378" s="1">
        <v>46080</v>
      </c>
      <c r="G378" s="1">
        <v>46082</v>
      </c>
      <c r="H378" s="2">
        <v>2</v>
      </c>
      <c r="I378" s="2">
        <v>10000</v>
      </c>
      <c r="J378" s="2" t="s">
        <v>1027</v>
      </c>
      <c r="K378" s="2" t="s">
        <v>1046</v>
      </c>
      <c r="L378" t="s">
        <v>1037</v>
      </c>
      <c r="M378" s="2" t="s">
        <v>1024</v>
      </c>
      <c r="N378">
        <v>4</v>
      </c>
    </row>
    <row r="379" spans="1:14" x14ac:dyDescent="0.3">
      <c r="A379" t="s">
        <v>391</v>
      </c>
      <c r="B379">
        <v>30</v>
      </c>
      <c r="C379" s="2" t="s">
        <v>1020</v>
      </c>
      <c r="D379" s="2" t="s">
        <v>1025</v>
      </c>
      <c r="E379" s="2" t="s">
        <v>1062</v>
      </c>
      <c r="F379" s="1">
        <v>46081</v>
      </c>
      <c r="G379" s="1">
        <v>46086</v>
      </c>
      <c r="H379" s="2">
        <v>5</v>
      </c>
      <c r="I379" s="2">
        <v>55000</v>
      </c>
      <c r="J379" s="2" t="s">
        <v>1023</v>
      </c>
      <c r="K379" s="2" t="s">
        <v>1046</v>
      </c>
      <c r="L379" t="s">
        <v>1037</v>
      </c>
      <c r="M379" s="2" t="s">
        <v>1019</v>
      </c>
      <c r="N379">
        <v>5</v>
      </c>
    </row>
    <row r="380" spans="1:14" x14ac:dyDescent="0.3">
      <c r="A380" t="s">
        <v>392</v>
      </c>
      <c r="B380">
        <v>65</v>
      </c>
      <c r="C380" s="2" t="s">
        <v>1014</v>
      </c>
      <c r="D380" s="2" t="s">
        <v>1124</v>
      </c>
      <c r="E380" s="2" t="s">
        <v>1135</v>
      </c>
      <c r="F380" s="1">
        <v>46082</v>
      </c>
      <c r="G380" s="1">
        <v>46090</v>
      </c>
      <c r="H380" s="2">
        <v>8</v>
      </c>
      <c r="I380" s="2">
        <v>65000</v>
      </c>
      <c r="J380" s="2" t="s">
        <v>1027</v>
      </c>
      <c r="K380" s="2" t="s">
        <v>1044</v>
      </c>
      <c r="L380" t="s">
        <v>1018</v>
      </c>
      <c r="M380" s="2" t="s">
        <v>1024</v>
      </c>
      <c r="N380">
        <v>4</v>
      </c>
    </row>
    <row r="381" spans="1:14" x14ac:dyDescent="0.3">
      <c r="A381" t="s">
        <v>393</v>
      </c>
      <c r="B381">
        <v>24</v>
      </c>
      <c r="C381" s="2" t="s">
        <v>1020</v>
      </c>
      <c r="D381" s="2" t="s">
        <v>1039</v>
      </c>
      <c r="E381" s="2" t="s">
        <v>1137</v>
      </c>
      <c r="F381" s="1">
        <v>46083</v>
      </c>
      <c r="G381" s="1">
        <v>46089</v>
      </c>
      <c r="H381" s="2">
        <v>6</v>
      </c>
      <c r="I381" s="2">
        <v>78000</v>
      </c>
      <c r="J381" s="2" t="s">
        <v>1027</v>
      </c>
      <c r="K381" s="2" t="s">
        <v>1059</v>
      </c>
      <c r="L381" t="s">
        <v>1018</v>
      </c>
      <c r="M381" s="2" t="s">
        <v>1038</v>
      </c>
      <c r="N381">
        <v>3</v>
      </c>
    </row>
    <row r="382" spans="1:14" x14ac:dyDescent="0.3">
      <c r="A382" t="s">
        <v>394</v>
      </c>
      <c r="B382">
        <v>33</v>
      </c>
      <c r="C382" s="2" t="s">
        <v>1020</v>
      </c>
      <c r="D382" s="2" t="s">
        <v>1021</v>
      </c>
      <c r="E382" s="2" t="s">
        <v>1069</v>
      </c>
      <c r="F382" s="1">
        <v>46084</v>
      </c>
      <c r="G382" s="1">
        <v>46091</v>
      </c>
      <c r="H382" s="2">
        <v>7</v>
      </c>
      <c r="I382" s="2">
        <v>98000</v>
      </c>
      <c r="J382" s="2" t="s">
        <v>1023</v>
      </c>
      <c r="K382" s="2" t="s">
        <v>1147</v>
      </c>
      <c r="L382" t="s">
        <v>1037</v>
      </c>
      <c r="M382" s="2" t="s">
        <v>1024</v>
      </c>
      <c r="N382">
        <v>2</v>
      </c>
    </row>
    <row r="383" spans="1:14" x14ac:dyDescent="0.3">
      <c r="A383" t="s">
        <v>395</v>
      </c>
      <c r="B383">
        <v>78</v>
      </c>
      <c r="C383" s="2" t="s">
        <v>1020</v>
      </c>
      <c r="D383" s="2" t="s">
        <v>1021</v>
      </c>
      <c r="E383" s="2" t="s">
        <v>1022</v>
      </c>
      <c r="F383" s="1">
        <v>46085</v>
      </c>
      <c r="G383" s="1">
        <v>46096</v>
      </c>
      <c r="H383" s="2">
        <v>11</v>
      </c>
      <c r="I383" s="2">
        <v>150000</v>
      </c>
      <c r="J383" s="2" t="s">
        <v>1023</v>
      </c>
      <c r="K383" s="2" t="s">
        <v>1147</v>
      </c>
      <c r="L383" t="s">
        <v>1018</v>
      </c>
      <c r="M383" s="2" t="s">
        <v>1038</v>
      </c>
      <c r="N383">
        <v>1</v>
      </c>
    </row>
    <row r="384" spans="1:14" x14ac:dyDescent="0.3">
      <c r="A384" t="s">
        <v>396</v>
      </c>
      <c r="B384">
        <v>76</v>
      </c>
      <c r="C384" s="2" t="s">
        <v>1014</v>
      </c>
      <c r="D384" s="2" t="s">
        <v>1025</v>
      </c>
      <c r="E384" s="2" t="s">
        <v>1091</v>
      </c>
      <c r="F384" s="1">
        <v>46086</v>
      </c>
      <c r="G384" s="1">
        <v>46101</v>
      </c>
      <c r="H384" s="2">
        <v>15</v>
      </c>
      <c r="I384" s="2">
        <v>250000</v>
      </c>
      <c r="J384" s="2" t="s">
        <v>1027</v>
      </c>
      <c r="K384" s="2" t="s">
        <v>1046</v>
      </c>
      <c r="L384" t="s">
        <v>1037</v>
      </c>
      <c r="M384" s="2" t="s">
        <v>1024</v>
      </c>
      <c r="N384">
        <v>2</v>
      </c>
    </row>
    <row r="385" spans="1:14" x14ac:dyDescent="0.3">
      <c r="A385" t="s">
        <v>397</v>
      </c>
      <c r="B385">
        <v>24</v>
      </c>
      <c r="C385" s="2" t="s">
        <v>1014</v>
      </c>
      <c r="D385" s="2" t="s">
        <v>1031</v>
      </c>
      <c r="E385" s="2" t="s">
        <v>1034</v>
      </c>
      <c r="F385" s="1">
        <v>46087</v>
      </c>
      <c r="G385" s="1">
        <v>46091</v>
      </c>
      <c r="H385" s="2">
        <v>4</v>
      </c>
      <c r="I385" s="2">
        <v>150000</v>
      </c>
      <c r="J385" s="2" t="s">
        <v>1017</v>
      </c>
      <c r="K385" s="2" t="s">
        <v>1161</v>
      </c>
      <c r="L385" t="s">
        <v>1018</v>
      </c>
      <c r="M385" s="2" t="s">
        <v>1038</v>
      </c>
      <c r="N385">
        <v>3</v>
      </c>
    </row>
    <row r="386" spans="1:14" x14ac:dyDescent="0.3">
      <c r="A386" t="s">
        <v>398</v>
      </c>
      <c r="B386">
        <v>65</v>
      </c>
      <c r="C386" s="2" t="s">
        <v>1014</v>
      </c>
      <c r="D386" s="2" t="s">
        <v>1039</v>
      </c>
      <c r="E386" s="2" t="s">
        <v>1102</v>
      </c>
      <c r="F386" s="1">
        <v>46088</v>
      </c>
      <c r="G386" s="1">
        <v>46096</v>
      </c>
      <c r="H386" s="2">
        <v>8</v>
      </c>
      <c r="I386" s="2">
        <v>200000</v>
      </c>
      <c r="J386" s="2" t="s">
        <v>1017</v>
      </c>
      <c r="K386" s="2" t="s">
        <v>1059</v>
      </c>
      <c r="L386" t="s">
        <v>1018</v>
      </c>
      <c r="M386" s="2" t="s">
        <v>1038</v>
      </c>
      <c r="N386">
        <v>4</v>
      </c>
    </row>
    <row r="387" spans="1:14" x14ac:dyDescent="0.3">
      <c r="A387" t="s">
        <v>399</v>
      </c>
      <c r="B387">
        <v>24</v>
      </c>
      <c r="C387" s="2" t="s">
        <v>1020</v>
      </c>
      <c r="D387" s="2" t="s">
        <v>1124</v>
      </c>
      <c r="E387" s="2" t="s">
        <v>1125</v>
      </c>
      <c r="F387" s="1">
        <v>46089</v>
      </c>
      <c r="G387" s="1">
        <v>46100</v>
      </c>
      <c r="H387" s="2">
        <v>11</v>
      </c>
      <c r="I387" s="2">
        <v>140000</v>
      </c>
      <c r="J387" s="2" t="s">
        <v>1017</v>
      </c>
      <c r="K387" s="2" t="s">
        <v>1044</v>
      </c>
      <c r="L387" t="s">
        <v>1018</v>
      </c>
      <c r="M387" s="2" t="s">
        <v>1024</v>
      </c>
      <c r="N387">
        <v>5</v>
      </c>
    </row>
    <row r="388" spans="1:14" x14ac:dyDescent="0.3">
      <c r="A388" t="s">
        <v>400</v>
      </c>
      <c r="B388">
        <v>54</v>
      </c>
      <c r="C388" s="2" t="s">
        <v>1020</v>
      </c>
      <c r="D388" s="2" t="s">
        <v>1015</v>
      </c>
      <c r="E388" s="2" t="s">
        <v>1016</v>
      </c>
      <c r="F388" s="1">
        <v>46090</v>
      </c>
      <c r="G388" s="1">
        <v>46096</v>
      </c>
      <c r="H388" s="2">
        <v>6</v>
      </c>
      <c r="I388" s="2">
        <v>120000</v>
      </c>
      <c r="J388" s="2" t="s">
        <v>1017</v>
      </c>
      <c r="K388" s="2" t="s">
        <v>1052</v>
      </c>
      <c r="L388" t="s">
        <v>1037</v>
      </c>
      <c r="M388" s="2" t="s">
        <v>1024</v>
      </c>
      <c r="N388">
        <v>4</v>
      </c>
    </row>
    <row r="389" spans="1:14" x14ac:dyDescent="0.3">
      <c r="A389" t="s">
        <v>401</v>
      </c>
      <c r="B389">
        <v>43</v>
      </c>
      <c r="C389" s="2" t="s">
        <v>1014</v>
      </c>
      <c r="D389" s="2" t="s">
        <v>1015</v>
      </c>
      <c r="E389" s="2" t="s">
        <v>1016</v>
      </c>
      <c r="F389" s="1">
        <v>46091</v>
      </c>
      <c r="G389" s="1">
        <v>46095</v>
      </c>
      <c r="H389" s="2">
        <v>4</v>
      </c>
      <c r="I389" s="2">
        <v>110000</v>
      </c>
      <c r="J389" s="2" t="s">
        <v>1017</v>
      </c>
      <c r="K389" s="2" t="s">
        <v>1052</v>
      </c>
      <c r="L389" t="s">
        <v>1018</v>
      </c>
      <c r="M389" s="2" t="s">
        <v>1038</v>
      </c>
      <c r="N389">
        <v>3</v>
      </c>
    </row>
    <row r="390" spans="1:14" x14ac:dyDescent="0.3">
      <c r="A390" t="s">
        <v>402</v>
      </c>
      <c r="B390">
        <v>32</v>
      </c>
      <c r="C390" s="2" t="s">
        <v>1014</v>
      </c>
      <c r="D390" s="2" t="s">
        <v>1124</v>
      </c>
      <c r="E390" s="2" t="s">
        <v>1135</v>
      </c>
      <c r="F390" s="1">
        <v>46092</v>
      </c>
      <c r="G390" s="1">
        <v>46101</v>
      </c>
      <c r="H390" s="2">
        <v>9</v>
      </c>
      <c r="I390" s="2">
        <v>99000</v>
      </c>
      <c r="J390" s="2" t="s">
        <v>1023</v>
      </c>
      <c r="K390" s="2" t="s">
        <v>1044</v>
      </c>
      <c r="L390" t="s">
        <v>1037</v>
      </c>
      <c r="M390" s="2" t="s">
        <v>1038</v>
      </c>
      <c r="N390">
        <v>2</v>
      </c>
    </row>
    <row r="391" spans="1:14" x14ac:dyDescent="0.3">
      <c r="A391" t="s">
        <v>403</v>
      </c>
      <c r="B391">
        <v>21</v>
      </c>
      <c r="C391" s="2" t="s">
        <v>1020</v>
      </c>
      <c r="D391" s="2" t="s">
        <v>1048</v>
      </c>
      <c r="E391" s="2" t="s">
        <v>1058</v>
      </c>
      <c r="F391" s="1">
        <v>46093</v>
      </c>
      <c r="G391" s="1">
        <v>46102</v>
      </c>
      <c r="H391" s="2">
        <v>9</v>
      </c>
      <c r="I391" s="2">
        <v>87000</v>
      </c>
      <c r="J391" s="2" t="s">
        <v>1023</v>
      </c>
      <c r="K391" s="2" t="s">
        <v>1028</v>
      </c>
      <c r="L391" t="s">
        <v>1018</v>
      </c>
      <c r="M391" s="2" t="s">
        <v>1038</v>
      </c>
      <c r="N391">
        <v>1</v>
      </c>
    </row>
    <row r="392" spans="1:14" x14ac:dyDescent="0.3">
      <c r="A392" t="s">
        <v>404</v>
      </c>
      <c r="B392">
        <v>21</v>
      </c>
      <c r="C392" s="2" t="s">
        <v>1014</v>
      </c>
      <c r="D392" s="2" t="s">
        <v>1015</v>
      </c>
      <c r="E392" s="2" t="s">
        <v>1016</v>
      </c>
      <c r="F392" s="1">
        <v>46094</v>
      </c>
      <c r="G392" s="1">
        <v>46101</v>
      </c>
      <c r="H392" s="2">
        <v>7</v>
      </c>
      <c r="I392" s="2">
        <v>76000</v>
      </c>
      <c r="J392" s="2" t="s">
        <v>1027</v>
      </c>
      <c r="K392" s="2" t="s">
        <v>1052</v>
      </c>
      <c r="L392" t="s">
        <v>1037</v>
      </c>
      <c r="M392" s="2" t="s">
        <v>1024</v>
      </c>
      <c r="N392">
        <v>2</v>
      </c>
    </row>
    <row r="393" spans="1:14" x14ac:dyDescent="0.3">
      <c r="A393" t="s">
        <v>405</v>
      </c>
      <c r="B393">
        <v>98</v>
      </c>
      <c r="C393" s="2" t="s">
        <v>1020</v>
      </c>
      <c r="D393" s="2" t="s">
        <v>1025</v>
      </c>
      <c r="E393" s="2" t="s">
        <v>1062</v>
      </c>
      <c r="F393" s="1">
        <v>46095</v>
      </c>
      <c r="G393" s="1">
        <v>46106</v>
      </c>
      <c r="H393" s="2">
        <v>11</v>
      </c>
      <c r="I393" s="2">
        <v>99000</v>
      </c>
      <c r="J393" s="2" t="s">
        <v>1027</v>
      </c>
      <c r="K393" s="2" t="s">
        <v>1046</v>
      </c>
      <c r="L393" t="s">
        <v>1037</v>
      </c>
      <c r="M393" s="2" t="s">
        <v>1024</v>
      </c>
      <c r="N393">
        <v>3</v>
      </c>
    </row>
    <row r="394" spans="1:14" x14ac:dyDescent="0.3">
      <c r="A394" t="s">
        <v>406</v>
      </c>
      <c r="B394">
        <v>87</v>
      </c>
      <c r="C394" s="2" t="s">
        <v>1020</v>
      </c>
      <c r="D394" s="2" t="s">
        <v>1021</v>
      </c>
      <c r="E394" s="2" t="s">
        <v>1149</v>
      </c>
      <c r="F394" s="1">
        <v>46096</v>
      </c>
      <c r="G394" s="1">
        <v>46105</v>
      </c>
      <c r="H394" s="2">
        <v>9</v>
      </c>
      <c r="I394" s="2">
        <v>110000</v>
      </c>
      <c r="J394" s="2" t="s">
        <v>1023</v>
      </c>
      <c r="K394" s="2" t="s">
        <v>1147</v>
      </c>
      <c r="L394" t="s">
        <v>1037</v>
      </c>
      <c r="M394" s="2" t="s">
        <v>1038</v>
      </c>
      <c r="N394">
        <v>4</v>
      </c>
    </row>
    <row r="395" spans="1:14" x14ac:dyDescent="0.3">
      <c r="A395" t="s">
        <v>407</v>
      </c>
      <c r="B395">
        <v>24</v>
      </c>
      <c r="C395" s="2" t="s">
        <v>1014</v>
      </c>
      <c r="D395" s="2" t="s">
        <v>1029</v>
      </c>
      <c r="E395" s="2" t="s">
        <v>1030</v>
      </c>
      <c r="F395" s="1">
        <v>46097</v>
      </c>
      <c r="G395" s="1">
        <v>46102</v>
      </c>
      <c r="H395" s="2">
        <v>5</v>
      </c>
      <c r="I395" s="2">
        <v>98000</v>
      </c>
      <c r="J395" s="2" t="s">
        <v>1027</v>
      </c>
      <c r="K395" s="2" t="s">
        <v>1033</v>
      </c>
      <c r="L395" t="s">
        <v>1018</v>
      </c>
      <c r="M395" s="2" t="s">
        <v>1024</v>
      </c>
      <c r="N395">
        <v>5</v>
      </c>
    </row>
    <row r="396" spans="1:14" x14ac:dyDescent="0.3">
      <c r="A396" t="s">
        <v>408</v>
      </c>
      <c r="B396">
        <v>76</v>
      </c>
      <c r="C396" s="2" t="s">
        <v>1014</v>
      </c>
      <c r="D396" s="2" t="s">
        <v>1021</v>
      </c>
      <c r="E396" s="2" t="s">
        <v>1080</v>
      </c>
      <c r="F396" s="1">
        <v>46098</v>
      </c>
      <c r="G396" s="1">
        <v>46106</v>
      </c>
      <c r="H396" s="2">
        <v>8</v>
      </c>
      <c r="I396" s="2">
        <v>87000</v>
      </c>
      <c r="J396" s="2" t="s">
        <v>1023</v>
      </c>
      <c r="K396" s="2" t="s">
        <v>1147</v>
      </c>
      <c r="L396" t="s">
        <v>1018</v>
      </c>
      <c r="M396" s="2" t="s">
        <v>1038</v>
      </c>
      <c r="N396">
        <v>4</v>
      </c>
    </row>
    <row r="397" spans="1:14" x14ac:dyDescent="0.3">
      <c r="A397" t="s">
        <v>409</v>
      </c>
      <c r="B397">
        <v>56</v>
      </c>
      <c r="C397" s="2" t="s">
        <v>1020</v>
      </c>
      <c r="D397" s="2" t="s">
        <v>1021</v>
      </c>
      <c r="E397" s="2" t="s">
        <v>1080</v>
      </c>
      <c r="F397" s="1">
        <v>46099</v>
      </c>
      <c r="G397" s="1">
        <v>46111</v>
      </c>
      <c r="H397" s="2">
        <v>12</v>
      </c>
      <c r="I397" s="2">
        <v>350000</v>
      </c>
      <c r="J397" s="2" t="s">
        <v>1027</v>
      </c>
      <c r="K397" s="2" t="s">
        <v>1147</v>
      </c>
      <c r="L397" t="s">
        <v>1037</v>
      </c>
      <c r="M397" s="2" t="s">
        <v>1038</v>
      </c>
      <c r="N397">
        <v>4</v>
      </c>
    </row>
    <row r="398" spans="1:14" x14ac:dyDescent="0.3">
      <c r="A398" t="s">
        <v>410</v>
      </c>
      <c r="B398">
        <v>65</v>
      </c>
      <c r="C398" s="2" t="s">
        <v>1014</v>
      </c>
      <c r="D398" s="2" t="s">
        <v>1029</v>
      </c>
      <c r="E398" s="2" t="s">
        <v>1030</v>
      </c>
      <c r="F398" s="1">
        <v>46100</v>
      </c>
      <c r="G398" s="1">
        <v>46106</v>
      </c>
      <c r="H398" s="2">
        <v>6</v>
      </c>
      <c r="I398" s="2">
        <v>150000</v>
      </c>
      <c r="J398" s="2" t="s">
        <v>1023</v>
      </c>
      <c r="K398" s="2" t="s">
        <v>1033</v>
      </c>
      <c r="L398" t="s">
        <v>1018</v>
      </c>
      <c r="M398" s="2" t="s">
        <v>1024</v>
      </c>
      <c r="N398">
        <v>5</v>
      </c>
    </row>
    <row r="399" spans="1:14" x14ac:dyDescent="0.3">
      <c r="A399" t="s">
        <v>411</v>
      </c>
      <c r="B399">
        <v>24</v>
      </c>
      <c r="C399" s="2" t="s">
        <v>1020</v>
      </c>
      <c r="D399" s="2" t="s">
        <v>1021</v>
      </c>
      <c r="E399" s="2" t="s">
        <v>1069</v>
      </c>
      <c r="F399" s="1">
        <v>46101</v>
      </c>
      <c r="G399" s="1">
        <v>46103</v>
      </c>
      <c r="H399" s="2">
        <v>2</v>
      </c>
      <c r="I399" s="2">
        <v>15600</v>
      </c>
      <c r="J399" s="2" t="s">
        <v>1027</v>
      </c>
      <c r="K399" s="2" t="s">
        <v>1147</v>
      </c>
      <c r="L399" t="s">
        <v>1037</v>
      </c>
      <c r="M399" s="2" t="s">
        <v>1038</v>
      </c>
      <c r="N399">
        <v>5</v>
      </c>
    </row>
    <row r="400" spans="1:14" x14ac:dyDescent="0.3">
      <c r="A400" t="s">
        <v>412</v>
      </c>
      <c r="B400">
        <v>54</v>
      </c>
      <c r="C400" s="2" t="s">
        <v>1014</v>
      </c>
      <c r="D400" s="2" t="s">
        <v>1041</v>
      </c>
      <c r="E400" s="2" t="s">
        <v>1042</v>
      </c>
      <c r="F400" s="1">
        <v>46102</v>
      </c>
      <c r="G400" s="1">
        <v>46110</v>
      </c>
      <c r="H400" s="2">
        <v>8</v>
      </c>
      <c r="I400" s="2">
        <v>156000</v>
      </c>
      <c r="J400" s="2" t="s">
        <v>1023</v>
      </c>
      <c r="K400" s="2" t="s">
        <v>1128</v>
      </c>
      <c r="L400" t="s">
        <v>1037</v>
      </c>
      <c r="M400" s="2" t="s">
        <v>1038</v>
      </c>
      <c r="N400">
        <v>4</v>
      </c>
    </row>
    <row r="401" spans="1:14" x14ac:dyDescent="0.3">
      <c r="A401" t="s">
        <v>413</v>
      </c>
      <c r="B401">
        <v>43</v>
      </c>
      <c r="C401" s="2" t="s">
        <v>1020</v>
      </c>
      <c r="D401" s="2" t="s">
        <v>1048</v>
      </c>
      <c r="E401" s="2" t="s">
        <v>1154</v>
      </c>
      <c r="F401" s="1">
        <v>46103</v>
      </c>
      <c r="G401" s="1">
        <v>46111</v>
      </c>
      <c r="H401" s="2">
        <v>8</v>
      </c>
      <c r="I401" s="2">
        <v>155000</v>
      </c>
      <c r="J401" s="2" t="s">
        <v>1023</v>
      </c>
      <c r="K401" s="2" t="s">
        <v>1028</v>
      </c>
      <c r="L401" t="s">
        <v>1018</v>
      </c>
      <c r="M401" s="2" t="s">
        <v>1038</v>
      </c>
      <c r="N401">
        <v>4</v>
      </c>
    </row>
    <row r="402" spans="1:14" x14ac:dyDescent="0.3">
      <c r="A402" t="s">
        <v>414</v>
      </c>
      <c r="B402">
        <v>24</v>
      </c>
      <c r="C402" s="2" t="s">
        <v>1020</v>
      </c>
      <c r="D402" s="2" t="s">
        <v>1021</v>
      </c>
      <c r="E402" s="2" t="s">
        <v>1060</v>
      </c>
      <c r="F402" s="1">
        <v>46104</v>
      </c>
      <c r="G402" s="1">
        <v>46112</v>
      </c>
      <c r="H402" s="2">
        <v>8</v>
      </c>
      <c r="I402" s="2">
        <v>156999</v>
      </c>
      <c r="J402" s="2" t="s">
        <v>1027</v>
      </c>
      <c r="K402" s="2" t="s">
        <v>1147</v>
      </c>
      <c r="L402" t="s">
        <v>1018</v>
      </c>
      <c r="M402" s="2" t="s">
        <v>1019</v>
      </c>
      <c r="N402">
        <v>5</v>
      </c>
    </row>
    <row r="403" spans="1:14" x14ac:dyDescent="0.3">
      <c r="A403" t="s">
        <v>415</v>
      </c>
      <c r="B403">
        <v>34</v>
      </c>
      <c r="C403" s="2" t="s">
        <v>1014</v>
      </c>
      <c r="D403" s="2" t="s">
        <v>1031</v>
      </c>
      <c r="E403" s="2" t="s">
        <v>1053</v>
      </c>
      <c r="F403" s="1">
        <v>46105</v>
      </c>
      <c r="G403" s="1">
        <v>46107</v>
      </c>
      <c r="H403" s="2">
        <v>2</v>
      </c>
      <c r="I403" s="2">
        <v>15899</v>
      </c>
      <c r="J403" s="2" t="s">
        <v>1027</v>
      </c>
      <c r="K403" s="2" t="s">
        <v>1161</v>
      </c>
      <c r="L403" t="s">
        <v>1037</v>
      </c>
      <c r="M403" s="2" t="s">
        <v>1019</v>
      </c>
      <c r="N403">
        <v>4</v>
      </c>
    </row>
    <row r="404" spans="1:14" x14ac:dyDescent="0.3">
      <c r="A404" t="s">
        <v>416</v>
      </c>
      <c r="B404">
        <v>12</v>
      </c>
      <c r="C404" s="2" t="s">
        <v>1014</v>
      </c>
      <c r="D404" s="2" t="s">
        <v>1031</v>
      </c>
      <c r="E404" s="2" t="s">
        <v>1145</v>
      </c>
      <c r="F404" s="1">
        <v>46106</v>
      </c>
      <c r="G404" s="1">
        <v>46113</v>
      </c>
      <c r="H404" s="2">
        <v>7</v>
      </c>
      <c r="I404" s="2">
        <v>14899</v>
      </c>
      <c r="J404" s="2" t="s">
        <v>1027</v>
      </c>
      <c r="K404" s="2" t="s">
        <v>1161</v>
      </c>
      <c r="L404" t="s">
        <v>1018</v>
      </c>
      <c r="M404" s="2" t="s">
        <v>1038</v>
      </c>
      <c r="N404">
        <v>4</v>
      </c>
    </row>
    <row r="405" spans="1:14" x14ac:dyDescent="0.3">
      <c r="A405" t="s">
        <v>417</v>
      </c>
      <c r="B405">
        <v>23</v>
      </c>
      <c r="C405" s="2" t="s">
        <v>1020</v>
      </c>
      <c r="D405" s="2" t="s">
        <v>1048</v>
      </c>
      <c r="E405" s="2" t="s">
        <v>1063</v>
      </c>
      <c r="F405" s="1">
        <v>46107</v>
      </c>
      <c r="G405" s="1">
        <v>46114</v>
      </c>
      <c r="H405" s="2">
        <v>7</v>
      </c>
      <c r="I405" s="2">
        <v>14567</v>
      </c>
      <c r="J405" s="2" t="s">
        <v>1027</v>
      </c>
      <c r="K405" s="2" t="s">
        <v>1028</v>
      </c>
      <c r="L405" t="s">
        <v>1037</v>
      </c>
      <c r="M405" s="2" t="s">
        <v>1038</v>
      </c>
      <c r="N405">
        <v>5</v>
      </c>
    </row>
    <row r="406" spans="1:14" x14ac:dyDescent="0.3">
      <c r="A406" t="s">
        <v>418</v>
      </c>
      <c r="B406">
        <v>34</v>
      </c>
      <c r="C406" s="2" t="s">
        <v>1014</v>
      </c>
      <c r="D406" s="2" t="s">
        <v>1124</v>
      </c>
      <c r="E406" s="2" t="s">
        <v>1125</v>
      </c>
      <c r="F406" s="1">
        <v>46108</v>
      </c>
      <c r="G406" s="1">
        <v>46122</v>
      </c>
      <c r="H406" s="2">
        <v>14</v>
      </c>
      <c r="I406" s="2">
        <v>145678</v>
      </c>
      <c r="J406" s="2" t="s">
        <v>1023</v>
      </c>
      <c r="K406" s="2" t="s">
        <v>1044</v>
      </c>
      <c r="L406" t="s">
        <v>1018</v>
      </c>
      <c r="M406" s="2" t="s">
        <v>1038</v>
      </c>
      <c r="N406">
        <v>3</v>
      </c>
    </row>
    <row r="407" spans="1:14" x14ac:dyDescent="0.3">
      <c r="A407" t="s">
        <v>419</v>
      </c>
      <c r="B407">
        <v>45</v>
      </c>
      <c r="C407" s="2" t="s">
        <v>1020</v>
      </c>
      <c r="D407" s="2" t="s">
        <v>1021</v>
      </c>
      <c r="E407" s="2" t="s">
        <v>1149</v>
      </c>
      <c r="F407" s="1">
        <v>46109</v>
      </c>
      <c r="G407" s="1">
        <v>46117</v>
      </c>
      <c r="H407" s="2">
        <v>8</v>
      </c>
      <c r="I407" s="2">
        <v>22345</v>
      </c>
      <c r="J407" s="2" t="s">
        <v>1023</v>
      </c>
      <c r="K407" s="2" t="s">
        <v>1044</v>
      </c>
      <c r="L407" t="s">
        <v>1037</v>
      </c>
      <c r="M407" s="2" t="s">
        <v>1019</v>
      </c>
      <c r="N407">
        <v>5</v>
      </c>
    </row>
    <row r="408" spans="1:14" x14ac:dyDescent="0.3">
      <c r="A408" t="s">
        <v>420</v>
      </c>
      <c r="B408">
        <v>56</v>
      </c>
      <c r="C408" s="2" t="s">
        <v>1020</v>
      </c>
      <c r="D408" s="2" t="s">
        <v>1124</v>
      </c>
      <c r="E408" s="2" t="s">
        <v>1125</v>
      </c>
      <c r="F408" s="1">
        <v>46110</v>
      </c>
      <c r="G408" s="1">
        <v>46121</v>
      </c>
      <c r="H408" s="2">
        <v>10</v>
      </c>
      <c r="I408" s="2">
        <v>34567</v>
      </c>
      <c r="J408" s="2" t="s">
        <v>1023</v>
      </c>
      <c r="K408" s="2" t="s">
        <v>1044</v>
      </c>
      <c r="L408" t="s">
        <v>1037</v>
      </c>
      <c r="M408" s="2" t="s">
        <v>1038</v>
      </c>
      <c r="N408">
        <v>2</v>
      </c>
    </row>
    <row r="409" spans="1:14" x14ac:dyDescent="0.3">
      <c r="A409" t="s">
        <v>421</v>
      </c>
      <c r="B409">
        <v>67</v>
      </c>
      <c r="C409" s="2" t="s">
        <v>1020</v>
      </c>
      <c r="D409" s="2" t="s">
        <v>1015</v>
      </c>
      <c r="E409" s="2" t="s">
        <v>1148</v>
      </c>
      <c r="F409" s="1">
        <v>46111</v>
      </c>
      <c r="G409" s="1">
        <v>46122</v>
      </c>
      <c r="H409" s="2">
        <v>11</v>
      </c>
      <c r="I409" s="2">
        <v>56789</v>
      </c>
      <c r="J409" s="2" t="s">
        <v>1027</v>
      </c>
      <c r="K409" s="2" t="s">
        <v>1052</v>
      </c>
      <c r="L409" t="s">
        <v>1037</v>
      </c>
      <c r="M409" s="2" t="s">
        <v>1024</v>
      </c>
      <c r="N409">
        <v>3.5</v>
      </c>
    </row>
    <row r="410" spans="1:14" x14ac:dyDescent="0.3">
      <c r="A410" t="s">
        <v>422</v>
      </c>
      <c r="B410">
        <v>78</v>
      </c>
      <c r="C410" s="2" t="s">
        <v>1020</v>
      </c>
      <c r="D410" s="2" t="s">
        <v>1025</v>
      </c>
      <c r="E410" s="2" t="s">
        <v>1062</v>
      </c>
      <c r="F410" s="1">
        <v>46112</v>
      </c>
      <c r="G410" s="1">
        <v>46123</v>
      </c>
      <c r="H410" s="2">
        <v>11</v>
      </c>
      <c r="I410" s="2">
        <v>129000</v>
      </c>
      <c r="J410" s="2" t="s">
        <v>1027</v>
      </c>
      <c r="K410" s="2" t="s">
        <v>1046</v>
      </c>
      <c r="L410" t="s">
        <v>1018</v>
      </c>
      <c r="M410" s="2" t="s">
        <v>1024</v>
      </c>
      <c r="N410">
        <v>3.6</v>
      </c>
    </row>
    <row r="411" spans="1:14" x14ac:dyDescent="0.3">
      <c r="A411" t="s">
        <v>423</v>
      </c>
      <c r="B411">
        <v>89</v>
      </c>
      <c r="C411" s="2" t="s">
        <v>1014</v>
      </c>
      <c r="D411" s="2" t="s">
        <v>1021</v>
      </c>
      <c r="E411" s="2" t="s">
        <v>1149</v>
      </c>
      <c r="F411" s="1">
        <v>46113</v>
      </c>
      <c r="G411" s="1">
        <v>46122</v>
      </c>
      <c r="H411" s="2">
        <v>10</v>
      </c>
      <c r="I411" s="2">
        <v>156900</v>
      </c>
      <c r="J411" s="2" t="s">
        <v>1027</v>
      </c>
      <c r="K411" s="2" t="s">
        <v>1147</v>
      </c>
      <c r="L411" t="s">
        <v>1018</v>
      </c>
      <c r="M411" s="2" t="s">
        <v>1024</v>
      </c>
      <c r="N411">
        <v>3.5</v>
      </c>
    </row>
    <row r="412" spans="1:14" x14ac:dyDescent="0.3">
      <c r="A412" t="s">
        <v>424</v>
      </c>
      <c r="B412">
        <v>9</v>
      </c>
      <c r="C412" s="2" t="s">
        <v>1014</v>
      </c>
      <c r="D412" s="2" t="s">
        <v>1031</v>
      </c>
      <c r="E412" s="2" t="s">
        <v>1034</v>
      </c>
      <c r="F412" s="1">
        <v>46114</v>
      </c>
      <c r="G412" s="1">
        <v>46127</v>
      </c>
      <c r="H412" s="2">
        <v>13</v>
      </c>
      <c r="I412" s="2">
        <v>150000</v>
      </c>
      <c r="J412" s="2" t="s">
        <v>1017</v>
      </c>
      <c r="K412" s="2" t="s">
        <v>1161</v>
      </c>
      <c r="L412" t="s">
        <v>1037</v>
      </c>
      <c r="M412" s="2" t="s">
        <v>1024</v>
      </c>
      <c r="N412">
        <v>1</v>
      </c>
    </row>
    <row r="413" spans="1:14" x14ac:dyDescent="0.3">
      <c r="A413" t="s">
        <v>425</v>
      </c>
      <c r="B413">
        <v>90</v>
      </c>
      <c r="C413" s="2" t="s">
        <v>1020</v>
      </c>
      <c r="D413" s="2" t="s">
        <v>1025</v>
      </c>
      <c r="E413" s="2" t="s">
        <v>1150</v>
      </c>
      <c r="F413" s="1">
        <v>46115</v>
      </c>
      <c r="G413" s="1">
        <v>46132</v>
      </c>
      <c r="H413" s="2">
        <v>17</v>
      </c>
      <c r="I413" s="2">
        <v>167000</v>
      </c>
      <c r="J413" s="2" t="s">
        <v>1017</v>
      </c>
      <c r="K413" s="2" t="s">
        <v>1046</v>
      </c>
      <c r="L413" t="s">
        <v>1018</v>
      </c>
      <c r="M413" s="2" t="s">
        <v>1024</v>
      </c>
      <c r="N413">
        <v>3.7</v>
      </c>
    </row>
    <row r="414" spans="1:14" x14ac:dyDescent="0.3">
      <c r="A414" t="s">
        <v>426</v>
      </c>
      <c r="B414">
        <v>8</v>
      </c>
      <c r="C414" s="2" t="s">
        <v>1014</v>
      </c>
      <c r="D414" s="2" t="s">
        <v>1039</v>
      </c>
      <c r="E414" s="2" t="s">
        <v>1137</v>
      </c>
      <c r="F414" s="1">
        <v>46116</v>
      </c>
      <c r="G414" s="1">
        <v>46120</v>
      </c>
      <c r="H414" s="2">
        <v>4</v>
      </c>
      <c r="I414" s="2">
        <v>15000</v>
      </c>
      <c r="J414" s="2" t="s">
        <v>1027</v>
      </c>
      <c r="K414" s="2" t="s">
        <v>1059</v>
      </c>
      <c r="L414" t="s">
        <v>1037</v>
      </c>
      <c r="M414" s="2" t="s">
        <v>1024</v>
      </c>
      <c r="N414">
        <v>3</v>
      </c>
    </row>
    <row r="415" spans="1:14" x14ac:dyDescent="0.3">
      <c r="A415" t="s">
        <v>427</v>
      </c>
      <c r="B415">
        <v>87</v>
      </c>
      <c r="C415" s="2" t="s">
        <v>1014</v>
      </c>
      <c r="D415" s="2" t="s">
        <v>1124</v>
      </c>
      <c r="E415" s="2" t="s">
        <v>1135</v>
      </c>
      <c r="F415" s="1">
        <v>46117</v>
      </c>
      <c r="G415" s="1">
        <v>46127</v>
      </c>
      <c r="H415" s="2">
        <v>10</v>
      </c>
      <c r="I415" s="2">
        <v>156000</v>
      </c>
      <c r="J415" s="2" t="s">
        <v>1027</v>
      </c>
      <c r="K415" s="2" t="s">
        <v>1044</v>
      </c>
      <c r="L415" t="s">
        <v>1018</v>
      </c>
      <c r="M415" s="2" t="s">
        <v>1038</v>
      </c>
      <c r="N415">
        <v>8</v>
      </c>
    </row>
    <row r="416" spans="1:14" x14ac:dyDescent="0.3">
      <c r="A416" t="s">
        <v>428</v>
      </c>
      <c r="B416">
        <v>7</v>
      </c>
      <c r="C416" s="2" t="s">
        <v>1020</v>
      </c>
      <c r="D416" s="2" t="s">
        <v>1015</v>
      </c>
      <c r="E416" s="2" t="s">
        <v>1117</v>
      </c>
      <c r="F416" s="1">
        <v>46118</v>
      </c>
      <c r="G416" s="1">
        <v>46122</v>
      </c>
      <c r="H416" s="2">
        <v>4</v>
      </c>
      <c r="I416" s="2">
        <v>178000</v>
      </c>
      <c r="J416" s="2" t="s">
        <v>1017</v>
      </c>
      <c r="K416" s="2" t="s">
        <v>1052</v>
      </c>
      <c r="L416" t="s">
        <v>1018</v>
      </c>
      <c r="M416" s="2" t="s">
        <v>1024</v>
      </c>
      <c r="N416">
        <v>5</v>
      </c>
    </row>
    <row r="417" spans="1:14" x14ac:dyDescent="0.3">
      <c r="A417" t="s">
        <v>429</v>
      </c>
      <c r="B417">
        <v>76</v>
      </c>
      <c r="C417" s="2" t="s">
        <v>1020</v>
      </c>
      <c r="D417" s="2" t="s">
        <v>1021</v>
      </c>
      <c r="E417" s="2" t="s">
        <v>1080</v>
      </c>
      <c r="F417" s="1">
        <v>46119</v>
      </c>
      <c r="G417" s="1">
        <v>46127</v>
      </c>
      <c r="H417" s="2">
        <v>8</v>
      </c>
      <c r="I417" s="2">
        <v>189000</v>
      </c>
      <c r="J417" s="2" t="s">
        <v>1017</v>
      </c>
      <c r="K417" s="2" t="s">
        <v>1147</v>
      </c>
      <c r="L417" t="s">
        <v>1018</v>
      </c>
      <c r="M417" s="2" t="s">
        <v>1024</v>
      </c>
      <c r="N417">
        <v>4</v>
      </c>
    </row>
    <row r="418" spans="1:14" x14ac:dyDescent="0.3">
      <c r="A418" t="s">
        <v>430</v>
      </c>
      <c r="B418">
        <v>67</v>
      </c>
      <c r="C418" s="2" t="s">
        <v>1020</v>
      </c>
      <c r="D418" s="2" t="s">
        <v>1021</v>
      </c>
      <c r="E418" s="2" t="s">
        <v>1139</v>
      </c>
      <c r="F418" s="1">
        <v>46120</v>
      </c>
      <c r="G418" s="1">
        <v>46132</v>
      </c>
      <c r="H418" s="2">
        <v>12</v>
      </c>
      <c r="I418" s="2">
        <v>179000</v>
      </c>
      <c r="J418" s="2" t="s">
        <v>1017</v>
      </c>
      <c r="K418" s="2" t="s">
        <v>1147</v>
      </c>
      <c r="L418" t="s">
        <v>1037</v>
      </c>
      <c r="M418" s="2" t="s">
        <v>1024</v>
      </c>
      <c r="N418">
        <v>5</v>
      </c>
    </row>
    <row r="419" spans="1:14" x14ac:dyDescent="0.3">
      <c r="A419" t="s">
        <v>431</v>
      </c>
      <c r="B419">
        <v>67</v>
      </c>
      <c r="C419" s="2" t="s">
        <v>1014</v>
      </c>
      <c r="D419" s="2" t="s">
        <v>1124</v>
      </c>
      <c r="E419" s="2" t="s">
        <v>1135</v>
      </c>
      <c r="F419" s="1">
        <v>46121</v>
      </c>
      <c r="G419" s="1">
        <v>46123</v>
      </c>
      <c r="H419" s="2">
        <v>3</v>
      </c>
      <c r="I419" s="2">
        <v>156000</v>
      </c>
      <c r="J419" s="2" t="s">
        <v>1017</v>
      </c>
      <c r="K419" s="2" t="s">
        <v>1044</v>
      </c>
      <c r="L419" t="s">
        <v>1018</v>
      </c>
      <c r="M419" s="2" t="s">
        <v>1038</v>
      </c>
      <c r="N419">
        <v>33</v>
      </c>
    </row>
    <row r="420" spans="1:14" x14ac:dyDescent="0.3">
      <c r="A420" t="s">
        <v>432</v>
      </c>
      <c r="B420">
        <v>65</v>
      </c>
      <c r="C420" s="2" t="s">
        <v>1020</v>
      </c>
      <c r="D420" s="2" t="s">
        <v>1029</v>
      </c>
      <c r="E420" s="2" t="s">
        <v>1030</v>
      </c>
      <c r="F420" s="1">
        <v>46122</v>
      </c>
      <c r="G420" s="1">
        <v>46127</v>
      </c>
      <c r="H420" s="2">
        <v>5</v>
      </c>
      <c r="I420" s="2">
        <v>167000</v>
      </c>
      <c r="J420" s="2" t="s">
        <v>1017</v>
      </c>
      <c r="K420" s="2" t="s">
        <v>1033</v>
      </c>
      <c r="L420" t="s">
        <v>1037</v>
      </c>
      <c r="M420" s="2" t="s">
        <v>1024</v>
      </c>
      <c r="N420">
        <v>4</v>
      </c>
    </row>
    <row r="421" spans="1:14" x14ac:dyDescent="0.3">
      <c r="A421" t="s">
        <v>433</v>
      </c>
      <c r="B421">
        <v>56</v>
      </c>
      <c r="C421" s="2" t="s">
        <v>1014</v>
      </c>
      <c r="D421" s="2" t="s">
        <v>1021</v>
      </c>
      <c r="E421" s="2" t="s">
        <v>1149</v>
      </c>
      <c r="F421" s="1">
        <v>46123</v>
      </c>
      <c r="G421" s="3">
        <v>46132</v>
      </c>
      <c r="H421" s="2">
        <v>9</v>
      </c>
      <c r="I421" s="2">
        <v>178900</v>
      </c>
      <c r="J421" s="2" t="s">
        <v>1017</v>
      </c>
      <c r="K421" s="2" t="s">
        <v>1147</v>
      </c>
      <c r="L421" t="s">
        <v>1018</v>
      </c>
      <c r="M421" s="2" t="s">
        <v>1019</v>
      </c>
      <c r="N421">
        <v>3</v>
      </c>
    </row>
    <row r="422" spans="1:14" x14ac:dyDescent="0.3">
      <c r="A422" t="s">
        <v>434</v>
      </c>
      <c r="B422">
        <v>54</v>
      </c>
      <c r="C422" s="2" t="s">
        <v>1020</v>
      </c>
      <c r="D422" s="2" t="s">
        <v>1021</v>
      </c>
      <c r="E422" s="2" t="s">
        <v>1022</v>
      </c>
      <c r="F422" s="1">
        <v>46124</v>
      </c>
      <c r="G422" s="1">
        <v>46131</v>
      </c>
      <c r="H422" s="2">
        <v>7</v>
      </c>
      <c r="I422" s="2">
        <v>156000</v>
      </c>
      <c r="J422" s="2" t="s">
        <v>1017</v>
      </c>
      <c r="K422" s="2" t="s">
        <v>1147</v>
      </c>
      <c r="L422" t="s">
        <v>1037</v>
      </c>
      <c r="M422" s="2" t="s">
        <v>1024</v>
      </c>
      <c r="N422">
        <v>2</v>
      </c>
    </row>
    <row r="423" spans="1:14" x14ac:dyDescent="0.3">
      <c r="A423" t="s">
        <v>435</v>
      </c>
      <c r="B423">
        <v>43</v>
      </c>
      <c r="C423" s="2" t="s">
        <v>1014</v>
      </c>
      <c r="D423" s="2" t="s">
        <v>1021</v>
      </c>
      <c r="E423" s="2" t="s">
        <v>1080</v>
      </c>
      <c r="F423" s="1">
        <v>46125</v>
      </c>
      <c r="G423" s="1">
        <v>46136</v>
      </c>
      <c r="H423" s="2">
        <v>11</v>
      </c>
      <c r="I423" s="2">
        <v>187000</v>
      </c>
      <c r="J423" s="2" t="s">
        <v>1017</v>
      </c>
      <c r="K423" s="2" t="s">
        <v>1147</v>
      </c>
      <c r="L423" t="s">
        <v>1037</v>
      </c>
      <c r="M423" s="2" t="s">
        <v>1019</v>
      </c>
      <c r="N423">
        <v>33</v>
      </c>
    </row>
    <row r="424" spans="1:14" x14ac:dyDescent="0.3">
      <c r="A424" t="s">
        <v>436</v>
      </c>
      <c r="B424">
        <v>32</v>
      </c>
      <c r="C424" s="2" t="s">
        <v>1014</v>
      </c>
      <c r="D424" s="2" t="s">
        <v>1021</v>
      </c>
      <c r="E424" s="2" t="s">
        <v>1139</v>
      </c>
      <c r="F424" s="1">
        <v>46126</v>
      </c>
      <c r="G424" s="1">
        <v>46132</v>
      </c>
      <c r="H424" s="2">
        <v>6</v>
      </c>
      <c r="I424" s="2">
        <v>178000</v>
      </c>
      <c r="J424" s="2" t="s">
        <v>1017</v>
      </c>
      <c r="K424" s="2" t="s">
        <v>1147</v>
      </c>
      <c r="L424" t="s">
        <v>1037</v>
      </c>
      <c r="M424" s="2" t="s">
        <v>1024</v>
      </c>
      <c r="N424">
        <v>4</v>
      </c>
    </row>
    <row r="425" spans="1:14" x14ac:dyDescent="0.3">
      <c r="A425" t="s">
        <v>437</v>
      </c>
      <c r="B425">
        <v>45</v>
      </c>
      <c r="C425" s="2" t="s">
        <v>1014</v>
      </c>
      <c r="D425" s="2" t="s">
        <v>1021</v>
      </c>
      <c r="E425" s="2" t="s">
        <v>1140</v>
      </c>
      <c r="F425" s="1">
        <v>46127</v>
      </c>
      <c r="G425" s="1">
        <v>46137</v>
      </c>
      <c r="H425" s="2">
        <v>10</v>
      </c>
      <c r="I425" s="2">
        <v>99000</v>
      </c>
      <c r="J425" s="2" t="s">
        <v>1017</v>
      </c>
      <c r="K425" s="2" t="s">
        <v>1147</v>
      </c>
      <c r="L425" t="s">
        <v>1018</v>
      </c>
      <c r="M425" s="2" t="s">
        <v>1019</v>
      </c>
      <c r="N425">
        <v>33</v>
      </c>
    </row>
    <row r="426" spans="1:14" x14ac:dyDescent="0.3">
      <c r="A426" t="s">
        <v>438</v>
      </c>
      <c r="B426">
        <v>56</v>
      </c>
      <c r="C426" s="2" t="s">
        <v>1014</v>
      </c>
      <c r="D426" s="2" t="s">
        <v>1021</v>
      </c>
      <c r="E426" s="2" t="s">
        <v>1118</v>
      </c>
      <c r="F426" s="1">
        <v>46128</v>
      </c>
      <c r="G426" s="1">
        <v>46139</v>
      </c>
      <c r="H426" s="2">
        <v>11</v>
      </c>
      <c r="I426" s="2">
        <v>187000</v>
      </c>
      <c r="J426" s="2" t="s">
        <v>1017</v>
      </c>
      <c r="K426" s="2" t="s">
        <v>1147</v>
      </c>
      <c r="L426" t="s">
        <v>1018</v>
      </c>
      <c r="M426" s="2" t="s">
        <v>1024</v>
      </c>
      <c r="N426">
        <v>4</v>
      </c>
    </row>
    <row r="427" spans="1:14" x14ac:dyDescent="0.3">
      <c r="A427" t="s">
        <v>439</v>
      </c>
      <c r="B427">
        <v>78</v>
      </c>
      <c r="C427" s="2" t="s">
        <v>1020</v>
      </c>
      <c r="D427" s="2" t="s">
        <v>1159</v>
      </c>
      <c r="E427" s="2" t="s">
        <v>1139</v>
      </c>
      <c r="F427" s="1">
        <v>46129</v>
      </c>
      <c r="G427" s="1">
        <v>46142</v>
      </c>
      <c r="H427" s="2">
        <v>13</v>
      </c>
      <c r="I427" s="2">
        <v>245000</v>
      </c>
      <c r="J427" s="2" t="s">
        <v>1017</v>
      </c>
      <c r="K427" s="2" t="s">
        <v>1147</v>
      </c>
      <c r="L427" t="s">
        <v>1037</v>
      </c>
      <c r="M427" s="2" t="s">
        <v>1019</v>
      </c>
      <c r="N427">
        <v>5</v>
      </c>
    </row>
    <row r="428" spans="1:14" x14ac:dyDescent="0.3">
      <c r="A428" t="s">
        <v>440</v>
      </c>
      <c r="B428">
        <v>87</v>
      </c>
      <c r="C428" s="2" t="s">
        <v>1020</v>
      </c>
      <c r="D428" s="2" t="s">
        <v>1159</v>
      </c>
      <c r="E428" s="2" t="s">
        <v>1140</v>
      </c>
      <c r="F428" s="1">
        <v>46130</v>
      </c>
      <c r="G428" s="1">
        <v>46141</v>
      </c>
      <c r="H428" s="2">
        <v>11</v>
      </c>
      <c r="I428" s="2">
        <v>256789</v>
      </c>
      <c r="J428" s="2" t="s">
        <v>1017</v>
      </c>
      <c r="K428" s="2" t="s">
        <v>1147</v>
      </c>
      <c r="L428" t="s">
        <v>1018</v>
      </c>
      <c r="M428" s="2" t="s">
        <v>1024</v>
      </c>
      <c r="N428">
        <v>4</v>
      </c>
    </row>
    <row r="429" spans="1:14" x14ac:dyDescent="0.3">
      <c r="A429" t="s">
        <v>441</v>
      </c>
      <c r="B429">
        <v>67</v>
      </c>
      <c r="C429" s="2" t="s">
        <v>1014</v>
      </c>
      <c r="D429" s="2" t="s">
        <v>1159</v>
      </c>
      <c r="E429" s="2" t="s">
        <v>1139</v>
      </c>
      <c r="F429" s="1">
        <v>46131</v>
      </c>
      <c r="G429" s="1">
        <v>46137</v>
      </c>
      <c r="H429" s="2">
        <v>6</v>
      </c>
      <c r="I429" s="2">
        <v>167000</v>
      </c>
      <c r="J429" s="2" t="s">
        <v>1017</v>
      </c>
      <c r="K429" s="2" t="s">
        <v>1147</v>
      </c>
      <c r="L429" t="s">
        <v>1037</v>
      </c>
      <c r="M429" s="2" t="s">
        <v>1038</v>
      </c>
      <c r="N429">
        <v>33</v>
      </c>
    </row>
    <row r="430" spans="1:14" x14ac:dyDescent="0.3">
      <c r="A430" t="s">
        <v>442</v>
      </c>
      <c r="B430">
        <v>57</v>
      </c>
      <c r="C430" s="2" t="s">
        <v>1014</v>
      </c>
      <c r="D430" s="2" t="s">
        <v>1159</v>
      </c>
      <c r="E430" s="2" t="s">
        <v>1118</v>
      </c>
      <c r="F430" s="1">
        <v>46132</v>
      </c>
      <c r="G430" s="1">
        <v>46138</v>
      </c>
      <c r="H430" s="2">
        <v>6</v>
      </c>
      <c r="I430" s="2">
        <v>178000</v>
      </c>
      <c r="J430" s="2" t="s">
        <v>1017</v>
      </c>
      <c r="K430" s="2" t="s">
        <v>1147</v>
      </c>
      <c r="L430" t="s">
        <v>1018</v>
      </c>
      <c r="M430" s="2" t="s">
        <v>1038</v>
      </c>
      <c r="N430">
        <v>4</v>
      </c>
    </row>
    <row r="431" spans="1:14" x14ac:dyDescent="0.3">
      <c r="A431" t="s">
        <v>443</v>
      </c>
      <c r="B431">
        <v>54</v>
      </c>
      <c r="C431" s="2" t="s">
        <v>1014</v>
      </c>
      <c r="D431" s="2" t="s">
        <v>1159</v>
      </c>
      <c r="E431" s="2" t="s">
        <v>1118</v>
      </c>
      <c r="F431" s="1">
        <v>46133</v>
      </c>
      <c r="G431" s="1">
        <v>46157</v>
      </c>
      <c r="H431" s="2">
        <v>14</v>
      </c>
      <c r="I431" s="2">
        <v>250000</v>
      </c>
      <c r="J431" s="2" t="s">
        <v>1017</v>
      </c>
      <c r="K431" s="2" t="s">
        <v>1147</v>
      </c>
      <c r="L431" t="s">
        <v>1018</v>
      </c>
      <c r="M431" s="2" t="s">
        <v>1038</v>
      </c>
      <c r="N431">
        <v>5</v>
      </c>
    </row>
    <row r="432" spans="1:14" x14ac:dyDescent="0.3">
      <c r="A432" t="s">
        <v>444</v>
      </c>
      <c r="B432">
        <v>56</v>
      </c>
      <c r="C432" s="2" t="s">
        <v>1020</v>
      </c>
      <c r="D432" s="2" t="s">
        <v>1021</v>
      </c>
      <c r="E432" s="2" t="s">
        <v>1139</v>
      </c>
      <c r="F432" s="1">
        <v>46134</v>
      </c>
      <c r="G432" s="1">
        <v>46142</v>
      </c>
      <c r="H432" s="2">
        <v>8</v>
      </c>
      <c r="I432" s="2">
        <v>156888</v>
      </c>
      <c r="J432" s="2" t="s">
        <v>1017</v>
      </c>
      <c r="K432" s="2" t="s">
        <v>1147</v>
      </c>
      <c r="L432" t="s">
        <v>1018</v>
      </c>
      <c r="M432" s="2" t="s">
        <v>1038</v>
      </c>
      <c r="N432">
        <v>3</v>
      </c>
    </row>
    <row r="433" spans="1:14" x14ac:dyDescent="0.3">
      <c r="A433" t="s">
        <v>445</v>
      </c>
      <c r="B433">
        <v>45</v>
      </c>
      <c r="C433" s="2" t="s">
        <v>1020</v>
      </c>
      <c r="D433" s="2" t="s">
        <v>1159</v>
      </c>
      <c r="E433" s="2" t="s">
        <v>1118</v>
      </c>
      <c r="F433" s="1">
        <v>46135</v>
      </c>
      <c r="G433" s="1">
        <v>46143</v>
      </c>
      <c r="H433" s="2">
        <v>8</v>
      </c>
      <c r="I433" s="2">
        <v>145678</v>
      </c>
      <c r="J433" s="2" t="s">
        <v>1017</v>
      </c>
      <c r="K433" s="2" t="s">
        <v>1147</v>
      </c>
      <c r="L433" t="s">
        <v>1037</v>
      </c>
      <c r="M433" s="2" t="s">
        <v>1038</v>
      </c>
      <c r="N433">
        <v>2</v>
      </c>
    </row>
    <row r="434" spans="1:14" x14ac:dyDescent="0.3">
      <c r="A434" t="s">
        <v>446</v>
      </c>
      <c r="B434">
        <v>78</v>
      </c>
      <c r="C434" s="2" t="s">
        <v>1020</v>
      </c>
      <c r="D434" s="2" t="s">
        <v>1159</v>
      </c>
      <c r="E434" s="2" t="s">
        <v>1118</v>
      </c>
      <c r="F434" s="1">
        <v>46136</v>
      </c>
      <c r="G434" s="1">
        <v>46147</v>
      </c>
      <c r="H434" s="2">
        <v>11</v>
      </c>
      <c r="I434" s="2">
        <v>150000</v>
      </c>
      <c r="J434" s="2" t="s">
        <v>1027</v>
      </c>
      <c r="K434" s="2" t="s">
        <v>1147</v>
      </c>
      <c r="L434" t="s">
        <v>1018</v>
      </c>
      <c r="M434" s="2" t="s">
        <v>1038</v>
      </c>
      <c r="N434">
        <v>1</v>
      </c>
    </row>
    <row r="435" spans="1:14" x14ac:dyDescent="0.3">
      <c r="A435" t="s">
        <v>447</v>
      </c>
      <c r="B435">
        <v>67</v>
      </c>
      <c r="C435" s="2" t="s">
        <v>1014</v>
      </c>
      <c r="D435" s="2" t="s">
        <v>1159</v>
      </c>
      <c r="E435" s="2" t="s">
        <v>1139</v>
      </c>
      <c r="F435" s="1">
        <v>46137</v>
      </c>
      <c r="G435" s="1">
        <v>45776</v>
      </c>
      <c r="H435" s="2">
        <v>4</v>
      </c>
      <c r="I435" s="2">
        <v>260000</v>
      </c>
      <c r="J435" s="2" t="s">
        <v>1027</v>
      </c>
      <c r="K435" s="2" t="s">
        <v>1147</v>
      </c>
      <c r="L435" t="s">
        <v>1037</v>
      </c>
      <c r="M435" s="2" t="s">
        <v>1038</v>
      </c>
      <c r="N435">
        <v>5</v>
      </c>
    </row>
    <row r="436" spans="1:14" x14ac:dyDescent="0.3">
      <c r="A436" t="s">
        <v>448</v>
      </c>
      <c r="B436">
        <v>4</v>
      </c>
      <c r="C436" s="2" t="s">
        <v>1014</v>
      </c>
      <c r="D436" s="2" t="s">
        <v>1159</v>
      </c>
      <c r="E436" s="2" t="s">
        <v>1069</v>
      </c>
      <c r="F436" s="1">
        <v>46138</v>
      </c>
      <c r="G436" s="1">
        <v>46147</v>
      </c>
      <c r="H436" s="2">
        <v>9</v>
      </c>
      <c r="I436" s="2">
        <v>340000</v>
      </c>
      <c r="J436" s="2" t="s">
        <v>1027</v>
      </c>
      <c r="K436" s="2" t="s">
        <v>1147</v>
      </c>
      <c r="L436" t="s">
        <v>1018</v>
      </c>
      <c r="M436" s="2" t="s">
        <v>1038</v>
      </c>
      <c r="N436">
        <v>5.4</v>
      </c>
    </row>
    <row r="437" spans="1:14" x14ac:dyDescent="0.3">
      <c r="A437" t="s">
        <v>449</v>
      </c>
      <c r="B437">
        <v>56</v>
      </c>
      <c r="C437" s="2" t="s">
        <v>1020</v>
      </c>
      <c r="D437" s="2" t="s">
        <v>1159</v>
      </c>
      <c r="E437" s="2" t="s">
        <v>1096</v>
      </c>
      <c r="F437" s="1">
        <v>46139</v>
      </c>
      <c r="G437" s="1">
        <v>46152</v>
      </c>
      <c r="H437" s="2">
        <v>13</v>
      </c>
      <c r="I437" s="2">
        <v>560000</v>
      </c>
      <c r="J437" s="2" t="s">
        <v>1027</v>
      </c>
      <c r="K437" s="2" t="s">
        <v>1147</v>
      </c>
      <c r="L437" t="s">
        <v>1037</v>
      </c>
      <c r="M437" s="2" t="s">
        <v>1038</v>
      </c>
      <c r="N437">
        <v>5.3</v>
      </c>
    </row>
    <row r="438" spans="1:14" x14ac:dyDescent="0.3">
      <c r="A438" t="s">
        <v>450</v>
      </c>
      <c r="B438">
        <v>54</v>
      </c>
      <c r="C438" s="2" t="s">
        <v>1014</v>
      </c>
      <c r="D438" s="2" t="s">
        <v>1159</v>
      </c>
      <c r="E438" s="2" t="s">
        <v>1118</v>
      </c>
      <c r="F438" s="1">
        <v>46140</v>
      </c>
      <c r="G438" s="1">
        <v>46157</v>
      </c>
      <c r="H438" s="2">
        <v>17</v>
      </c>
      <c r="I438" s="2">
        <v>678000</v>
      </c>
      <c r="J438" s="2" t="s">
        <v>1027</v>
      </c>
      <c r="K438" s="2" t="s">
        <v>1147</v>
      </c>
      <c r="L438" t="s">
        <v>1037</v>
      </c>
      <c r="M438" s="2" t="s">
        <v>1038</v>
      </c>
      <c r="N438">
        <v>3</v>
      </c>
    </row>
    <row r="439" spans="1:14" x14ac:dyDescent="0.3">
      <c r="A439" t="s">
        <v>451</v>
      </c>
      <c r="B439">
        <v>34</v>
      </c>
      <c r="C439" s="2" t="s">
        <v>1014</v>
      </c>
      <c r="D439" s="2" t="s">
        <v>1159</v>
      </c>
      <c r="E439" s="2" t="s">
        <v>1069</v>
      </c>
      <c r="F439" s="1">
        <v>46141</v>
      </c>
      <c r="G439" s="1">
        <v>46152</v>
      </c>
      <c r="H439" s="2">
        <v>11</v>
      </c>
      <c r="I439" s="2">
        <v>345678</v>
      </c>
      <c r="J439" s="2" t="s">
        <v>1027</v>
      </c>
      <c r="K439" s="2" t="s">
        <v>1147</v>
      </c>
      <c r="L439" t="s">
        <v>1037</v>
      </c>
      <c r="M439" s="2" t="s">
        <v>1038</v>
      </c>
      <c r="N439">
        <v>5.8</v>
      </c>
    </row>
    <row r="440" spans="1:14" x14ac:dyDescent="0.3">
      <c r="A440" t="s">
        <v>452</v>
      </c>
      <c r="B440">
        <v>45</v>
      </c>
      <c r="C440" s="2" t="s">
        <v>1014</v>
      </c>
      <c r="D440" s="2" t="s">
        <v>1159</v>
      </c>
      <c r="E440" s="2" t="s">
        <v>1080</v>
      </c>
      <c r="F440" s="1">
        <v>46142</v>
      </c>
      <c r="G440" s="1">
        <v>46158</v>
      </c>
      <c r="H440" s="2">
        <v>16</v>
      </c>
      <c r="I440" s="2">
        <v>234567</v>
      </c>
      <c r="J440" s="2" t="s">
        <v>1027</v>
      </c>
      <c r="K440" s="2" t="s">
        <v>1147</v>
      </c>
      <c r="L440" t="s">
        <v>1018</v>
      </c>
      <c r="M440" s="2" t="s">
        <v>1038</v>
      </c>
      <c r="N440">
        <v>5.9</v>
      </c>
    </row>
    <row r="441" spans="1:14" x14ac:dyDescent="0.3">
      <c r="A441" t="s">
        <v>453</v>
      </c>
      <c r="B441">
        <v>56</v>
      </c>
      <c r="C441" s="2" t="s">
        <v>1020</v>
      </c>
      <c r="D441" s="2" t="s">
        <v>1159</v>
      </c>
      <c r="E441" s="2" t="s">
        <v>1139</v>
      </c>
      <c r="F441" s="1">
        <v>46143</v>
      </c>
      <c r="G441" s="1">
        <v>46152</v>
      </c>
      <c r="H441" s="2">
        <v>10</v>
      </c>
      <c r="I441" s="2">
        <v>145000</v>
      </c>
      <c r="J441" s="2" t="s">
        <v>1027</v>
      </c>
      <c r="K441" s="2" t="s">
        <v>1147</v>
      </c>
      <c r="L441" t="s">
        <v>1018</v>
      </c>
      <c r="M441" s="2" t="s">
        <v>1038</v>
      </c>
      <c r="N441">
        <v>3</v>
      </c>
    </row>
    <row r="442" spans="1:14" x14ac:dyDescent="0.3">
      <c r="A442" t="s">
        <v>454</v>
      </c>
      <c r="B442">
        <v>65</v>
      </c>
      <c r="C442" s="2" t="s">
        <v>1020</v>
      </c>
      <c r="D442" s="2" t="s">
        <v>1159</v>
      </c>
      <c r="E442" s="2" t="s">
        <v>1140</v>
      </c>
      <c r="F442" s="1">
        <v>46144</v>
      </c>
      <c r="G442" s="1">
        <v>46155</v>
      </c>
      <c r="H442" s="2">
        <v>11</v>
      </c>
      <c r="I442" s="2">
        <v>156000</v>
      </c>
      <c r="J442" s="2" t="s">
        <v>1027</v>
      </c>
      <c r="K442" s="2" t="s">
        <v>1147</v>
      </c>
      <c r="L442" t="s">
        <v>1037</v>
      </c>
      <c r="M442" s="2" t="s">
        <v>1038</v>
      </c>
      <c r="N442">
        <v>2</v>
      </c>
    </row>
    <row r="443" spans="1:14" x14ac:dyDescent="0.3">
      <c r="A443" t="s">
        <v>455</v>
      </c>
      <c r="B443">
        <v>67</v>
      </c>
      <c r="C443" s="2" t="s">
        <v>1014</v>
      </c>
      <c r="D443" s="2" t="s">
        <v>1159</v>
      </c>
      <c r="E443" s="2" t="s">
        <v>1118</v>
      </c>
      <c r="F443" s="1">
        <v>46145</v>
      </c>
      <c r="G443" s="1">
        <v>46162</v>
      </c>
      <c r="H443" s="2">
        <v>17</v>
      </c>
      <c r="I443" s="2">
        <v>245678</v>
      </c>
      <c r="J443" s="2" t="s">
        <v>1027</v>
      </c>
      <c r="K443" s="2" t="s">
        <v>1147</v>
      </c>
      <c r="L443" t="s">
        <v>1018</v>
      </c>
      <c r="M443" s="2" t="s">
        <v>1019</v>
      </c>
      <c r="N443">
        <v>4</v>
      </c>
    </row>
    <row r="444" spans="1:14" x14ac:dyDescent="0.3">
      <c r="A444" t="s">
        <v>456</v>
      </c>
      <c r="B444">
        <v>78</v>
      </c>
      <c r="C444" s="2" t="s">
        <v>1020</v>
      </c>
      <c r="D444" s="2" t="s">
        <v>1159</v>
      </c>
      <c r="E444" s="2" t="s">
        <v>1162</v>
      </c>
      <c r="F444" s="1">
        <v>46146</v>
      </c>
      <c r="G444" s="1">
        <v>46163</v>
      </c>
      <c r="H444" s="2">
        <v>17</v>
      </c>
      <c r="I444" s="2">
        <v>456789</v>
      </c>
      <c r="J444" s="2" t="s">
        <v>1027</v>
      </c>
      <c r="K444" s="2" t="s">
        <v>1147</v>
      </c>
      <c r="L444" t="s">
        <v>1037</v>
      </c>
      <c r="M444" s="2" t="s">
        <v>1019</v>
      </c>
      <c r="N444">
        <v>4.0999999999999996</v>
      </c>
    </row>
    <row r="445" spans="1:14" x14ac:dyDescent="0.3">
      <c r="A445" t="s">
        <v>457</v>
      </c>
      <c r="B445">
        <v>89</v>
      </c>
      <c r="C445" s="2" t="s">
        <v>1020</v>
      </c>
      <c r="D445" s="2" t="s">
        <v>1159</v>
      </c>
      <c r="E445" s="2" t="s">
        <v>1118</v>
      </c>
      <c r="F445" s="1">
        <v>46147</v>
      </c>
      <c r="G445" s="1">
        <v>46167</v>
      </c>
      <c r="H445" s="2">
        <v>20</v>
      </c>
      <c r="I445" s="2">
        <v>870000</v>
      </c>
      <c r="J445" s="2" t="s">
        <v>1027</v>
      </c>
      <c r="K445" s="2" t="s">
        <v>1147</v>
      </c>
      <c r="L445" t="s">
        <v>1018</v>
      </c>
      <c r="M445" s="2" t="s">
        <v>1019</v>
      </c>
      <c r="N445">
        <v>4.2</v>
      </c>
    </row>
    <row r="446" spans="1:14" x14ac:dyDescent="0.3">
      <c r="A446" t="s">
        <v>458</v>
      </c>
      <c r="B446">
        <v>87</v>
      </c>
      <c r="C446" s="2" t="s">
        <v>1014</v>
      </c>
      <c r="D446" s="2" t="s">
        <v>1159</v>
      </c>
      <c r="E446" s="2" t="s">
        <v>1162</v>
      </c>
      <c r="F446" s="1">
        <v>46148</v>
      </c>
      <c r="G446" s="1">
        <v>46152</v>
      </c>
      <c r="H446" s="2">
        <v>4</v>
      </c>
      <c r="I446" s="2">
        <v>78000</v>
      </c>
      <c r="J446" s="2" t="s">
        <v>1027</v>
      </c>
      <c r="K446" s="2" t="s">
        <v>1147</v>
      </c>
      <c r="L446" t="s">
        <v>1018</v>
      </c>
      <c r="M446" s="2" t="s">
        <v>1024</v>
      </c>
      <c r="N446">
        <v>4.3</v>
      </c>
    </row>
    <row r="447" spans="1:14" x14ac:dyDescent="0.3">
      <c r="A447" t="s">
        <v>459</v>
      </c>
      <c r="B447">
        <v>23</v>
      </c>
      <c r="C447" s="2" t="s">
        <v>1014</v>
      </c>
      <c r="D447" s="2" t="s">
        <v>1031</v>
      </c>
      <c r="E447" s="2" t="s">
        <v>1145</v>
      </c>
      <c r="F447" s="1">
        <v>46149</v>
      </c>
      <c r="G447" s="1">
        <v>46154</v>
      </c>
      <c r="H447" s="2">
        <v>5</v>
      </c>
      <c r="I447" s="2">
        <v>98000</v>
      </c>
      <c r="J447" s="2" t="s">
        <v>1027</v>
      </c>
      <c r="K447" s="2" t="s">
        <v>1161</v>
      </c>
      <c r="L447" t="s">
        <v>1018</v>
      </c>
      <c r="M447" s="2" t="s">
        <v>1019</v>
      </c>
      <c r="N447">
        <v>4.4000000000000004</v>
      </c>
    </row>
    <row r="448" spans="1:14" x14ac:dyDescent="0.3">
      <c r="A448" t="s">
        <v>460</v>
      </c>
      <c r="B448">
        <v>24</v>
      </c>
      <c r="C448" s="2" t="s">
        <v>1020</v>
      </c>
      <c r="D448" s="2" t="s">
        <v>1031</v>
      </c>
      <c r="E448" s="2" t="s">
        <v>1034</v>
      </c>
      <c r="F448" s="1">
        <v>46150</v>
      </c>
      <c r="G448" s="1">
        <v>46157</v>
      </c>
      <c r="H448" s="2">
        <v>7</v>
      </c>
      <c r="I448" s="2">
        <v>76990</v>
      </c>
      <c r="J448" s="2" t="s">
        <v>1027</v>
      </c>
      <c r="K448" s="2" t="s">
        <v>1161</v>
      </c>
      <c r="L448" t="s">
        <v>1037</v>
      </c>
      <c r="M448" s="2" t="s">
        <v>1019</v>
      </c>
      <c r="N448">
        <v>5</v>
      </c>
    </row>
    <row r="449" spans="1:14" x14ac:dyDescent="0.3">
      <c r="A449" t="s">
        <v>461</v>
      </c>
      <c r="B449">
        <v>29</v>
      </c>
      <c r="C449" s="2" t="s">
        <v>1014</v>
      </c>
      <c r="D449" s="2" t="s">
        <v>1031</v>
      </c>
      <c r="E449" s="2" t="s">
        <v>1053</v>
      </c>
      <c r="F449" s="1">
        <v>46151</v>
      </c>
      <c r="G449" s="1">
        <v>46162</v>
      </c>
      <c r="H449" s="2">
        <v>11</v>
      </c>
      <c r="I449" s="2">
        <v>145678</v>
      </c>
      <c r="J449" s="2" t="s">
        <v>1027</v>
      </c>
      <c r="K449" s="2" t="s">
        <v>1161</v>
      </c>
      <c r="L449" t="s">
        <v>1018</v>
      </c>
      <c r="M449" s="2" t="s">
        <v>1019</v>
      </c>
      <c r="N449">
        <v>4</v>
      </c>
    </row>
    <row r="450" spans="1:14" x14ac:dyDescent="0.3">
      <c r="A450" t="s">
        <v>462</v>
      </c>
      <c r="B450">
        <v>30</v>
      </c>
      <c r="C450" s="2" t="s">
        <v>1020</v>
      </c>
      <c r="D450" s="2" t="s">
        <v>1031</v>
      </c>
      <c r="E450" s="2" t="s">
        <v>1144</v>
      </c>
      <c r="F450" s="1">
        <v>45787</v>
      </c>
      <c r="G450" s="1">
        <v>46162</v>
      </c>
      <c r="H450" s="2">
        <v>10</v>
      </c>
      <c r="I450" s="2">
        <v>156789</v>
      </c>
      <c r="J450" s="2" t="s">
        <v>1027</v>
      </c>
      <c r="K450" s="2" t="s">
        <v>1161</v>
      </c>
      <c r="L450" t="s">
        <v>1037</v>
      </c>
      <c r="M450" s="2" t="s">
        <v>1019</v>
      </c>
      <c r="N450">
        <v>3.5</v>
      </c>
    </row>
    <row r="451" spans="1:14" x14ac:dyDescent="0.3">
      <c r="A451" t="s">
        <v>463</v>
      </c>
      <c r="B451">
        <v>31</v>
      </c>
      <c r="C451" s="2" t="s">
        <v>1014</v>
      </c>
      <c r="D451" s="2" t="s">
        <v>1031</v>
      </c>
      <c r="E451" s="2" t="s">
        <v>1054</v>
      </c>
      <c r="F451" s="1">
        <v>46153</v>
      </c>
      <c r="G451" s="1">
        <v>46157</v>
      </c>
      <c r="H451" s="2">
        <v>4</v>
      </c>
      <c r="I451" s="2">
        <v>12345</v>
      </c>
      <c r="J451" s="2" t="s">
        <v>1027</v>
      </c>
      <c r="K451" s="2" t="s">
        <v>1161</v>
      </c>
      <c r="L451" t="s">
        <v>1018</v>
      </c>
      <c r="M451" s="2" t="s">
        <v>1019</v>
      </c>
      <c r="N451">
        <v>4</v>
      </c>
    </row>
    <row r="452" spans="1:14" x14ac:dyDescent="0.3">
      <c r="A452" t="s">
        <v>464</v>
      </c>
      <c r="B452">
        <v>45</v>
      </c>
      <c r="C452" s="2" t="s">
        <v>1020</v>
      </c>
      <c r="D452" s="2" t="s">
        <v>1031</v>
      </c>
      <c r="E452" s="2" t="s">
        <v>1054</v>
      </c>
      <c r="F452" s="1">
        <v>46154</v>
      </c>
      <c r="G452" s="1">
        <v>46162</v>
      </c>
      <c r="H452" s="2">
        <v>8</v>
      </c>
      <c r="I452" s="2">
        <v>156789</v>
      </c>
      <c r="J452" s="2" t="s">
        <v>1027</v>
      </c>
      <c r="K452" s="2" t="s">
        <v>1161</v>
      </c>
      <c r="L452" t="s">
        <v>1037</v>
      </c>
      <c r="M452" s="2" t="s">
        <v>1024</v>
      </c>
      <c r="N452">
        <v>5</v>
      </c>
    </row>
    <row r="453" spans="1:14" x14ac:dyDescent="0.3">
      <c r="A453" t="s">
        <v>465</v>
      </c>
      <c r="B453">
        <v>44</v>
      </c>
      <c r="C453" s="2" t="s">
        <v>1014</v>
      </c>
      <c r="D453" s="2" t="s">
        <v>1031</v>
      </c>
      <c r="E453" s="2" t="s">
        <v>1145</v>
      </c>
      <c r="F453" s="1">
        <v>46155</v>
      </c>
      <c r="G453" s="1">
        <v>46157</v>
      </c>
      <c r="H453" s="2">
        <v>2</v>
      </c>
      <c r="I453" s="2">
        <v>110000</v>
      </c>
      <c r="J453" s="2" t="s">
        <v>1027</v>
      </c>
      <c r="K453" s="2" t="s">
        <v>1161</v>
      </c>
      <c r="L453" t="s">
        <v>1037</v>
      </c>
      <c r="M453" s="2" t="s">
        <v>1019</v>
      </c>
      <c r="N453">
        <v>2</v>
      </c>
    </row>
    <row r="454" spans="1:14" x14ac:dyDescent="0.3">
      <c r="A454" t="s">
        <v>466</v>
      </c>
      <c r="B454">
        <v>56</v>
      </c>
      <c r="C454" s="2" t="s">
        <v>1020</v>
      </c>
      <c r="D454" s="2" t="s">
        <v>1031</v>
      </c>
      <c r="E454" s="2" t="s">
        <v>1054</v>
      </c>
      <c r="F454" s="1">
        <v>46156</v>
      </c>
      <c r="G454" s="1">
        <v>46162</v>
      </c>
      <c r="H454" s="2">
        <v>5</v>
      </c>
      <c r="I454" s="2">
        <v>145000</v>
      </c>
      <c r="J454" s="2" t="s">
        <v>1027</v>
      </c>
      <c r="K454" s="2" t="s">
        <v>1161</v>
      </c>
      <c r="L454" t="s">
        <v>1037</v>
      </c>
      <c r="M454" s="2" t="s">
        <v>1024</v>
      </c>
      <c r="N454">
        <v>4</v>
      </c>
    </row>
    <row r="455" spans="1:14" x14ac:dyDescent="0.3">
      <c r="A455" t="s">
        <v>467</v>
      </c>
      <c r="B455">
        <v>67</v>
      </c>
      <c r="C455" s="2" t="s">
        <v>1014</v>
      </c>
      <c r="D455" s="2" t="s">
        <v>1031</v>
      </c>
      <c r="E455" s="2" t="s">
        <v>1145</v>
      </c>
      <c r="F455" s="1">
        <v>46157</v>
      </c>
      <c r="G455" s="1">
        <v>46167</v>
      </c>
      <c r="H455" s="2">
        <v>10</v>
      </c>
      <c r="I455" s="2">
        <v>150000</v>
      </c>
      <c r="J455" s="2" t="s">
        <v>1027</v>
      </c>
      <c r="K455" s="2" t="s">
        <v>1161</v>
      </c>
      <c r="L455" t="s">
        <v>1018</v>
      </c>
      <c r="M455" s="2" t="s">
        <v>1019</v>
      </c>
      <c r="N455">
        <v>5</v>
      </c>
    </row>
    <row r="456" spans="1:14" x14ac:dyDescent="0.3">
      <c r="A456" t="s">
        <v>468</v>
      </c>
      <c r="B456">
        <v>56</v>
      </c>
      <c r="C456" s="2" t="s">
        <v>1020</v>
      </c>
      <c r="D456" s="2" t="s">
        <v>1031</v>
      </c>
      <c r="E456" s="2" t="s">
        <v>1034</v>
      </c>
      <c r="F456" s="1">
        <v>46158</v>
      </c>
      <c r="G456" s="1">
        <v>46162</v>
      </c>
      <c r="H456" s="2">
        <v>5</v>
      </c>
      <c r="I456" s="2">
        <v>67990</v>
      </c>
      <c r="J456" s="2" t="s">
        <v>1027</v>
      </c>
      <c r="K456" s="2" t="s">
        <v>1161</v>
      </c>
      <c r="L456" t="s">
        <v>1018</v>
      </c>
      <c r="M456" t="s">
        <v>1019</v>
      </c>
      <c r="N456">
        <v>3</v>
      </c>
    </row>
    <row r="457" spans="1:14" x14ac:dyDescent="0.3">
      <c r="A457" t="s">
        <v>469</v>
      </c>
      <c r="B457">
        <v>23</v>
      </c>
      <c r="C457" s="2" t="s">
        <v>1014</v>
      </c>
      <c r="D457" s="2" t="s">
        <v>1031</v>
      </c>
      <c r="E457" s="2" t="s">
        <v>1034</v>
      </c>
      <c r="F457" s="1">
        <v>46159</v>
      </c>
      <c r="G457" s="1">
        <v>46170</v>
      </c>
      <c r="H457" s="2">
        <v>11</v>
      </c>
      <c r="I457" s="2">
        <v>159000</v>
      </c>
      <c r="J457" s="2" t="s">
        <v>1027</v>
      </c>
      <c r="K457" s="2" t="s">
        <v>1161</v>
      </c>
      <c r="L457" t="s">
        <v>1037</v>
      </c>
      <c r="M457" s="2" t="s">
        <v>1019</v>
      </c>
      <c r="N457">
        <v>4</v>
      </c>
    </row>
    <row r="458" spans="1:14" x14ac:dyDescent="0.3">
      <c r="A458" t="s">
        <v>470</v>
      </c>
      <c r="B458">
        <v>25</v>
      </c>
      <c r="C458" s="2" t="s">
        <v>1014</v>
      </c>
      <c r="D458" s="2" t="s">
        <v>1031</v>
      </c>
      <c r="E458" s="2" t="s">
        <v>1054</v>
      </c>
      <c r="F458" s="1">
        <v>46159</v>
      </c>
      <c r="G458" s="1">
        <v>46162</v>
      </c>
      <c r="H458" s="2">
        <v>3</v>
      </c>
      <c r="I458" s="2">
        <v>154333</v>
      </c>
      <c r="J458" s="2" t="s">
        <v>1027</v>
      </c>
      <c r="K458" s="2" t="s">
        <v>1161</v>
      </c>
      <c r="L458" t="s">
        <v>1018</v>
      </c>
      <c r="M458" t="s">
        <v>1019</v>
      </c>
      <c r="N458">
        <v>5</v>
      </c>
    </row>
    <row r="459" spans="1:14" x14ac:dyDescent="0.3">
      <c r="A459" t="s">
        <v>471</v>
      </c>
      <c r="B459">
        <v>67</v>
      </c>
      <c r="C459" s="2" t="s">
        <v>1020</v>
      </c>
      <c r="D459" s="2" t="s">
        <v>1031</v>
      </c>
      <c r="E459" s="2" t="s">
        <v>1034</v>
      </c>
      <c r="F459" s="1">
        <v>46159</v>
      </c>
      <c r="G459" s="1">
        <v>46172</v>
      </c>
      <c r="H459" s="2">
        <v>13</v>
      </c>
      <c r="I459" s="2">
        <v>245000</v>
      </c>
      <c r="J459" s="2" t="s">
        <v>1027</v>
      </c>
      <c r="K459" s="2" t="s">
        <v>1161</v>
      </c>
      <c r="L459" t="s">
        <v>1037</v>
      </c>
      <c r="M459" s="2" t="s">
        <v>1019</v>
      </c>
      <c r="N459">
        <v>4</v>
      </c>
    </row>
    <row r="460" spans="1:14" x14ac:dyDescent="0.3">
      <c r="A460" t="s">
        <v>472</v>
      </c>
      <c r="B460">
        <v>54</v>
      </c>
      <c r="C460" s="2" t="s">
        <v>1014</v>
      </c>
      <c r="D460" s="2" t="s">
        <v>1031</v>
      </c>
      <c r="E460" s="2" t="s">
        <v>1145</v>
      </c>
      <c r="F460" s="1">
        <v>46160</v>
      </c>
      <c r="G460" s="1">
        <v>46169</v>
      </c>
      <c r="H460" s="2">
        <v>9</v>
      </c>
      <c r="I460" s="2">
        <v>134567</v>
      </c>
      <c r="J460" s="2" t="s">
        <v>1027</v>
      </c>
      <c r="K460" s="2" t="s">
        <v>1161</v>
      </c>
      <c r="L460" t="s">
        <v>1018</v>
      </c>
      <c r="M460" t="s">
        <v>1019</v>
      </c>
      <c r="N460">
        <v>3</v>
      </c>
    </row>
    <row r="461" spans="1:14" x14ac:dyDescent="0.3">
      <c r="A461" t="s">
        <v>473</v>
      </c>
      <c r="B461">
        <v>78</v>
      </c>
      <c r="C461" s="2" t="s">
        <v>1014</v>
      </c>
      <c r="D461" s="2" t="s">
        <v>1031</v>
      </c>
      <c r="E461" s="2" t="s">
        <v>1145</v>
      </c>
      <c r="F461" s="1">
        <v>46160</v>
      </c>
      <c r="G461" s="1">
        <v>46171</v>
      </c>
      <c r="H461" s="2">
        <v>11</v>
      </c>
      <c r="I461" s="2">
        <v>156000</v>
      </c>
      <c r="J461" s="2" t="s">
        <v>1027</v>
      </c>
      <c r="K461" s="2" t="s">
        <v>1161</v>
      </c>
      <c r="L461" t="s">
        <v>1018</v>
      </c>
      <c r="M461" s="2" t="s">
        <v>1024</v>
      </c>
      <c r="N461">
        <v>2</v>
      </c>
    </row>
    <row r="462" spans="1:14" x14ac:dyDescent="0.3">
      <c r="A462" t="s">
        <v>474</v>
      </c>
      <c r="B462">
        <v>67</v>
      </c>
      <c r="C462" s="2" t="s">
        <v>1014</v>
      </c>
      <c r="D462" s="2" t="s">
        <v>1031</v>
      </c>
      <c r="E462" s="2" t="s">
        <v>1054</v>
      </c>
      <c r="F462" s="1">
        <v>46161</v>
      </c>
      <c r="G462" s="1">
        <v>46162</v>
      </c>
      <c r="H462" s="2">
        <v>1</v>
      </c>
      <c r="I462" s="2">
        <v>67899</v>
      </c>
      <c r="J462" s="2" t="s">
        <v>1027</v>
      </c>
      <c r="K462" s="2" t="s">
        <v>1161</v>
      </c>
      <c r="L462" t="s">
        <v>1018</v>
      </c>
      <c r="M462" t="s">
        <v>1024</v>
      </c>
      <c r="N462">
        <v>3</v>
      </c>
    </row>
    <row r="463" spans="1:14" x14ac:dyDescent="0.3">
      <c r="A463" t="s">
        <v>475</v>
      </c>
      <c r="B463">
        <v>56</v>
      </c>
      <c r="C463" s="2" t="s">
        <v>1014</v>
      </c>
      <c r="D463" s="2" t="s">
        <v>1031</v>
      </c>
      <c r="E463" s="2" t="s">
        <v>1034</v>
      </c>
      <c r="F463" s="1">
        <v>46162</v>
      </c>
      <c r="G463" s="1">
        <v>46172</v>
      </c>
      <c r="H463" s="2">
        <v>10</v>
      </c>
      <c r="I463" s="2">
        <v>78900</v>
      </c>
      <c r="J463" s="2" t="s">
        <v>1027</v>
      </c>
      <c r="K463" s="2" t="s">
        <v>1161</v>
      </c>
      <c r="L463" t="s">
        <v>1037</v>
      </c>
      <c r="M463" s="2" t="s">
        <v>1024</v>
      </c>
      <c r="N463">
        <v>4</v>
      </c>
    </row>
    <row r="464" spans="1:14" x14ac:dyDescent="0.3">
      <c r="A464" t="s">
        <v>476</v>
      </c>
      <c r="B464">
        <v>54</v>
      </c>
      <c r="C464" s="2" t="s">
        <v>1020</v>
      </c>
      <c r="D464" s="2" t="s">
        <v>1031</v>
      </c>
      <c r="E464" s="2" t="s">
        <v>1053</v>
      </c>
      <c r="F464" s="1">
        <v>46163</v>
      </c>
      <c r="G464" s="1">
        <v>46172</v>
      </c>
      <c r="H464" s="2">
        <v>9</v>
      </c>
      <c r="I464" s="2">
        <v>134900</v>
      </c>
      <c r="J464" s="2" t="s">
        <v>1027</v>
      </c>
      <c r="K464" s="2" t="s">
        <v>1161</v>
      </c>
      <c r="L464" t="s">
        <v>1018</v>
      </c>
      <c r="M464" t="s">
        <v>1024</v>
      </c>
      <c r="N464">
        <v>5</v>
      </c>
    </row>
    <row r="465" spans="1:14" x14ac:dyDescent="0.3">
      <c r="A465" t="s">
        <v>477</v>
      </c>
      <c r="B465">
        <v>55</v>
      </c>
      <c r="C465" s="2" t="s">
        <v>1020</v>
      </c>
      <c r="D465" s="2" t="s">
        <v>1031</v>
      </c>
      <c r="E465" s="2" t="s">
        <v>1054</v>
      </c>
      <c r="F465" s="1">
        <v>46164</v>
      </c>
      <c r="G465" s="1">
        <v>46173</v>
      </c>
      <c r="H465" s="2">
        <v>9</v>
      </c>
      <c r="I465" s="2">
        <v>150000</v>
      </c>
      <c r="J465" s="2" t="s">
        <v>1027</v>
      </c>
      <c r="K465" s="2" t="s">
        <v>1161</v>
      </c>
      <c r="L465" t="s">
        <v>1037</v>
      </c>
      <c r="M465" s="2" t="s">
        <v>1024</v>
      </c>
      <c r="N465">
        <v>5</v>
      </c>
    </row>
    <row r="466" spans="1:14" x14ac:dyDescent="0.3">
      <c r="A466" t="s">
        <v>478</v>
      </c>
      <c r="B466">
        <v>67</v>
      </c>
      <c r="C466" s="2" t="s">
        <v>1014</v>
      </c>
      <c r="D466" s="2" t="s">
        <v>1031</v>
      </c>
      <c r="E466" s="2" t="s">
        <v>1034</v>
      </c>
      <c r="F466" s="1">
        <v>46165</v>
      </c>
      <c r="G466" s="1">
        <v>46173</v>
      </c>
      <c r="H466" s="2">
        <v>8</v>
      </c>
      <c r="I466" s="2">
        <v>140000</v>
      </c>
      <c r="J466" s="2" t="s">
        <v>1027</v>
      </c>
      <c r="K466" s="2" t="s">
        <v>1161</v>
      </c>
      <c r="L466" t="s">
        <v>1018</v>
      </c>
      <c r="M466" s="2" t="s">
        <v>1019</v>
      </c>
      <c r="N466">
        <v>5</v>
      </c>
    </row>
    <row r="467" spans="1:14" x14ac:dyDescent="0.3">
      <c r="A467" t="s">
        <v>479</v>
      </c>
      <c r="B467">
        <v>65</v>
      </c>
      <c r="C467" s="2" t="s">
        <v>1020</v>
      </c>
      <c r="D467" s="2" t="s">
        <v>1031</v>
      </c>
      <c r="E467" s="2" t="s">
        <v>1054</v>
      </c>
      <c r="F467" s="1">
        <v>46166</v>
      </c>
      <c r="G467" s="1">
        <v>46170</v>
      </c>
      <c r="H467" s="2">
        <v>4</v>
      </c>
      <c r="I467" s="2">
        <v>120000</v>
      </c>
      <c r="J467" s="2" t="s">
        <v>1027</v>
      </c>
      <c r="K467" s="2" t="s">
        <v>1161</v>
      </c>
      <c r="L467" t="s">
        <v>1037</v>
      </c>
      <c r="M467" s="2" t="s">
        <v>1024</v>
      </c>
      <c r="N467">
        <v>4</v>
      </c>
    </row>
    <row r="468" spans="1:14" x14ac:dyDescent="0.3">
      <c r="A468" t="s">
        <v>480</v>
      </c>
      <c r="B468">
        <v>34</v>
      </c>
      <c r="C468" s="2" t="s">
        <v>1020</v>
      </c>
      <c r="D468" s="2" t="s">
        <v>1031</v>
      </c>
      <c r="E468" s="2" t="s">
        <v>1054</v>
      </c>
      <c r="F468" s="1">
        <v>46167</v>
      </c>
      <c r="G468" s="1">
        <v>45809</v>
      </c>
      <c r="H468" s="2">
        <v>7</v>
      </c>
      <c r="I468" s="2">
        <v>150000</v>
      </c>
      <c r="J468" s="2" t="s">
        <v>1027</v>
      </c>
      <c r="K468" s="2" t="s">
        <v>1161</v>
      </c>
      <c r="L468" t="s">
        <v>1037</v>
      </c>
      <c r="M468" t="s">
        <v>1024</v>
      </c>
      <c r="N468">
        <v>4</v>
      </c>
    </row>
    <row r="469" spans="1:14" x14ac:dyDescent="0.3">
      <c r="A469" t="s">
        <v>481</v>
      </c>
      <c r="B469">
        <v>45</v>
      </c>
      <c r="C469" s="2" t="s">
        <v>1020</v>
      </c>
      <c r="D469" s="2" t="s">
        <v>1031</v>
      </c>
      <c r="E469" s="2" t="s">
        <v>1053</v>
      </c>
      <c r="F469" s="1">
        <v>46168</v>
      </c>
      <c r="G469" s="1">
        <v>45810</v>
      </c>
      <c r="H469" s="2">
        <v>7</v>
      </c>
      <c r="I469" s="2">
        <v>49000</v>
      </c>
      <c r="J469" s="2" t="s">
        <v>1027</v>
      </c>
      <c r="K469" s="2" t="s">
        <v>1161</v>
      </c>
      <c r="L469" t="s">
        <v>1037</v>
      </c>
      <c r="M469" s="2" t="s">
        <v>1024</v>
      </c>
      <c r="N469">
        <v>4</v>
      </c>
    </row>
    <row r="470" spans="1:14" x14ac:dyDescent="0.3">
      <c r="A470" t="s">
        <v>482</v>
      </c>
      <c r="B470">
        <v>56</v>
      </c>
      <c r="C470" s="2" t="s">
        <v>1014</v>
      </c>
      <c r="D470" s="2" t="s">
        <v>1031</v>
      </c>
      <c r="E470" s="2" t="s">
        <v>1145</v>
      </c>
      <c r="F470" s="1">
        <v>46169</v>
      </c>
      <c r="G470" s="1">
        <v>46178</v>
      </c>
      <c r="H470" s="2">
        <v>9</v>
      </c>
      <c r="I470" s="2">
        <v>67000</v>
      </c>
      <c r="J470" s="2" t="s">
        <v>1027</v>
      </c>
      <c r="K470" s="2" t="s">
        <v>1161</v>
      </c>
      <c r="L470" t="s">
        <v>1018</v>
      </c>
      <c r="M470" t="s">
        <v>1019</v>
      </c>
      <c r="N470">
        <v>5</v>
      </c>
    </row>
    <row r="471" spans="1:14" x14ac:dyDescent="0.3">
      <c r="A471" t="s">
        <v>483</v>
      </c>
      <c r="B471">
        <v>67</v>
      </c>
      <c r="C471" s="2" t="s">
        <v>1014</v>
      </c>
      <c r="D471" s="2" t="s">
        <v>1031</v>
      </c>
      <c r="E471" s="2" t="s">
        <v>1163</v>
      </c>
      <c r="F471" s="1">
        <v>46170</v>
      </c>
      <c r="G471" s="1">
        <v>46183</v>
      </c>
      <c r="H471" s="2">
        <v>12</v>
      </c>
      <c r="I471" s="2">
        <v>154890</v>
      </c>
      <c r="J471" s="2" t="s">
        <v>1027</v>
      </c>
      <c r="K471" s="2" t="s">
        <v>1161</v>
      </c>
      <c r="L471" t="s">
        <v>1018</v>
      </c>
      <c r="M471" s="2" t="s">
        <v>1038</v>
      </c>
      <c r="N471">
        <v>4</v>
      </c>
    </row>
    <row r="472" spans="1:14" x14ac:dyDescent="0.3">
      <c r="A472" t="s">
        <v>484</v>
      </c>
      <c r="B472">
        <v>45</v>
      </c>
      <c r="C472" s="2" t="s">
        <v>1014</v>
      </c>
      <c r="D472" s="2" t="s">
        <v>1031</v>
      </c>
      <c r="E472" s="2" t="s">
        <v>1145</v>
      </c>
      <c r="F472" s="1">
        <v>46171</v>
      </c>
      <c r="G472" s="1">
        <v>46185</v>
      </c>
      <c r="H472" s="2">
        <v>14</v>
      </c>
      <c r="I472" s="2">
        <v>167890</v>
      </c>
      <c r="J472" s="2" t="s">
        <v>1027</v>
      </c>
      <c r="K472" s="2" t="s">
        <v>1161</v>
      </c>
      <c r="L472" t="s">
        <v>1037</v>
      </c>
      <c r="M472" t="s">
        <v>1038</v>
      </c>
      <c r="N472">
        <v>5</v>
      </c>
    </row>
    <row r="473" spans="1:14" x14ac:dyDescent="0.3">
      <c r="A473" t="s">
        <v>485</v>
      </c>
      <c r="B473">
        <v>46</v>
      </c>
      <c r="C473" s="2" t="s">
        <v>1020</v>
      </c>
      <c r="D473" s="2" t="s">
        <v>1031</v>
      </c>
      <c r="E473" s="2" t="s">
        <v>1053</v>
      </c>
      <c r="F473" s="1">
        <v>46172</v>
      </c>
      <c r="G473" s="1">
        <v>46183</v>
      </c>
      <c r="H473" s="2">
        <v>11</v>
      </c>
      <c r="I473" s="2">
        <v>178900</v>
      </c>
      <c r="J473" s="2" t="s">
        <v>1027</v>
      </c>
      <c r="K473" s="2" t="s">
        <v>1161</v>
      </c>
      <c r="L473" t="s">
        <v>1018</v>
      </c>
      <c r="M473" s="2" t="s">
        <v>1038</v>
      </c>
      <c r="N473">
        <v>4</v>
      </c>
    </row>
    <row r="474" spans="1:14" x14ac:dyDescent="0.3">
      <c r="A474" t="s">
        <v>486</v>
      </c>
      <c r="B474">
        <v>34</v>
      </c>
      <c r="C474" s="2" t="s">
        <v>1020</v>
      </c>
      <c r="D474" s="2" t="s">
        <v>1031</v>
      </c>
      <c r="E474" s="2" t="s">
        <v>1054</v>
      </c>
      <c r="F474" s="1">
        <v>46173</v>
      </c>
      <c r="G474" s="1">
        <v>46178</v>
      </c>
      <c r="H474" s="2">
        <v>5</v>
      </c>
      <c r="I474" s="2">
        <v>13456</v>
      </c>
      <c r="J474" s="2" t="s">
        <v>1027</v>
      </c>
      <c r="K474" s="2" t="s">
        <v>1161</v>
      </c>
      <c r="L474" t="s">
        <v>1037</v>
      </c>
      <c r="M474" t="s">
        <v>1038</v>
      </c>
      <c r="N474">
        <v>3</v>
      </c>
    </row>
    <row r="475" spans="1:14" x14ac:dyDescent="0.3">
      <c r="A475" t="s">
        <v>487</v>
      </c>
      <c r="B475">
        <v>33</v>
      </c>
      <c r="C475" s="2" t="s">
        <v>1020</v>
      </c>
      <c r="D475" s="2" t="s">
        <v>1031</v>
      </c>
      <c r="E475" s="2" t="s">
        <v>1053</v>
      </c>
      <c r="F475" s="1">
        <v>46174</v>
      </c>
      <c r="G475" s="1">
        <v>46183</v>
      </c>
      <c r="H475" s="2">
        <v>10</v>
      </c>
      <c r="I475" s="2">
        <v>156000</v>
      </c>
      <c r="J475" s="2" t="s">
        <v>1027</v>
      </c>
      <c r="K475" s="2" t="s">
        <v>1161</v>
      </c>
      <c r="L475" t="s">
        <v>1037</v>
      </c>
      <c r="M475" s="2" t="s">
        <v>1038</v>
      </c>
      <c r="N475">
        <v>4</v>
      </c>
    </row>
    <row r="476" spans="1:14" x14ac:dyDescent="0.3">
      <c r="A476" t="s">
        <v>488</v>
      </c>
      <c r="B476">
        <v>39</v>
      </c>
      <c r="C476" s="2" t="s">
        <v>1014</v>
      </c>
      <c r="D476" s="2" t="s">
        <v>1031</v>
      </c>
      <c r="E476" s="2" t="s">
        <v>1034</v>
      </c>
      <c r="F476" s="1">
        <v>46175</v>
      </c>
      <c r="G476" s="1">
        <v>46185</v>
      </c>
      <c r="H476" s="2">
        <v>10</v>
      </c>
      <c r="I476" s="2">
        <v>178000</v>
      </c>
      <c r="J476" s="2" t="s">
        <v>1027</v>
      </c>
      <c r="K476" s="2" t="s">
        <v>1161</v>
      </c>
      <c r="L476" t="s">
        <v>1018</v>
      </c>
      <c r="M476" t="s">
        <v>1038</v>
      </c>
      <c r="N476">
        <v>5</v>
      </c>
    </row>
    <row r="477" spans="1:14" x14ac:dyDescent="0.3">
      <c r="A477" t="s">
        <v>489</v>
      </c>
      <c r="B477">
        <v>56</v>
      </c>
      <c r="C477" s="2" t="s">
        <v>1014</v>
      </c>
      <c r="D477" s="2" t="s">
        <v>1031</v>
      </c>
      <c r="E477" s="2" t="s">
        <v>1034</v>
      </c>
      <c r="F477" s="1">
        <v>46176</v>
      </c>
      <c r="G477" s="1">
        <v>46183</v>
      </c>
      <c r="H477" s="2">
        <v>7</v>
      </c>
      <c r="I477" s="2">
        <v>154321</v>
      </c>
      <c r="J477" s="2" t="s">
        <v>1027</v>
      </c>
      <c r="K477" s="2" t="s">
        <v>1161</v>
      </c>
      <c r="L477" t="s">
        <v>1018</v>
      </c>
      <c r="M477" s="2" t="s">
        <v>1038</v>
      </c>
      <c r="N477">
        <v>3</v>
      </c>
    </row>
    <row r="478" spans="1:14" x14ac:dyDescent="0.3">
      <c r="A478" t="s">
        <v>490</v>
      </c>
      <c r="B478">
        <v>23</v>
      </c>
      <c r="C478" s="2" t="s">
        <v>1014</v>
      </c>
      <c r="D478" s="2" t="s">
        <v>1031</v>
      </c>
      <c r="E478" s="2" t="s">
        <v>1054</v>
      </c>
      <c r="F478" s="1">
        <v>46177</v>
      </c>
      <c r="G478" s="1">
        <v>46197</v>
      </c>
      <c r="H478" s="2">
        <v>20</v>
      </c>
      <c r="I478" s="2">
        <v>12900</v>
      </c>
      <c r="J478" s="2" t="s">
        <v>1027</v>
      </c>
      <c r="K478" s="2" t="s">
        <v>1161</v>
      </c>
      <c r="L478" t="s">
        <v>1037</v>
      </c>
      <c r="M478" t="s">
        <v>1038</v>
      </c>
      <c r="N478">
        <v>4</v>
      </c>
    </row>
    <row r="479" spans="1:14" x14ac:dyDescent="0.3">
      <c r="A479" t="s">
        <v>491</v>
      </c>
      <c r="B479">
        <v>34</v>
      </c>
      <c r="C479" s="2" t="s">
        <v>1014</v>
      </c>
      <c r="D479" s="2" t="s">
        <v>1031</v>
      </c>
      <c r="E479" s="2" t="s">
        <v>1054</v>
      </c>
      <c r="F479" s="1">
        <v>46178</v>
      </c>
      <c r="G479" s="1">
        <v>46198</v>
      </c>
      <c r="H479" s="2">
        <v>20</v>
      </c>
      <c r="I479" s="2">
        <v>134567</v>
      </c>
      <c r="J479" s="2" t="s">
        <v>1027</v>
      </c>
      <c r="K479" s="2" t="s">
        <v>1161</v>
      </c>
      <c r="L479" t="s">
        <v>1018</v>
      </c>
      <c r="M479" s="2" t="s">
        <v>1038</v>
      </c>
      <c r="N479">
        <v>5</v>
      </c>
    </row>
    <row r="480" spans="1:14" x14ac:dyDescent="0.3">
      <c r="A480" t="s">
        <v>492</v>
      </c>
      <c r="B480">
        <v>45</v>
      </c>
      <c r="C480" s="2" t="s">
        <v>1014</v>
      </c>
      <c r="D480" s="2" t="s">
        <v>1031</v>
      </c>
      <c r="E480" s="2" t="s">
        <v>1054</v>
      </c>
      <c r="F480" s="1">
        <v>46179</v>
      </c>
      <c r="G480" s="1">
        <v>46199</v>
      </c>
      <c r="H480" s="2">
        <v>20</v>
      </c>
      <c r="I480" s="2">
        <v>12345</v>
      </c>
      <c r="J480" s="2" t="s">
        <v>1027</v>
      </c>
      <c r="K480" s="2" t="s">
        <v>1161</v>
      </c>
      <c r="L480" t="s">
        <v>1037</v>
      </c>
      <c r="M480" t="s">
        <v>1019</v>
      </c>
      <c r="N480">
        <v>3</v>
      </c>
    </row>
    <row r="481" spans="1:14" x14ac:dyDescent="0.3">
      <c r="A481" t="s">
        <v>493</v>
      </c>
      <c r="B481">
        <v>43</v>
      </c>
      <c r="C481" s="2" t="s">
        <v>1020</v>
      </c>
      <c r="D481" s="2" t="s">
        <v>1031</v>
      </c>
      <c r="E481" s="2" t="s">
        <v>1054</v>
      </c>
      <c r="F481" s="1">
        <v>46180</v>
      </c>
      <c r="G481" s="1">
        <v>46200</v>
      </c>
      <c r="H481" s="2">
        <v>20</v>
      </c>
      <c r="I481" s="2">
        <v>145000</v>
      </c>
      <c r="J481" s="2" t="s">
        <v>1027</v>
      </c>
      <c r="K481" s="2" t="s">
        <v>1161</v>
      </c>
      <c r="L481" t="s">
        <v>1018</v>
      </c>
      <c r="M481" s="2" t="s">
        <v>1019</v>
      </c>
      <c r="N481">
        <v>5</v>
      </c>
    </row>
    <row r="482" spans="1:14" x14ac:dyDescent="0.3">
      <c r="A482" t="s">
        <v>494</v>
      </c>
      <c r="B482">
        <v>32</v>
      </c>
      <c r="C482" s="2" t="s">
        <v>1020</v>
      </c>
      <c r="D482" s="2" t="s">
        <v>1031</v>
      </c>
      <c r="E482" s="2" t="s">
        <v>1054</v>
      </c>
      <c r="F482" s="1">
        <v>46181</v>
      </c>
      <c r="G482" s="1">
        <v>46201</v>
      </c>
      <c r="H482" s="2">
        <v>20</v>
      </c>
      <c r="I482" s="2">
        <v>45999</v>
      </c>
      <c r="J482" s="2" t="s">
        <v>1027</v>
      </c>
      <c r="K482" s="2" t="s">
        <v>1161</v>
      </c>
      <c r="L482" t="s">
        <v>1037</v>
      </c>
      <c r="M482" t="s">
        <v>1019</v>
      </c>
      <c r="N482">
        <v>4</v>
      </c>
    </row>
    <row r="483" spans="1:14" x14ac:dyDescent="0.3">
      <c r="A483" t="s">
        <v>495</v>
      </c>
      <c r="B483">
        <v>12</v>
      </c>
      <c r="C483" s="2" t="s">
        <v>1020</v>
      </c>
      <c r="D483" s="2" t="s">
        <v>1031</v>
      </c>
      <c r="E483" s="2" t="s">
        <v>1054</v>
      </c>
      <c r="F483" s="1">
        <v>46182</v>
      </c>
      <c r="G483" s="1">
        <v>46202</v>
      </c>
      <c r="H483" s="2">
        <v>20</v>
      </c>
      <c r="I483" s="2">
        <v>78900</v>
      </c>
      <c r="J483" s="2" t="s">
        <v>1027</v>
      </c>
      <c r="K483" s="2" t="s">
        <v>1161</v>
      </c>
      <c r="L483" t="s">
        <v>1037</v>
      </c>
      <c r="M483" s="2" t="s">
        <v>1019</v>
      </c>
      <c r="N483">
        <v>3</v>
      </c>
    </row>
    <row r="484" spans="1:14" x14ac:dyDescent="0.3">
      <c r="A484" t="s">
        <v>496</v>
      </c>
      <c r="B484">
        <v>23</v>
      </c>
      <c r="C484" s="2" t="s">
        <v>1020</v>
      </c>
      <c r="D484" s="2" t="s">
        <v>1031</v>
      </c>
      <c r="E484" s="2" t="s">
        <v>1054</v>
      </c>
      <c r="F484" s="1">
        <v>46183</v>
      </c>
      <c r="G484" s="1">
        <v>46203</v>
      </c>
      <c r="H484" s="2">
        <v>20</v>
      </c>
      <c r="I484" s="2">
        <v>98000</v>
      </c>
      <c r="J484" s="2" t="s">
        <v>1027</v>
      </c>
      <c r="K484" s="2" t="s">
        <v>1161</v>
      </c>
      <c r="L484" t="s">
        <v>1037</v>
      </c>
      <c r="M484" t="s">
        <v>1019</v>
      </c>
      <c r="N484">
        <v>5</v>
      </c>
    </row>
    <row r="485" spans="1:14" x14ac:dyDescent="0.3">
      <c r="A485" t="s">
        <v>497</v>
      </c>
      <c r="B485">
        <v>34</v>
      </c>
      <c r="C485" s="2" t="s">
        <v>1020</v>
      </c>
      <c r="D485" s="2" t="s">
        <v>1031</v>
      </c>
      <c r="E485" s="2" t="s">
        <v>1054</v>
      </c>
      <c r="F485" s="1">
        <v>46184</v>
      </c>
      <c r="G485" s="1">
        <v>46204</v>
      </c>
      <c r="H485" s="2">
        <v>20</v>
      </c>
      <c r="I485" s="2">
        <v>100000</v>
      </c>
      <c r="J485" s="2" t="s">
        <v>1027</v>
      </c>
      <c r="K485" s="2" t="s">
        <v>1161</v>
      </c>
      <c r="L485" t="s">
        <v>1018</v>
      </c>
      <c r="M485" s="2" t="s">
        <v>1019</v>
      </c>
      <c r="N485">
        <v>4</v>
      </c>
    </row>
    <row r="486" spans="1:14" x14ac:dyDescent="0.3">
      <c r="A486" t="s">
        <v>498</v>
      </c>
      <c r="B486">
        <v>32</v>
      </c>
      <c r="C486" s="2" t="s">
        <v>1014</v>
      </c>
      <c r="D486" s="2" t="s">
        <v>1031</v>
      </c>
      <c r="E486" s="2" t="s">
        <v>1054</v>
      </c>
      <c r="F486" s="1">
        <v>46185</v>
      </c>
      <c r="G486" s="1">
        <v>46205</v>
      </c>
      <c r="H486" s="2">
        <v>20</v>
      </c>
      <c r="I486" s="2">
        <v>120000</v>
      </c>
      <c r="J486" s="2" t="s">
        <v>1027</v>
      </c>
      <c r="K486" s="2" t="s">
        <v>1161</v>
      </c>
      <c r="L486" t="s">
        <v>1018</v>
      </c>
      <c r="N486">
        <v>3</v>
      </c>
    </row>
    <row r="487" spans="1:14" x14ac:dyDescent="0.3">
      <c r="A487" t="s">
        <v>499</v>
      </c>
      <c r="B487">
        <v>12</v>
      </c>
      <c r="C487" s="2" t="s">
        <v>1014</v>
      </c>
      <c r="D487" s="2" t="s">
        <v>1031</v>
      </c>
      <c r="E487" s="2" t="s">
        <v>1054</v>
      </c>
      <c r="F487" s="1">
        <v>46186</v>
      </c>
      <c r="G487" s="1">
        <v>46206</v>
      </c>
      <c r="H487" s="2">
        <v>20</v>
      </c>
      <c r="I487" s="2">
        <v>23999</v>
      </c>
      <c r="J487" s="2" t="s">
        <v>1027</v>
      </c>
      <c r="K487" s="2" t="s">
        <v>1161</v>
      </c>
      <c r="L487" t="s">
        <v>1037</v>
      </c>
      <c r="M487" s="2" t="s">
        <v>1019</v>
      </c>
      <c r="N487">
        <v>5</v>
      </c>
    </row>
    <row r="488" spans="1:14" x14ac:dyDescent="0.3">
      <c r="A488" t="s">
        <v>500</v>
      </c>
      <c r="B488">
        <v>23</v>
      </c>
      <c r="C488" s="2" t="s">
        <v>1014</v>
      </c>
      <c r="D488" s="2" t="s">
        <v>1031</v>
      </c>
      <c r="E488" s="2" t="s">
        <v>1053</v>
      </c>
      <c r="F488" s="1">
        <v>46187</v>
      </c>
      <c r="G488" s="1">
        <v>46207</v>
      </c>
      <c r="H488" s="2">
        <v>20</v>
      </c>
      <c r="I488" s="2">
        <v>48999</v>
      </c>
      <c r="J488" s="2" t="s">
        <v>1027</v>
      </c>
      <c r="K488" s="2" t="s">
        <v>1161</v>
      </c>
      <c r="L488" t="s">
        <v>1018</v>
      </c>
      <c r="M488" t="s">
        <v>1019</v>
      </c>
      <c r="N488">
        <v>4</v>
      </c>
    </row>
    <row r="489" spans="1:14" x14ac:dyDescent="0.3">
      <c r="A489" t="s">
        <v>501</v>
      </c>
      <c r="B489">
        <v>32</v>
      </c>
      <c r="C489" s="2" t="s">
        <v>1014</v>
      </c>
      <c r="D489" s="2" t="s">
        <v>1031</v>
      </c>
      <c r="E489" s="2" t="s">
        <v>1053</v>
      </c>
      <c r="F489" s="1">
        <v>46188</v>
      </c>
      <c r="G489" s="1">
        <v>46208</v>
      </c>
      <c r="H489" s="2">
        <v>20</v>
      </c>
      <c r="I489" s="2">
        <v>56000</v>
      </c>
      <c r="J489" s="2" t="s">
        <v>1027</v>
      </c>
      <c r="K489" s="2" t="s">
        <v>1161</v>
      </c>
      <c r="L489" t="s">
        <v>1037</v>
      </c>
      <c r="M489" s="2" t="s">
        <v>1019</v>
      </c>
      <c r="N489">
        <v>3</v>
      </c>
    </row>
    <row r="490" spans="1:14" x14ac:dyDescent="0.3">
      <c r="A490" t="s">
        <v>502</v>
      </c>
      <c r="B490">
        <v>34</v>
      </c>
      <c r="C490" s="2" t="s">
        <v>1014</v>
      </c>
      <c r="D490" s="2" t="s">
        <v>1031</v>
      </c>
      <c r="E490" s="2" t="s">
        <v>1053</v>
      </c>
      <c r="F490" s="1">
        <v>46189</v>
      </c>
      <c r="G490" s="1">
        <v>46209</v>
      </c>
      <c r="H490" s="2">
        <v>20</v>
      </c>
      <c r="I490" s="2">
        <v>98000</v>
      </c>
      <c r="J490" s="2" t="s">
        <v>1027</v>
      </c>
      <c r="K490" s="2" t="s">
        <v>1161</v>
      </c>
      <c r="N490">
        <v>4</v>
      </c>
    </row>
    <row r="491" spans="1:14" x14ac:dyDescent="0.3">
      <c r="A491" t="s">
        <v>503</v>
      </c>
      <c r="B491">
        <v>32</v>
      </c>
      <c r="C491" s="2" t="s">
        <v>1020</v>
      </c>
      <c r="D491" s="2" t="s">
        <v>1031</v>
      </c>
      <c r="E491" s="2" t="s">
        <v>1053</v>
      </c>
      <c r="F491" s="1">
        <v>46190</v>
      </c>
      <c r="G491" s="1">
        <v>46210</v>
      </c>
      <c r="H491" s="2">
        <v>20</v>
      </c>
      <c r="I491" s="2">
        <v>100000</v>
      </c>
      <c r="J491" s="2" t="s">
        <v>1027</v>
      </c>
      <c r="K491" s="2" t="s">
        <v>1161</v>
      </c>
      <c r="L491" t="s">
        <v>1018</v>
      </c>
      <c r="M491" s="2" t="s">
        <v>1155</v>
      </c>
      <c r="N491">
        <v>5</v>
      </c>
    </row>
    <row r="492" spans="1:14" x14ac:dyDescent="0.3">
      <c r="A492" t="s">
        <v>504</v>
      </c>
      <c r="B492">
        <v>12</v>
      </c>
      <c r="C492" s="2" t="s">
        <v>1020</v>
      </c>
      <c r="D492" s="2" t="s">
        <v>1031</v>
      </c>
      <c r="E492" s="2" t="s">
        <v>1053</v>
      </c>
      <c r="F492" s="1">
        <v>46191</v>
      </c>
      <c r="G492" s="1">
        <v>46211</v>
      </c>
      <c r="H492" s="2">
        <v>20</v>
      </c>
      <c r="I492" s="2">
        <v>78000</v>
      </c>
      <c r="J492" s="2" t="s">
        <v>1027</v>
      </c>
      <c r="K492" s="2" t="s">
        <v>1161</v>
      </c>
      <c r="L492" t="s">
        <v>1018</v>
      </c>
      <c r="M492" t="s">
        <v>1019</v>
      </c>
      <c r="N492">
        <v>3</v>
      </c>
    </row>
    <row r="493" spans="1:14" x14ac:dyDescent="0.3">
      <c r="A493" t="s">
        <v>505</v>
      </c>
      <c r="B493">
        <v>13</v>
      </c>
      <c r="C493" s="2" t="s">
        <v>1020</v>
      </c>
      <c r="D493" s="2" t="s">
        <v>1031</v>
      </c>
      <c r="E493" s="2" t="s">
        <v>1053</v>
      </c>
      <c r="F493" s="1">
        <v>46192</v>
      </c>
      <c r="G493" s="1">
        <v>46211</v>
      </c>
      <c r="H493" s="2">
        <v>19</v>
      </c>
      <c r="I493" s="2">
        <v>99000</v>
      </c>
      <c r="J493" s="2" t="s">
        <v>1027</v>
      </c>
      <c r="K493" s="2" t="s">
        <v>1146</v>
      </c>
      <c r="L493" t="s">
        <v>1037</v>
      </c>
      <c r="M493" s="2" t="s">
        <v>1019</v>
      </c>
      <c r="N493">
        <v>4</v>
      </c>
    </row>
    <row r="494" spans="1:14" x14ac:dyDescent="0.3">
      <c r="A494" t="s">
        <v>506</v>
      </c>
      <c r="B494">
        <v>24</v>
      </c>
      <c r="C494" t="s">
        <v>1020</v>
      </c>
      <c r="D494" s="2" t="s">
        <v>1039</v>
      </c>
      <c r="E494" t="s">
        <v>1137</v>
      </c>
      <c r="F494" s="1">
        <v>46193</v>
      </c>
      <c r="G494" s="1">
        <v>46212</v>
      </c>
      <c r="H494" s="2">
        <v>19</v>
      </c>
      <c r="I494" s="2">
        <v>100000</v>
      </c>
      <c r="J494" s="2" t="s">
        <v>1027</v>
      </c>
      <c r="K494" t="s">
        <v>1059</v>
      </c>
      <c r="L494" t="s">
        <v>1018</v>
      </c>
      <c r="M494" t="s">
        <v>1024</v>
      </c>
      <c r="N494">
        <v>5</v>
      </c>
    </row>
    <row r="495" spans="1:14" x14ac:dyDescent="0.3">
      <c r="A495" t="s">
        <v>507</v>
      </c>
      <c r="B495">
        <v>54</v>
      </c>
      <c r="C495" t="s">
        <v>1020</v>
      </c>
      <c r="D495" s="2" t="s">
        <v>1039</v>
      </c>
      <c r="E495" t="s">
        <v>1164</v>
      </c>
      <c r="F495" s="1">
        <v>46194</v>
      </c>
      <c r="G495" s="1">
        <v>46213</v>
      </c>
      <c r="H495" s="2">
        <v>19</v>
      </c>
      <c r="I495" s="2">
        <v>13000</v>
      </c>
      <c r="J495" s="2" t="s">
        <v>1027</v>
      </c>
      <c r="K495" t="s">
        <v>1059</v>
      </c>
      <c r="L495" t="s">
        <v>1037</v>
      </c>
      <c r="M495" s="2" t="s">
        <v>1024</v>
      </c>
      <c r="N495">
        <v>4</v>
      </c>
    </row>
    <row r="496" spans="1:14" x14ac:dyDescent="0.3">
      <c r="A496" t="s">
        <v>508</v>
      </c>
      <c r="B496">
        <v>3</v>
      </c>
      <c r="C496" t="s">
        <v>1020</v>
      </c>
      <c r="D496" s="2" t="s">
        <v>1039</v>
      </c>
      <c r="E496" t="s">
        <v>1137</v>
      </c>
      <c r="F496" s="1">
        <v>46195</v>
      </c>
      <c r="G496" s="1">
        <v>46214</v>
      </c>
      <c r="H496" s="2">
        <v>19</v>
      </c>
      <c r="I496" s="2">
        <v>21000</v>
      </c>
      <c r="J496" s="2" t="s">
        <v>1027</v>
      </c>
      <c r="K496" t="s">
        <v>1059</v>
      </c>
      <c r="L496" t="s">
        <v>1018</v>
      </c>
      <c r="M496" t="s">
        <v>1024</v>
      </c>
    </row>
    <row r="497" spans="1:14" x14ac:dyDescent="0.3">
      <c r="A497" t="s">
        <v>509</v>
      </c>
      <c r="B497">
        <v>45</v>
      </c>
      <c r="C497" t="s">
        <v>1020</v>
      </c>
      <c r="D497" s="2" t="s">
        <v>1039</v>
      </c>
      <c r="E497" t="s">
        <v>1102</v>
      </c>
      <c r="F497" s="1">
        <v>46196</v>
      </c>
      <c r="G497" s="1">
        <v>46215</v>
      </c>
      <c r="H497" s="2">
        <v>19</v>
      </c>
      <c r="I497" s="2">
        <v>32000</v>
      </c>
      <c r="J497" s="2" t="s">
        <v>1027</v>
      </c>
      <c r="K497" t="s">
        <v>1059</v>
      </c>
      <c r="L497" t="s">
        <v>1037</v>
      </c>
      <c r="M497" s="2" t="s">
        <v>1024</v>
      </c>
      <c r="N497">
        <v>5</v>
      </c>
    </row>
    <row r="498" spans="1:14" x14ac:dyDescent="0.3">
      <c r="A498" t="s">
        <v>510</v>
      </c>
      <c r="B498">
        <v>44</v>
      </c>
      <c r="C498" t="s">
        <v>1014</v>
      </c>
      <c r="D498" s="2" t="s">
        <v>1039</v>
      </c>
      <c r="E498" t="s">
        <v>1165</v>
      </c>
      <c r="F498" s="1">
        <v>46197</v>
      </c>
      <c r="G498" s="1">
        <v>46216</v>
      </c>
      <c r="H498" s="2">
        <v>19</v>
      </c>
      <c r="I498" s="2">
        <v>42000</v>
      </c>
      <c r="J498" s="2" t="s">
        <v>1027</v>
      </c>
      <c r="K498" t="s">
        <v>1059</v>
      </c>
      <c r="L498" t="s">
        <v>1037</v>
      </c>
      <c r="M498" t="s">
        <v>1024</v>
      </c>
      <c r="N498">
        <v>3</v>
      </c>
    </row>
    <row r="499" spans="1:14" x14ac:dyDescent="0.3">
      <c r="A499" t="s">
        <v>511</v>
      </c>
      <c r="B499">
        <v>34</v>
      </c>
      <c r="C499" t="s">
        <v>1014</v>
      </c>
      <c r="D499" s="2" t="s">
        <v>1039</v>
      </c>
      <c r="E499" t="s">
        <v>1137</v>
      </c>
      <c r="F499" s="1">
        <v>46198</v>
      </c>
      <c r="G499" s="1">
        <v>46217</v>
      </c>
      <c r="H499" s="2">
        <v>19</v>
      </c>
      <c r="I499" s="2">
        <v>53000</v>
      </c>
      <c r="J499" s="2" t="s">
        <v>1027</v>
      </c>
      <c r="K499" t="s">
        <v>1059</v>
      </c>
      <c r="L499" t="s">
        <v>1037</v>
      </c>
      <c r="M499" s="2" t="s">
        <v>1024</v>
      </c>
      <c r="N499">
        <v>5</v>
      </c>
    </row>
    <row r="500" spans="1:14" x14ac:dyDescent="0.3">
      <c r="A500" t="s">
        <v>512</v>
      </c>
      <c r="B500">
        <v>21</v>
      </c>
      <c r="C500" t="s">
        <v>1020</v>
      </c>
      <c r="D500" s="2" t="s">
        <v>1039</v>
      </c>
      <c r="E500" t="s">
        <v>1165</v>
      </c>
      <c r="F500" s="1">
        <v>46199</v>
      </c>
      <c r="G500" s="1">
        <v>46218</v>
      </c>
      <c r="H500" s="2">
        <v>19</v>
      </c>
      <c r="I500" s="2">
        <v>56000</v>
      </c>
      <c r="J500" s="2" t="s">
        <v>1027</v>
      </c>
      <c r="K500" t="s">
        <v>1059</v>
      </c>
      <c r="L500" t="s">
        <v>1018</v>
      </c>
      <c r="M500" t="s">
        <v>1024</v>
      </c>
      <c r="N500">
        <v>4</v>
      </c>
    </row>
    <row r="501" spans="1:14" x14ac:dyDescent="0.3">
      <c r="A501" t="s">
        <v>513</v>
      </c>
      <c r="B501">
        <v>45</v>
      </c>
      <c r="C501" t="s">
        <v>1014</v>
      </c>
      <c r="D501" s="2" t="s">
        <v>1039</v>
      </c>
      <c r="E501" t="s">
        <v>1137</v>
      </c>
      <c r="F501" s="1">
        <v>46200</v>
      </c>
      <c r="G501" s="1">
        <v>46219</v>
      </c>
      <c r="H501" s="2">
        <v>19</v>
      </c>
      <c r="I501" s="2">
        <v>98000</v>
      </c>
      <c r="J501" s="2" t="s">
        <v>1027</v>
      </c>
      <c r="K501" t="s">
        <v>1059</v>
      </c>
      <c r="L501" t="s">
        <v>1018</v>
      </c>
      <c r="M501" s="2" t="s">
        <v>1024</v>
      </c>
      <c r="N501">
        <v>5</v>
      </c>
    </row>
    <row r="502" spans="1:14" x14ac:dyDescent="0.3">
      <c r="A502" t="s">
        <v>514</v>
      </c>
      <c r="B502">
        <v>44</v>
      </c>
      <c r="C502" t="s">
        <v>1020</v>
      </c>
      <c r="D502" s="2" t="s">
        <v>1039</v>
      </c>
      <c r="E502" t="s">
        <v>1137</v>
      </c>
      <c r="F502" s="1">
        <v>46201</v>
      </c>
      <c r="G502" s="1">
        <v>46220</v>
      </c>
      <c r="H502" s="2">
        <v>19</v>
      </c>
      <c r="I502" s="2">
        <v>78990</v>
      </c>
      <c r="J502" s="2" t="s">
        <v>1027</v>
      </c>
      <c r="K502" t="s">
        <v>1059</v>
      </c>
      <c r="L502" t="s">
        <v>1037</v>
      </c>
      <c r="M502" t="s">
        <v>1024</v>
      </c>
      <c r="N502">
        <v>4</v>
      </c>
    </row>
    <row r="503" spans="1:14" x14ac:dyDescent="0.3">
      <c r="A503" t="s">
        <v>515</v>
      </c>
      <c r="B503">
        <v>45</v>
      </c>
      <c r="C503" t="s">
        <v>1020</v>
      </c>
      <c r="D503" s="2" t="s">
        <v>1039</v>
      </c>
      <c r="E503" t="s">
        <v>1137</v>
      </c>
      <c r="F503" s="1">
        <v>46202</v>
      </c>
      <c r="G503" s="1">
        <v>46221</v>
      </c>
      <c r="H503" s="2">
        <v>19</v>
      </c>
      <c r="I503" s="2">
        <v>99900</v>
      </c>
      <c r="J503" s="2" t="s">
        <v>1027</v>
      </c>
      <c r="K503" t="s">
        <v>1059</v>
      </c>
      <c r="L503" t="s">
        <v>1018</v>
      </c>
      <c r="M503" s="2" t="s">
        <v>1024</v>
      </c>
      <c r="N503">
        <v>33</v>
      </c>
    </row>
    <row r="504" spans="1:14" x14ac:dyDescent="0.3">
      <c r="A504" t="s">
        <v>516</v>
      </c>
      <c r="B504">
        <v>46</v>
      </c>
      <c r="C504" t="s">
        <v>1020</v>
      </c>
      <c r="D504" s="2" t="s">
        <v>1039</v>
      </c>
      <c r="E504" t="s">
        <v>1137</v>
      </c>
      <c r="F504" s="1">
        <v>46203</v>
      </c>
      <c r="G504" s="1">
        <v>46222</v>
      </c>
      <c r="H504" s="2">
        <v>19</v>
      </c>
      <c r="I504" s="2">
        <v>23000</v>
      </c>
      <c r="J504" s="2" t="s">
        <v>1027</v>
      </c>
      <c r="K504" t="s">
        <v>1059</v>
      </c>
      <c r="L504" t="s">
        <v>1037</v>
      </c>
      <c r="M504" t="s">
        <v>1024</v>
      </c>
      <c r="N504">
        <v>2</v>
      </c>
    </row>
    <row r="505" spans="1:14" x14ac:dyDescent="0.3">
      <c r="A505" t="s">
        <v>517</v>
      </c>
      <c r="B505">
        <v>57</v>
      </c>
      <c r="C505" t="s">
        <v>1020</v>
      </c>
      <c r="D505" s="2" t="s">
        <v>1039</v>
      </c>
      <c r="E505" t="s">
        <v>1137</v>
      </c>
      <c r="F505" s="1">
        <v>46204</v>
      </c>
      <c r="G505" s="1">
        <v>46223</v>
      </c>
      <c r="H505" s="2">
        <v>19</v>
      </c>
      <c r="I505" s="2">
        <v>45000</v>
      </c>
      <c r="J505" s="2" t="s">
        <v>1027</v>
      </c>
      <c r="K505" t="s">
        <v>1059</v>
      </c>
      <c r="L505" t="s">
        <v>1037</v>
      </c>
      <c r="M505" s="2" t="s">
        <v>1024</v>
      </c>
    </row>
    <row r="506" spans="1:14" x14ac:dyDescent="0.3">
      <c r="A506" t="s">
        <v>518</v>
      </c>
      <c r="B506">
        <v>78</v>
      </c>
      <c r="C506" t="s">
        <v>1020</v>
      </c>
      <c r="D506" s="2" t="s">
        <v>1039</v>
      </c>
      <c r="E506" t="s">
        <v>1137</v>
      </c>
      <c r="F506" s="1">
        <v>46205</v>
      </c>
      <c r="G506" s="1">
        <v>46224</v>
      </c>
      <c r="H506" s="2">
        <v>19</v>
      </c>
      <c r="I506" s="2">
        <v>54000</v>
      </c>
      <c r="J506" s="2" t="s">
        <v>1027</v>
      </c>
      <c r="K506" t="s">
        <v>1059</v>
      </c>
      <c r="L506" t="s">
        <v>1018</v>
      </c>
      <c r="M506" t="s">
        <v>1024</v>
      </c>
      <c r="N506">
        <v>3</v>
      </c>
    </row>
    <row r="507" spans="1:14" x14ac:dyDescent="0.3">
      <c r="A507" t="s">
        <v>519</v>
      </c>
      <c r="B507">
        <v>67</v>
      </c>
      <c r="C507" t="s">
        <v>1020</v>
      </c>
      <c r="D507" s="2" t="s">
        <v>1039</v>
      </c>
      <c r="E507" t="s">
        <v>1137</v>
      </c>
      <c r="F507" s="1">
        <v>46206</v>
      </c>
      <c r="G507" s="1">
        <v>46225</v>
      </c>
      <c r="H507" s="2">
        <v>19</v>
      </c>
      <c r="I507" s="2">
        <v>43222</v>
      </c>
      <c r="J507" s="2" t="s">
        <v>1027</v>
      </c>
      <c r="K507" t="s">
        <v>1059</v>
      </c>
      <c r="L507" t="s">
        <v>1018</v>
      </c>
      <c r="M507" s="2" t="s">
        <v>1024</v>
      </c>
      <c r="N507">
        <v>4</v>
      </c>
    </row>
    <row r="508" spans="1:14" x14ac:dyDescent="0.3">
      <c r="A508" t="s">
        <v>520</v>
      </c>
      <c r="B508">
        <v>23</v>
      </c>
      <c r="C508" t="s">
        <v>1020</v>
      </c>
      <c r="D508" s="2" t="s">
        <v>1039</v>
      </c>
      <c r="E508" t="s">
        <v>1137</v>
      </c>
      <c r="F508" s="1">
        <v>46207</v>
      </c>
      <c r="G508" s="1">
        <v>46226</v>
      </c>
      <c r="H508" s="2">
        <v>19</v>
      </c>
      <c r="I508" s="2">
        <v>56000</v>
      </c>
      <c r="J508" s="2" t="s">
        <v>1027</v>
      </c>
      <c r="K508" t="s">
        <v>1059</v>
      </c>
      <c r="L508" t="s">
        <v>1037</v>
      </c>
      <c r="M508" t="s">
        <v>1038</v>
      </c>
      <c r="N508">
        <v>3</v>
      </c>
    </row>
    <row r="509" spans="1:14" x14ac:dyDescent="0.3">
      <c r="A509" t="s">
        <v>521</v>
      </c>
      <c r="B509">
        <v>12</v>
      </c>
      <c r="C509" t="s">
        <v>1020</v>
      </c>
      <c r="D509" s="2" t="s">
        <v>1039</v>
      </c>
      <c r="E509" t="s">
        <v>1137</v>
      </c>
      <c r="F509" s="1">
        <v>46208</v>
      </c>
      <c r="G509" s="1">
        <v>46227</v>
      </c>
      <c r="H509" s="2">
        <v>19</v>
      </c>
      <c r="I509" s="2">
        <v>87000</v>
      </c>
      <c r="J509" s="2" t="s">
        <v>1027</v>
      </c>
      <c r="K509" t="s">
        <v>1059</v>
      </c>
      <c r="L509" t="s">
        <v>1018</v>
      </c>
      <c r="M509" s="2" t="s">
        <v>1038</v>
      </c>
      <c r="N509">
        <v>4</v>
      </c>
    </row>
    <row r="510" spans="1:14" x14ac:dyDescent="0.3">
      <c r="A510" t="s">
        <v>522</v>
      </c>
      <c r="B510">
        <v>4</v>
      </c>
      <c r="C510" t="s">
        <v>1020</v>
      </c>
      <c r="D510" s="2" t="s">
        <v>1039</v>
      </c>
      <c r="E510" t="s">
        <v>1137</v>
      </c>
      <c r="F510" s="1">
        <v>46209</v>
      </c>
      <c r="G510" s="1">
        <v>46228</v>
      </c>
      <c r="H510" s="2">
        <v>19</v>
      </c>
      <c r="I510" s="2">
        <v>12000</v>
      </c>
      <c r="J510" s="2" t="s">
        <v>1027</v>
      </c>
      <c r="K510" t="s">
        <v>1059</v>
      </c>
      <c r="L510" t="s">
        <v>1037</v>
      </c>
      <c r="M510" t="s">
        <v>1038</v>
      </c>
      <c r="N510">
        <v>5</v>
      </c>
    </row>
    <row r="511" spans="1:14" x14ac:dyDescent="0.3">
      <c r="A511" t="s">
        <v>523</v>
      </c>
      <c r="B511">
        <v>34</v>
      </c>
      <c r="C511" t="s">
        <v>1020</v>
      </c>
      <c r="D511" s="2" t="s">
        <v>1039</v>
      </c>
      <c r="E511" t="s">
        <v>1102</v>
      </c>
      <c r="F511" s="1">
        <v>46210</v>
      </c>
      <c r="G511" s="1">
        <v>46229</v>
      </c>
      <c r="H511" s="2">
        <v>19</v>
      </c>
      <c r="I511" s="2">
        <v>15000</v>
      </c>
      <c r="J511" s="2" t="s">
        <v>1027</v>
      </c>
      <c r="K511" t="s">
        <v>1059</v>
      </c>
      <c r="L511" t="s">
        <v>1018</v>
      </c>
      <c r="M511" s="2" t="s">
        <v>1038</v>
      </c>
      <c r="N511">
        <v>4</v>
      </c>
    </row>
    <row r="512" spans="1:14" x14ac:dyDescent="0.3">
      <c r="A512" t="s">
        <v>524</v>
      </c>
      <c r="B512">
        <v>23</v>
      </c>
      <c r="C512" t="s">
        <v>1020</v>
      </c>
      <c r="D512" s="2" t="s">
        <v>1039</v>
      </c>
      <c r="E512" t="s">
        <v>1102</v>
      </c>
      <c r="F512" s="1">
        <v>46211</v>
      </c>
      <c r="G512" s="1">
        <v>46230</v>
      </c>
      <c r="H512" s="2">
        <v>19</v>
      </c>
      <c r="I512" s="2">
        <v>20000</v>
      </c>
      <c r="J512" s="2" t="s">
        <v>1027</v>
      </c>
      <c r="K512" t="s">
        <v>1059</v>
      </c>
      <c r="L512" t="s">
        <v>1037</v>
      </c>
      <c r="M512" t="s">
        <v>1038</v>
      </c>
      <c r="N512">
        <v>3</v>
      </c>
    </row>
    <row r="513" spans="1:14" x14ac:dyDescent="0.3">
      <c r="A513" t="s">
        <v>525</v>
      </c>
      <c r="B513">
        <v>12</v>
      </c>
      <c r="C513" t="s">
        <v>1020</v>
      </c>
      <c r="D513" s="2" t="s">
        <v>1039</v>
      </c>
      <c r="E513" t="s">
        <v>1102</v>
      </c>
      <c r="F513" s="1">
        <v>46212</v>
      </c>
      <c r="G513" s="1">
        <v>46231</v>
      </c>
      <c r="H513" s="2">
        <v>19</v>
      </c>
      <c r="I513" s="2">
        <v>30000</v>
      </c>
      <c r="J513" s="2" t="s">
        <v>1023</v>
      </c>
      <c r="K513" t="s">
        <v>1059</v>
      </c>
      <c r="L513" t="s">
        <v>1037</v>
      </c>
      <c r="M513" s="2" t="s">
        <v>1038</v>
      </c>
      <c r="N513">
        <v>4</v>
      </c>
    </row>
    <row r="514" spans="1:14" x14ac:dyDescent="0.3">
      <c r="A514" t="s">
        <v>526</v>
      </c>
      <c r="B514">
        <v>45</v>
      </c>
      <c r="C514" t="s">
        <v>1020</v>
      </c>
      <c r="D514" s="2" t="s">
        <v>1039</v>
      </c>
      <c r="E514" t="s">
        <v>1102</v>
      </c>
      <c r="F514" s="1">
        <v>46213</v>
      </c>
      <c r="G514" s="1">
        <v>46232</v>
      </c>
      <c r="H514" s="2">
        <v>19</v>
      </c>
      <c r="I514" s="2">
        <v>40000</v>
      </c>
      <c r="J514" s="2" t="s">
        <v>1023</v>
      </c>
      <c r="K514" t="s">
        <v>1059</v>
      </c>
      <c r="L514" t="s">
        <v>1037</v>
      </c>
      <c r="M514" t="s">
        <v>1038</v>
      </c>
      <c r="N514">
        <v>3</v>
      </c>
    </row>
    <row r="515" spans="1:14" x14ac:dyDescent="0.3">
      <c r="A515" t="s">
        <v>527</v>
      </c>
      <c r="B515">
        <v>34</v>
      </c>
      <c r="C515" t="s">
        <v>1020</v>
      </c>
      <c r="D515" s="2" t="s">
        <v>1039</v>
      </c>
      <c r="E515" t="s">
        <v>1102</v>
      </c>
      <c r="F515" s="1">
        <v>46214</v>
      </c>
      <c r="G515" s="1">
        <v>46233</v>
      </c>
      <c r="H515" s="2">
        <v>19</v>
      </c>
      <c r="I515" s="2">
        <v>50000</v>
      </c>
      <c r="J515" s="2" t="s">
        <v>1023</v>
      </c>
      <c r="K515" t="s">
        <v>1059</v>
      </c>
      <c r="L515" t="s">
        <v>1018</v>
      </c>
      <c r="M515" s="2" t="s">
        <v>1038</v>
      </c>
      <c r="N515">
        <v>4</v>
      </c>
    </row>
    <row r="516" spans="1:14" x14ac:dyDescent="0.3">
      <c r="A516" t="s">
        <v>528</v>
      </c>
      <c r="B516">
        <v>23</v>
      </c>
      <c r="C516" t="s">
        <v>1020</v>
      </c>
      <c r="D516" s="2" t="s">
        <v>1039</v>
      </c>
      <c r="E516" t="s">
        <v>1102</v>
      </c>
      <c r="F516" s="1">
        <v>46215</v>
      </c>
      <c r="G516" s="1">
        <v>46234</v>
      </c>
      <c r="H516" s="2">
        <v>19</v>
      </c>
      <c r="I516" s="2">
        <v>78000</v>
      </c>
      <c r="J516" s="2" t="s">
        <v>1023</v>
      </c>
      <c r="K516" t="s">
        <v>1059</v>
      </c>
      <c r="L516" t="s">
        <v>1018</v>
      </c>
      <c r="M516" t="s">
        <v>1038</v>
      </c>
      <c r="N516">
        <v>33</v>
      </c>
    </row>
    <row r="517" spans="1:14" x14ac:dyDescent="0.3">
      <c r="A517" t="s">
        <v>529</v>
      </c>
      <c r="B517">
        <v>45</v>
      </c>
      <c r="C517" t="s">
        <v>1020</v>
      </c>
      <c r="D517" s="2" t="s">
        <v>1039</v>
      </c>
      <c r="E517" t="s">
        <v>1102</v>
      </c>
      <c r="F517" s="1">
        <v>46216</v>
      </c>
      <c r="G517" s="1">
        <v>46235</v>
      </c>
      <c r="H517" s="2">
        <v>19</v>
      </c>
      <c r="I517" s="2">
        <v>49000</v>
      </c>
      <c r="J517" s="2" t="s">
        <v>1023</v>
      </c>
      <c r="K517" t="s">
        <v>1059</v>
      </c>
      <c r="L517" t="s">
        <v>1037</v>
      </c>
      <c r="M517" s="2" t="s">
        <v>1038</v>
      </c>
      <c r="N517">
        <v>4</v>
      </c>
    </row>
    <row r="518" spans="1:14" x14ac:dyDescent="0.3">
      <c r="A518" t="s">
        <v>530</v>
      </c>
      <c r="B518">
        <v>34</v>
      </c>
      <c r="C518" t="s">
        <v>1020</v>
      </c>
      <c r="D518" s="2" t="s">
        <v>1039</v>
      </c>
      <c r="E518" t="s">
        <v>1102</v>
      </c>
      <c r="F518" s="1">
        <v>46217</v>
      </c>
      <c r="G518" s="1">
        <v>46236</v>
      </c>
      <c r="H518" s="2">
        <v>19</v>
      </c>
      <c r="I518" s="2">
        <v>59000</v>
      </c>
      <c r="J518" s="2" t="s">
        <v>1023</v>
      </c>
      <c r="K518" t="s">
        <v>1059</v>
      </c>
      <c r="L518" t="s">
        <v>1018</v>
      </c>
      <c r="M518" t="s">
        <v>1038</v>
      </c>
      <c r="N518">
        <v>3</v>
      </c>
    </row>
    <row r="519" spans="1:14" x14ac:dyDescent="0.3">
      <c r="A519" t="s">
        <v>531</v>
      </c>
      <c r="B519">
        <v>45</v>
      </c>
      <c r="C519" t="s">
        <v>1020</v>
      </c>
      <c r="D519" s="2" t="s">
        <v>1039</v>
      </c>
      <c r="E519" t="s">
        <v>1102</v>
      </c>
      <c r="F519" s="1">
        <v>46218</v>
      </c>
      <c r="G519" s="1">
        <v>46237</v>
      </c>
      <c r="H519" s="2">
        <v>19</v>
      </c>
      <c r="I519" s="2">
        <v>48000</v>
      </c>
      <c r="J519" s="2" t="s">
        <v>1023</v>
      </c>
      <c r="K519" t="s">
        <v>1059</v>
      </c>
      <c r="L519" t="s">
        <v>1037</v>
      </c>
      <c r="M519" s="2" t="s">
        <v>1038</v>
      </c>
      <c r="N519">
        <v>4</v>
      </c>
    </row>
    <row r="520" spans="1:14" x14ac:dyDescent="0.3">
      <c r="A520" t="s">
        <v>532</v>
      </c>
      <c r="B520">
        <v>45</v>
      </c>
      <c r="C520" t="s">
        <v>1020</v>
      </c>
      <c r="D520" s="2" t="s">
        <v>1039</v>
      </c>
      <c r="E520" t="s">
        <v>1102</v>
      </c>
      <c r="F520" s="1">
        <v>46219</v>
      </c>
      <c r="G520" s="1">
        <v>46238</v>
      </c>
      <c r="H520" s="2">
        <v>19</v>
      </c>
      <c r="I520" s="2">
        <v>68000</v>
      </c>
      <c r="J520" s="2" t="s">
        <v>1023</v>
      </c>
      <c r="K520" t="s">
        <v>1059</v>
      </c>
      <c r="M520" t="s">
        <v>1038</v>
      </c>
      <c r="N520">
        <v>3</v>
      </c>
    </row>
    <row r="521" spans="1:14" x14ac:dyDescent="0.3">
      <c r="A521" t="s">
        <v>533</v>
      </c>
      <c r="B521">
        <v>56</v>
      </c>
      <c r="C521" t="s">
        <v>1020</v>
      </c>
      <c r="D521" s="2" t="s">
        <v>1039</v>
      </c>
      <c r="E521" t="s">
        <v>1102</v>
      </c>
      <c r="F521" s="1">
        <v>46220</v>
      </c>
      <c r="G521" s="1">
        <v>46239</v>
      </c>
      <c r="H521" s="2">
        <v>19</v>
      </c>
      <c r="I521" s="2">
        <v>78000</v>
      </c>
      <c r="J521" s="2" t="s">
        <v>1023</v>
      </c>
      <c r="K521" t="s">
        <v>1059</v>
      </c>
      <c r="L521" t="s">
        <v>1018</v>
      </c>
      <c r="M521" s="2" t="s">
        <v>1038</v>
      </c>
      <c r="N521">
        <v>43</v>
      </c>
    </row>
    <row r="522" spans="1:14" x14ac:dyDescent="0.3">
      <c r="A522" t="s">
        <v>534</v>
      </c>
      <c r="B522">
        <v>67</v>
      </c>
      <c r="C522" t="s">
        <v>1020</v>
      </c>
      <c r="D522" s="2" t="s">
        <v>1039</v>
      </c>
      <c r="E522" t="s">
        <v>1102</v>
      </c>
      <c r="F522" s="1">
        <v>46221</v>
      </c>
      <c r="G522" s="1">
        <v>46240</v>
      </c>
      <c r="H522" s="2">
        <v>19</v>
      </c>
      <c r="I522" s="2">
        <v>98000</v>
      </c>
      <c r="J522" s="2" t="s">
        <v>1023</v>
      </c>
      <c r="K522" t="s">
        <v>1059</v>
      </c>
      <c r="L522" t="s">
        <v>1018</v>
      </c>
      <c r="M522" t="s">
        <v>1153</v>
      </c>
      <c r="N522">
        <v>3</v>
      </c>
    </row>
    <row r="523" spans="1:14" x14ac:dyDescent="0.3">
      <c r="A523" t="s">
        <v>535</v>
      </c>
      <c r="B523">
        <v>67</v>
      </c>
      <c r="C523" t="s">
        <v>1020</v>
      </c>
      <c r="D523" s="2" t="s">
        <v>1039</v>
      </c>
      <c r="E523" t="s">
        <v>1165</v>
      </c>
      <c r="F523" s="1">
        <v>46222</v>
      </c>
      <c r="G523" s="1">
        <v>46241</v>
      </c>
      <c r="H523" s="2">
        <v>19</v>
      </c>
      <c r="I523" s="2">
        <v>78900</v>
      </c>
      <c r="J523" s="2" t="s">
        <v>1023</v>
      </c>
      <c r="K523" t="s">
        <v>1059</v>
      </c>
      <c r="L523" t="s">
        <v>1037</v>
      </c>
      <c r="M523" s="2" t="s">
        <v>1153</v>
      </c>
      <c r="N523">
        <v>4</v>
      </c>
    </row>
    <row r="524" spans="1:14" x14ac:dyDescent="0.3">
      <c r="A524" t="s">
        <v>536</v>
      </c>
      <c r="B524">
        <v>78</v>
      </c>
      <c r="C524" t="s">
        <v>1020</v>
      </c>
      <c r="D524" s="2" t="s">
        <v>1039</v>
      </c>
      <c r="E524" t="s">
        <v>1165</v>
      </c>
      <c r="F524" s="1">
        <v>46223</v>
      </c>
      <c r="G524" s="1">
        <v>46242</v>
      </c>
      <c r="H524" s="2">
        <v>19</v>
      </c>
      <c r="I524" s="2">
        <v>83000</v>
      </c>
      <c r="J524" s="2" t="s">
        <v>1023</v>
      </c>
      <c r="K524" t="s">
        <v>1059</v>
      </c>
      <c r="L524" t="s">
        <v>1018</v>
      </c>
      <c r="M524" t="s">
        <v>1024</v>
      </c>
      <c r="N524">
        <v>3</v>
      </c>
    </row>
    <row r="525" spans="1:14" x14ac:dyDescent="0.3">
      <c r="A525" t="s">
        <v>537</v>
      </c>
      <c r="B525">
        <v>78</v>
      </c>
      <c r="C525" t="s">
        <v>1020</v>
      </c>
      <c r="D525" s="2" t="s">
        <v>1039</v>
      </c>
      <c r="E525" t="s">
        <v>1165</v>
      </c>
      <c r="F525" s="1">
        <v>46224</v>
      </c>
      <c r="G525" s="1">
        <v>46243</v>
      </c>
      <c r="H525" s="2">
        <v>19</v>
      </c>
      <c r="I525" s="2">
        <v>12000</v>
      </c>
      <c r="J525" s="2" t="s">
        <v>1023</v>
      </c>
      <c r="K525" t="s">
        <v>1059</v>
      </c>
      <c r="L525" t="s">
        <v>1037</v>
      </c>
      <c r="M525" s="2" t="s">
        <v>1024</v>
      </c>
      <c r="N525">
        <v>4</v>
      </c>
    </row>
    <row r="526" spans="1:14" x14ac:dyDescent="0.3">
      <c r="A526" t="s">
        <v>538</v>
      </c>
      <c r="B526">
        <v>76</v>
      </c>
      <c r="C526" t="s">
        <v>1020</v>
      </c>
      <c r="D526" s="2" t="s">
        <v>1039</v>
      </c>
      <c r="E526" t="s">
        <v>1165</v>
      </c>
      <c r="F526" s="1">
        <v>46225</v>
      </c>
      <c r="G526" s="1">
        <v>46244</v>
      </c>
      <c r="H526" s="2">
        <v>19</v>
      </c>
      <c r="I526" s="2">
        <v>13000</v>
      </c>
      <c r="J526" s="2" t="s">
        <v>1023</v>
      </c>
      <c r="K526" t="s">
        <v>1059</v>
      </c>
      <c r="L526" t="s">
        <v>1018</v>
      </c>
      <c r="M526" t="s">
        <v>1024</v>
      </c>
      <c r="N526">
        <v>4</v>
      </c>
    </row>
    <row r="527" spans="1:14" x14ac:dyDescent="0.3">
      <c r="A527" t="s">
        <v>539</v>
      </c>
      <c r="B527">
        <v>54</v>
      </c>
      <c r="C527" t="s">
        <v>1020</v>
      </c>
      <c r="D527" s="2" t="s">
        <v>1039</v>
      </c>
      <c r="E527" t="s">
        <v>1165</v>
      </c>
      <c r="F527" s="1">
        <v>46226</v>
      </c>
      <c r="G527" s="1">
        <v>46245</v>
      </c>
      <c r="H527" s="2">
        <v>19</v>
      </c>
      <c r="I527" s="2">
        <v>67000</v>
      </c>
      <c r="J527" s="2" t="s">
        <v>1023</v>
      </c>
      <c r="K527" t="s">
        <v>1059</v>
      </c>
      <c r="L527" t="s">
        <v>1037</v>
      </c>
      <c r="M527" s="2" t="s">
        <v>1024</v>
      </c>
      <c r="N527">
        <v>4</v>
      </c>
    </row>
    <row r="528" spans="1:14" x14ac:dyDescent="0.3">
      <c r="A528" t="s">
        <v>540</v>
      </c>
      <c r="B528">
        <v>43</v>
      </c>
      <c r="C528" t="s">
        <v>1020</v>
      </c>
      <c r="D528" s="2" t="s">
        <v>1039</v>
      </c>
      <c r="E528" t="s">
        <v>1165</v>
      </c>
      <c r="F528" s="1">
        <v>46227</v>
      </c>
      <c r="G528" s="1">
        <v>46246</v>
      </c>
      <c r="H528" s="2">
        <v>19</v>
      </c>
      <c r="I528" s="2">
        <v>89000</v>
      </c>
      <c r="J528" s="2" t="s">
        <v>1023</v>
      </c>
      <c r="K528" t="s">
        <v>1059</v>
      </c>
      <c r="L528" t="s">
        <v>1037</v>
      </c>
      <c r="M528" t="s">
        <v>1153</v>
      </c>
      <c r="N528">
        <v>4</v>
      </c>
    </row>
    <row r="529" spans="1:14" x14ac:dyDescent="0.3">
      <c r="A529" t="s">
        <v>541</v>
      </c>
      <c r="B529">
        <v>32</v>
      </c>
      <c r="C529" t="s">
        <v>1020</v>
      </c>
      <c r="D529" s="2" t="s">
        <v>1039</v>
      </c>
      <c r="E529" t="s">
        <v>1165</v>
      </c>
      <c r="F529" s="1">
        <v>46228</v>
      </c>
      <c r="G529" s="1">
        <v>46247</v>
      </c>
      <c r="H529" s="2">
        <v>19</v>
      </c>
      <c r="I529" s="2">
        <v>87000</v>
      </c>
      <c r="J529" s="2" t="s">
        <v>1023</v>
      </c>
      <c r="K529" t="s">
        <v>1059</v>
      </c>
      <c r="L529" t="s">
        <v>1037</v>
      </c>
      <c r="M529" s="2" t="s">
        <v>1153</v>
      </c>
      <c r="N529">
        <v>4</v>
      </c>
    </row>
    <row r="530" spans="1:14" x14ac:dyDescent="0.3">
      <c r="A530" t="s">
        <v>542</v>
      </c>
      <c r="B530">
        <v>12</v>
      </c>
      <c r="C530" t="s">
        <v>1020</v>
      </c>
      <c r="D530" s="2" t="s">
        <v>1039</v>
      </c>
      <c r="E530" t="s">
        <v>1165</v>
      </c>
      <c r="F530" s="1">
        <v>46229</v>
      </c>
      <c r="G530" s="1">
        <v>46248</v>
      </c>
      <c r="H530" s="2">
        <v>19</v>
      </c>
      <c r="I530" s="2">
        <v>89900</v>
      </c>
      <c r="J530" s="2" t="s">
        <v>1023</v>
      </c>
      <c r="K530" t="s">
        <v>1059</v>
      </c>
      <c r="L530" t="s">
        <v>1018</v>
      </c>
      <c r="M530" t="s">
        <v>1024</v>
      </c>
      <c r="N530">
        <v>4</v>
      </c>
    </row>
    <row r="531" spans="1:14" x14ac:dyDescent="0.3">
      <c r="A531" t="s">
        <v>543</v>
      </c>
      <c r="B531">
        <v>45</v>
      </c>
      <c r="C531" t="s">
        <v>1020</v>
      </c>
      <c r="D531" s="2" t="s">
        <v>1039</v>
      </c>
      <c r="E531" t="s">
        <v>1165</v>
      </c>
      <c r="F531" s="1">
        <v>46230</v>
      </c>
      <c r="G531" s="1">
        <v>46249</v>
      </c>
      <c r="H531" s="2">
        <v>19</v>
      </c>
      <c r="I531" s="2">
        <v>98000</v>
      </c>
      <c r="J531" s="2" t="s">
        <v>1023</v>
      </c>
      <c r="K531" t="s">
        <v>1059</v>
      </c>
      <c r="L531" t="s">
        <v>1018</v>
      </c>
      <c r="M531" s="2" t="s">
        <v>1024</v>
      </c>
      <c r="N531">
        <v>4</v>
      </c>
    </row>
    <row r="532" spans="1:14" x14ac:dyDescent="0.3">
      <c r="A532" t="s">
        <v>544</v>
      </c>
      <c r="B532">
        <v>67</v>
      </c>
      <c r="C532" t="s">
        <v>1020</v>
      </c>
      <c r="D532" s="2" t="s">
        <v>1039</v>
      </c>
      <c r="E532" t="s">
        <v>1165</v>
      </c>
      <c r="F532" s="1">
        <v>46231</v>
      </c>
      <c r="G532" s="1">
        <v>46250</v>
      </c>
      <c r="H532" s="2">
        <v>19</v>
      </c>
      <c r="I532" s="2">
        <v>120000</v>
      </c>
      <c r="J532" s="2" t="s">
        <v>1023</v>
      </c>
      <c r="K532" t="s">
        <v>1059</v>
      </c>
      <c r="L532" t="s">
        <v>1037</v>
      </c>
      <c r="M532" t="s">
        <v>1024</v>
      </c>
      <c r="N532">
        <v>4</v>
      </c>
    </row>
    <row r="533" spans="1:14" x14ac:dyDescent="0.3">
      <c r="A533" t="s">
        <v>545</v>
      </c>
      <c r="B533">
        <v>65</v>
      </c>
      <c r="C533" t="s">
        <v>1020</v>
      </c>
      <c r="D533" s="2" t="s">
        <v>1039</v>
      </c>
      <c r="E533" t="s">
        <v>1165</v>
      </c>
      <c r="F533" s="1">
        <v>46232</v>
      </c>
      <c r="G533" s="1">
        <v>46251</v>
      </c>
      <c r="H533" s="2">
        <v>19</v>
      </c>
      <c r="I533" s="2">
        <v>39000</v>
      </c>
      <c r="J533" s="2" t="s">
        <v>1023</v>
      </c>
      <c r="K533" t="s">
        <v>1059</v>
      </c>
      <c r="L533" t="s">
        <v>1018</v>
      </c>
      <c r="M533" s="2" t="s">
        <v>1024</v>
      </c>
      <c r="N533">
        <v>4</v>
      </c>
    </row>
    <row r="534" spans="1:14" x14ac:dyDescent="0.3">
      <c r="A534" t="s">
        <v>546</v>
      </c>
      <c r="B534">
        <v>54</v>
      </c>
      <c r="C534" t="s">
        <v>1020</v>
      </c>
      <c r="D534" s="2" t="s">
        <v>1039</v>
      </c>
      <c r="E534" t="s">
        <v>1165</v>
      </c>
      <c r="F534" s="1">
        <v>46233</v>
      </c>
      <c r="G534" s="1">
        <v>46252</v>
      </c>
      <c r="H534" s="2">
        <v>19</v>
      </c>
      <c r="I534" s="2">
        <v>49000</v>
      </c>
      <c r="J534" s="2" t="s">
        <v>1023</v>
      </c>
      <c r="K534" t="s">
        <v>1059</v>
      </c>
      <c r="L534" t="s">
        <v>1037</v>
      </c>
      <c r="M534" t="s">
        <v>1024</v>
      </c>
      <c r="N534">
        <v>4</v>
      </c>
    </row>
    <row r="535" spans="1:14" x14ac:dyDescent="0.3">
      <c r="A535" t="s">
        <v>547</v>
      </c>
      <c r="B535">
        <v>43</v>
      </c>
      <c r="C535" t="s">
        <v>1020</v>
      </c>
      <c r="D535" s="2" t="s">
        <v>1039</v>
      </c>
      <c r="E535" t="s">
        <v>1165</v>
      </c>
      <c r="F535" s="1">
        <v>46234</v>
      </c>
      <c r="G535" s="1">
        <v>46253</v>
      </c>
      <c r="H535" s="2">
        <v>19</v>
      </c>
      <c r="I535" s="2">
        <v>59000</v>
      </c>
      <c r="J535" s="2" t="s">
        <v>1023</v>
      </c>
      <c r="K535" t="s">
        <v>1059</v>
      </c>
      <c r="M535" s="2" t="s">
        <v>1024</v>
      </c>
      <c r="N535">
        <v>4</v>
      </c>
    </row>
    <row r="536" spans="1:14" x14ac:dyDescent="0.3">
      <c r="A536" t="s">
        <v>548</v>
      </c>
      <c r="B536">
        <v>23</v>
      </c>
      <c r="C536" t="s">
        <v>1020</v>
      </c>
      <c r="D536" s="2" t="s">
        <v>1039</v>
      </c>
      <c r="E536" t="s">
        <v>1165</v>
      </c>
      <c r="F536" s="1">
        <v>46235</v>
      </c>
      <c r="G536" s="1">
        <v>46254</v>
      </c>
      <c r="H536" s="2">
        <v>19</v>
      </c>
      <c r="I536" s="2">
        <v>69000</v>
      </c>
      <c r="J536" s="2" t="s">
        <v>1023</v>
      </c>
      <c r="K536" t="s">
        <v>1059</v>
      </c>
      <c r="L536" t="s">
        <v>1018</v>
      </c>
      <c r="M536" t="s">
        <v>1024</v>
      </c>
      <c r="N536">
        <v>4</v>
      </c>
    </row>
    <row r="537" spans="1:14" x14ac:dyDescent="0.3">
      <c r="A537" t="s">
        <v>549</v>
      </c>
      <c r="B537">
        <v>34</v>
      </c>
      <c r="C537" t="s">
        <v>1020</v>
      </c>
      <c r="D537" s="2" t="s">
        <v>1039</v>
      </c>
      <c r="E537" t="s">
        <v>1165</v>
      </c>
      <c r="F537" s="1">
        <v>46236</v>
      </c>
      <c r="G537" s="1">
        <v>46255</v>
      </c>
      <c r="H537" s="2">
        <v>19</v>
      </c>
      <c r="I537" s="2">
        <v>79000</v>
      </c>
      <c r="J537" s="2" t="s">
        <v>1023</v>
      </c>
      <c r="K537" t="s">
        <v>1059</v>
      </c>
      <c r="L537" t="s">
        <v>1018</v>
      </c>
      <c r="M537" s="2" t="s">
        <v>1024</v>
      </c>
      <c r="N537">
        <v>4</v>
      </c>
    </row>
    <row r="538" spans="1:14" x14ac:dyDescent="0.3">
      <c r="A538" t="s">
        <v>550</v>
      </c>
      <c r="B538">
        <v>56</v>
      </c>
      <c r="C538" t="s">
        <v>1020</v>
      </c>
      <c r="D538" s="2" t="s">
        <v>1039</v>
      </c>
      <c r="E538" t="s">
        <v>1165</v>
      </c>
      <c r="F538" s="1">
        <v>46237</v>
      </c>
      <c r="G538" s="1">
        <v>46256</v>
      </c>
      <c r="H538" s="2">
        <v>19</v>
      </c>
      <c r="I538" s="2">
        <v>89000</v>
      </c>
      <c r="J538" s="2" t="s">
        <v>1023</v>
      </c>
      <c r="K538" t="s">
        <v>1059</v>
      </c>
      <c r="L538" t="s">
        <v>1037</v>
      </c>
      <c r="M538" t="s">
        <v>1024</v>
      </c>
      <c r="N538">
        <v>4</v>
      </c>
    </row>
    <row r="539" spans="1:14" x14ac:dyDescent="0.3">
      <c r="A539" t="s">
        <v>551</v>
      </c>
      <c r="B539">
        <v>55</v>
      </c>
      <c r="C539" t="s">
        <v>1020</v>
      </c>
      <c r="D539" s="2" t="s">
        <v>1039</v>
      </c>
      <c r="E539" t="s">
        <v>1165</v>
      </c>
      <c r="F539" s="1">
        <v>46238</v>
      </c>
      <c r="G539" s="1">
        <v>46257</v>
      </c>
      <c r="H539" s="2">
        <v>19</v>
      </c>
      <c r="I539" s="2">
        <v>78000</v>
      </c>
      <c r="J539" s="2" t="s">
        <v>1023</v>
      </c>
      <c r="K539" t="s">
        <v>1059</v>
      </c>
      <c r="L539" t="s">
        <v>1018</v>
      </c>
      <c r="M539" s="2" t="s">
        <v>1024</v>
      </c>
      <c r="N539">
        <v>4</v>
      </c>
    </row>
    <row r="540" spans="1:14" x14ac:dyDescent="0.3">
      <c r="A540" t="s">
        <v>552</v>
      </c>
      <c r="B540">
        <v>44</v>
      </c>
      <c r="C540" t="s">
        <v>1020</v>
      </c>
      <c r="D540" s="2" t="s">
        <v>1039</v>
      </c>
      <c r="E540" t="s">
        <v>1165</v>
      </c>
      <c r="F540" s="1">
        <v>46239</v>
      </c>
      <c r="G540" s="1">
        <v>46258</v>
      </c>
      <c r="H540" s="2">
        <v>19</v>
      </c>
      <c r="I540" s="2">
        <v>13000</v>
      </c>
      <c r="J540" s="2" t="s">
        <v>1023</v>
      </c>
      <c r="K540" t="s">
        <v>1059</v>
      </c>
      <c r="L540" t="s">
        <v>1037</v>
      </c>
      <c r="M540" t="s">
        <v>1024</v>
      </c>
      <c r="N540">
        <v>4</v>
      </c>
    </row>
    <row r="541" spans="1:14" x14ac:dyDescent="0.3">
      <c r="A541" t="s">
        <v>553</v>
      </c>
      <c r="B541">
        <v>33</v>
      </c>
      <c r="C541" t="s">
        <v>1020</v>
      </c>
      <c r="D541" s="2" t="s">
        <v>1039</v>
      </c>
      <c r="E541" t="s">
        <v>1165</v>
      </c>
      <c r="F541" s="1">
        <v>46240</v>
      </c>
      <c r="G541" s="1">
        <v>46259</v>
      </c>
      <c r="H541" s="2">
        <v>19</v>
      </c>
      <c r="I541" s="2">
        <v>51000</v>
      </c>
      <c r="J541" s="2" t="s">
        <v>1023</v>
      </c>
      <c r="K541" t="s">
        <v>1059</v>
      </c>
      <c r="L541" t="s">
        <v>1018</v>
      </c>
      <c r="M541" s="2" t="s">
        <v>1024</v>
      </c>
      <c r="N541">
        <v>4</v>
      </c>
    </row>
    <row r="542" spans="1:14" x14ac:dyDescent="0.3">
      <c r="A542" t="s">
        <v>554</v>
      </c>
      <c r="B542">
        <v>22</v>
      </c>
      <c r="C542" t="s">
        <v>1020</v>
      </c>
      <c r="D542" s="2" t="s">
        <v>1039</v>
      </c>
      <c r="E542" t="s">
        <v>1165</v>
      </c>
      <c r="F542" s="1">
        <v>46241</v>
      </c>
      <c r="G542" s="1">
        <v>46260</v>
      </c>
      <c r="H542" s="2">
        <v>19</v>
      </c>
      <c r="I542" s="2">
        <v>52000</v>
      </c>
      <c r="J542" s="2" t="s">
        <v>1023</v>
      </c>
      <c r="K542" t="s">
        <v>1059</v>
      </c>
      <c r="L542" t="s">
        <v>1037</v>
      </c>
      <c r="M542" t="s">
        <v>1024</v>
      </c>
      <c r="N542">
        <v>4</v>
      </c>
    </row>
    <row r="543" spans="1:14" x14ac:dyDescent="0.3">
      <c r="A543" t="s">
        <v>555</v>
      </c>
      <c r="B543">
        <v>33</v>
      </c>
      <c r="C543" t="s">
        <v>1020</v>
      </c>
      <c r="D543" s="2" t="s">
        <v>1039</v>
      </c>
      <c r="E543" t="s">
        <v>1165</v>
      </c>
      <c r="F543" s="1">
        <v>46242</v>
      </c>
      <c r="G543" s="1">
        <v>46261</v>
      </c>
      <c r="H543" s="2">
        <v>19</v>
      </c>
      <c r="I543" s="2">
        <v>31000</v>
      </c>
      <c r="J543" s="2" t="s">
        <v>1023</v>
      </c>
      <c r="K543" t="s">
        <v>1059</v>
      </c>
      <c r="L543" t="s">
        <v>1037</v>
      </c>
      <c r="M543" s="2" t="s">
        <v>1024</v>
      </c>
      <c r="N543">
        <v>4</v>
      </c>
    </row>
    <row r="544" spans="1:14" x14ac:dyDescent="0.3">
      <c r="A544" t="s">
        <v>556</v>
      </c>
      <c r="B544">
        <v>44</v>
      </c>
      <c r="C544" t="s">
        <v>1020</v>
      </c>
      <c r="D544" s="2" t="s">
        <v>1039</v>
      </c>
      <c r="E544" t="s">
        <v>1165</v>
      </c>
      <c r="F544" s="1">
        <v>46243</v>
      </c>
      <c r="G544" s="1">
        <v>46262</v>
      </c>
      <c r="H544" s="2">
        <v>19</v>
      </c>
      <c r="I544" s="2">
        <v>43000</v>
      </c>
      <c r="J544" s="2" t="s">
        <v>1023</v>
      </c>
      <c r="K544" t="s">
        <v>1059</v>
      </c>
      <c r="L544" t="s">
        <v>1037</v>
      </c>
      <c r="M544" t="s">
        <v>1024</v>
      </c>
      <c r="N544">
        <v>4</v>
      </c>
    </row>
    <row r="545" spans="1:14" x14ac:dyDescent="0.3">
      <c r="A545" t="s">
        <v>557</v>
      </c>
      <c r="B545">
        <v>66</v>
      </c>
      <c r="C545" t="s">
        <v>1020</v>
      </c>
      <c r="D545" s="2" t="s">
        <v>1039</v>
      </c>
      <c r="E545" t="s">
        <v>1165</v>
      </c>
      <c r="F545" s="1">
        <v>46244</v>
      </c>
      <c r="G545" s="1">
        <v>46263</v>
      </c>
      <c r="H545" s="2">
        <v>19</v>
      </c>
      <c r="I545" s="2">
        <v>54000</v>
      </c>
      <c r="J545" s="2" t="s">
        <v>1023</v>
      </c>
      <c r="K545" t="s">
        <v>1059</v>
      </c>
      <c r="L545" t="s">
        <v>1018</v>
      </c>
      <c r="M545" s="2" t="s">
        <v>1024</v>
      </c>
      <c r="N545">
        <v>4</v>
      </c>
    </row>
    <row r="546" spans="1:14" x14ac:dyDescent="0.3">
      <c r="A546" t="s">
        <v>558</v>
      </c>
      <c r="B546">
        <v>4</v>
      </c>
      <c r="C546" t="s">
        <v>1020</v>
      </c>
      <c r="D546" s="2" t="s">
        <v>1039</v>
      </c>
      <c r="E546" t="s">
        <v>1165</v>
      </c>
      <c r="F546" s="1">
        <v>46245</v>
      </c>
      <c r="G546" s="1">
        <v>46255</v>
      </c>
      <c r="H546" s="2">
        <v>10</v>
      </c>
      <c r="I546" s="2">
        <v>64000</v>
      </c>
      <c r="J546" s="2" t="s">
        <v>1023</v>
      </c>
      <c r="K546" t="s">
        <v>1059</v>
      </c>
      <c r="L546" t="s">
        <v>1018</v>
      </c>
      <c r="M546" t="s">
        <v>1024</v>
      </c>
      <c r="N546">
        <v>4</v>
      </c>
    </row>
    <row r="547" spans="1:14" x14ac:dyDescent="0.3">
      <c r="A547" t="s">
        <v>559</v>
      </c>
      <c r="B547">
        <v>77</v>
      </c>
      <c r="C547" t="s">
        <v>1020</v>
      </c>
      <c r="D547" s="2" t="s">
        <v>1039</v>
      </c>
      <c r="E547" t="s">
        <v>1165</v>
      </c>
      <c r="F547" s="1">
        <v>46246</v>
      </c>
      <c r="G547" s="1">
        <v>46256</v>
      </c>
      <c r="H547" s="2">
        <v>10</v>
      </c>
      <c r="I547" s="2">
        <v>47000</v>
      </c>
      <c r="J547" s="2" t="s">
        <v>1023</v>
      </c>
      <c r="K547" t="s">
        <v>1059</v>
      </c>
      <c r="L547" t="s">
        <v>1037</v>
      </c>
      <c r="M547" s="2" t="s">
        <v>1024</v>
      </c>
      <c r="N547">
        <v>4</v>
      </c>
    </row>
    <row r="548" spans="1:14" x14ac:dyDescent="0.3">
      <c r="A548" t="s">
        <v>560</v>
      </c>
      <c r="B548">
        <v>5</v>
      </c>
      <c r="C548" t="s">
        <v>1020</v>
      </c>
      <c r="D548" s="2" t="s">
        <v>1039</v>
      </c>
      <c r="E548" t="s">
        <v>1165</v>
      </c>
      <c r="F548" s="1">
        <v>46247</v>
      </c>
      <c r="G548" s="1">
        <v>46257</v>
      </c>
      <c r="H548" s="2">
        <v>10</v>
      </c>
      <c r="I548" s="2">
        <v>78000</v>
      </c>
      <c r="J548" s="2" t="s">
        <v>1023</v>
      </c>
      <c r="K548" t="s">
        <v>1059</v>
      </c>
      <c r="L548" t="s">
        <v>1018</v>
      </c>
      <c r="M548" t="s">
        <v>1024</v>
      </c>
      <c r="N548">
        <v>4</v>
      </c>
    </row>
    <row r="549" spans="1:14" x14ac:dyDescent="0.3">
      <c r="A549" t="s">
        <v>561</v>
      </c>
      <c r="B549">
        <v>45</v>
      </c>
      <c r="C549" t="s">
        <v>1020</v>
      </c>
      <c r="D549" s="2" t="s">
        <v>1039</v>
      </c>
      <c r="E549" t="s">
        <v>1165</v>
      </c>
      <c r="F549" s="1">
        <v>46248</v>
      </c>
      <c r="G549" s="1">
        <v>46258</v>
      </c>
      <c r="H549" s="2">
        <v>10</v>
      </c>
      <c r="I549" s="2">
        <v>89900</v>
      </c>
      <c r="J549" s="2" t="s">
        <v>1023</v>
      </c>
      <c r="K549" t="s">
        <v>1059</v>
      </c>
      <c r="L549" t="s">
        <v>1037</v>
      </c>
      <c r="M549" s="2" t="s">
        <v>1038</v>
      </c>
      <c r="N549">
        <v>4</v>
      </c>
    </row>
    <row r="550" spans="1:14" x14ac:dyDescent="0.3">
      <c r="A550" t="s">
        <v>562</v>
      </c>
      <c r="B550">
        <v>46</v>
      </c>
      <c r="C550" t="s">
        <v>1020</v>
      </c>
      <c r="D550" s="2" t="s">
        <v>1039</v>
      </c>
      <c r="E550" t="s">
        <v>1165</v>
      </c>
      <c r="F550" s="1">
        <v>46249</v>
      </c>
      <c r="G550" s="1">
        <v>46259</v>
      </c>
      <c r="H550" s="2">
        <v>10</v>
      </c>
      <c r="I550" s="2">
        <v>98990</v>
      </c>
      <c r="J550" s="2" t="s">
        <v>1023</v>
      </c>
      <c r="K550" t="s">
        <v>1059</v>
      </c>
      <c r="M550" t="s">
        <v>1038</v>
      </c>
      <c r="N550">
        <v>4</v>
      </c>
    </row>
    <row r="551" spans="1:14" x14ac:dyDescent="0.3">
      <c r="A551" t="s">
        <v>563</v>
      </c>
      <c r="B551">
        <v>35</v>
      </c>
      <c r="C551" t="s">
        <v>1020</v>
      </c>
      <c r="D551" s="2" t="s">
        <v>1039</v>
      </c>
      <c r="E551" t="s">
        <v>1165</v>
      </c>
      <c r="F551" s="1">
        <v>46250</v>
      </c>
      <c r="G551" s="1">
        <v>46260</v>
      </c>
      <c r="H551" s="2">
        <v>10</v>
      </c>
      <c r="I551" s="2">
        <v>78900</v>
      </c>
      <c r="J551" s="2" t="s">
        <v>1023</v>
      </c>
      <c r="K551" t="s">
        <v>1059</v>
      </c>
      <c r="L551" t="s">
        <v>1018</v>
      </c>
      <c r="M551" s="2" t="s">
        <v>1038</v>
      </c>
      <c r="N551">
        <v>4</v>
      </c>
    </row>
    <row r="552" spans="1:14" x14ac:dyDescent="0.3">
      <c r="A552" t="s">
        <v>564</v>
      </c>
      <c r="B552">
        <v>46</v>
      </c>
      <c r="C552" t="s">
        <v>1020</v>
      </c>
      <c r="D552" s="2" t="s">
        <v>1039</v>
      </c>
      <c r="E552" t="s">
        <v>1165</v>
      </c>
      <c r="F552" s="1">
        <v>46251</v>
      </c>
      <c r="G552" s="1">
        <v>46261</v>
      </c>
      <c r="H552" s="2">
        <v>10</v>
      </c>
      <c r="I552" s="2">
        <v>99000</v>
      </c>
      <c r="J552" s="2" t="s">
        <v>1023</v>
      </c>
      <c r="K552" t="s">
        <v>1059</v>
      </c>
      <c r="L552" t="s">
        <v>1018</v>
      </c>
      <c r="M552" t="s">
        <v>1038</v>
      </c>
      <c r="N552">
        <v>4</v>
      </c>
    </row>
    <row r="553" spans="1:14" x14ac:dyDescent="0.3">
      <c r="A553" t="s">
        <v>565</v>
      </c>
      <c r="B553">
        <v>32</v>
      </c>
      <c r="C553" t="s">
        <v>1020</v>
      </c>
      <c r="D553" s="2" t="s">
        <v>1039</v>
      </c>
      <c r="E553" t="s">
        <v>1165</v>
      </c>
      <c r="F553" s="1">
        <v>46252</v>
      </c>
      <c r="G553" s="1">
        <v>46262</v>
      </c>
      <c r="H553" s="2">
        <v>10</v>
      </c>
      <c r="I553" s="2">
        <v>23000</v>
      </c>
      <c r="J553" s="2" t="s">
        <v>1023</v>
      </c>
      <c r="K553" t="s">
        <v>1059</v>
      </c>
      <c r="L553" t="s">
        <v>1037</v>
      </c>
      <c r="M553" s="2" t="s">
        <v>1038</v>
      </c>
      <c r="N553">
        <v>4</v>
      </c>
    </row>
    <row r="554" spans="1:14" x14ac:dyDescent="0.3">
      <c r="A554" t="s">
        <v>566</v>
      </c>
      <c r="B554">
        <v>32</v>
      </c>
      <c r="C554" t="s">
        <v>1020</v>
      </c>
      <c r="D554" s="2" t="s">
        <v>1039</v>
      </c>
      <c r="E554" t="s">
        <v>1165</v>
      </c>
      <c r="F554" s="1">
        <v>46253</v>
      </c>
      <c r="G554" s="1">
        <v>46263</v>
      </c>
      <c r="H554" s="2">
        <v>10</v>
      </c>
      <c r="I554" s="2">
        <v>45000</v>
      </c>
      <c r="J554" s="2" t="s">
        <v>1023</v>
      </c>
      <c r="K554" t="s">
        <v>1059</v>
      </c>
      <c r="L554" t="s">
        <v>1018</v>
      </c>
      <c r="M554" t="s">
        <v>1038</v>
      </c>
      <c r="N554">
        <v>4</v>
      </c>
    </row>
    <row r="555" spans="1:14" x14ac:dyDescent="0.3">
      <c r="A555" t="s">
        <v>567</v>
      </c>
      <c r="B555">
        <v>23</v>
      </c>
      <c r="C555" t="s">
        <v>1020</v>
      </c>
      <c r="D555" s="2" t="s">
        <v>1039</v>
      </c>
      <c r="E555" t="s">
        <v>1165</v>
      </c>
      <c r="F555" s="1">
        <v>46254</v>
      </c>
      <c r="G555" s="1">
        <v>46264</v>
      </c>
      <c r="H555" s="2">
        <v>10</v>
      </c>
      <c r="I555" s="2">
        <v>45000</v>
      </c>
      <c r="J555" s="2" t="s">
        <v>1023</v>
      </c>
      <c r="K555" t="s">
        <v>1059</v>
      </c>
      <c r="L555" t="s">
        <v>1037</v>
      </c>
      <c r="M555" s="2" t="s">
        <v>1038</v>
      </c>
      <c r="N555">
        <v>4</v>
      </c>
    </row>
    <row r="556" spans="1:14" x14ac:dyDescent="0.3">
      <c r="A556" t="s">
        <v>568</v>
      </c>
      <c r="B556">
        <v>12</v>
      </c>
      <c r="C556" t="s">
        <v>1020</v>
      </c>
      <c r="D556" s="2" t="s">
        <v>1039</v>
      </c>
      <c r="E556" t="s">
        <v>1165</v>
      </c>
      <c r="F556" s="1">
        <v>46255</v>
      </c>
      <c r="G556" s="1">
        <v>46265</v>
      </c>
      <c r="H556" s="2">
        <v>10</v>
      </c>
      <c r="I556" s="2">
        <v>89000</v>
      </c>
      <c r="J556" s="2" t="s">
        <v>1023</v>
      </c>
      <c r="K556" t="s">
        <v>1059</v>
      </c>
      <c r="L556" t="s">
        <v>1018</v>
      </c>
      <c r="M556" t="s">
        <v>1038</v>
      </c>
      <c r="N556">
        <v>4</v>
      </c>
    </row>
    <row r="557" spans="1:14" x14ac:dyDescent="0.3">
      <c r="A557" t="s">
        <v>569</v>
      </c>
      <c r="B557">
        <v>21</v>
      </c>
      <c r="C557" t="s">
        <v>1020</v>
      </c>
      <c r="D557" s="2" t="s">
        <v>1039</v>
      </c>
      <c r="E557" t="s">
        <v>1165</v>
      </c>
      <c r="F557" s="1">
        <v>46256</v>
      </c>
      <c r="G557" s="1">
        <v>46266</v>
      </c>
      <c r="H557" s="2">
        <v>10</v>
      </c>
      <c r="I557" s="2">
        <v>98000</v>
      </c>
      <c r="J557" s="2" t="s">
        <v>1023</v>
      </c>
      <c r="K557" t="s">
        <v>1059</v>
      </c>
      <c r="L557" t="s">
        <v>1037</v>
      </c>
      <c r="M557" s="2" t="s">
        <v>1038</v>
      </c>
      <c r="N557">
        <v>4</v>
      </c>
    </row>
    <row r="558" spans="1:14" x14ac:dyDescent="0.3">
      <c r="A558" t="s">
        <v>570</v>
      </c>
      <c r="B558">
        <v>23</v>
      </c>
      <c r="C558" t="s">
        <v>1020</v>
      </c>
      <c r="D558" s="2" t="s">
        <v>1039</v>
      </c>
      <c r="E558" t="s">
        <v>1165</v>
      </c>
      <c r="F558" s="1">
        <v>46257</v>
      </c>
      <c r="G558" s="1">
        <v>46267</v>
      </c>
      <c r="H558" s="2">
        <v>10</v>
      </c>
      <c r="I558" s="2">
        <v>76000</v>
      </c>
      <c r="J558" s="2" t="s">
        <v>1023</v>
      </c>
      <c r="K558" t="s">
        <v>1059</v>
      </c>
      <c r="L558" t="s">
        <v>1037</v>
      </c>
      <c r="M558" t="s">
        <v>1038</v>
      </c>
      <c r="N558">
        <v>4</v>
      </c>
    </row>
    <row r="559" spans="1:14" x14ac:dyDescent="0.3">
      <c r="A559" t="s">
        <v>571</v>
      </c>
      <c r="B559">
        <v>34</v>
      </c>
      <c r="C559" t="s">
        <v>1020</v>
      </c>
      <c r="D559" s="2" t="s">
        <v>1039</v>
      </c>
      <c r="E559" t="s">
        <v>1165</v>
      </c>
      <c r="F559" s="1">
        <v>46258</v>
      </c>
      <c r="G559" s="1">
        <v>46268</v>
      </c>
      <c r="H559" s="2">
        <v>10</v>
      </c>
      <c r="I559" s="2">
        <v>87600</v>
      </c>
      <c r="J559" s="2" t="s">
        <v>1023</v>
      </c>
      <c r="K559" t="s">
        <v>1059</v>
      </c>
      <c r="L559" t="s">
        <v>1037</v>
      </c>
      <c r="M559" s="2" t="s">
        <v>1038</v>
      </c>
      <c r="N559">
        <v>4</v>
      </c>
    </row>
    <row r="560" spans="1:14" x14ac:dyDescent="0.3">
      <c r="A560" t="s">
        <v>572</v>
      </c>
      <c r="B560">
        <v>45</v>
      </c>
      <c r="C560" t="s">
        <v>1020</v>
      </c>
      <c r="D560" s="2" t="s">
        <v>1039</v>
      </c>
      <c r="E560" t="s">
        <v>1165</v>
      </c>
      <c r="F560" s="1">
        <v>46259</v>
      </c>
      <c r="G560" s="1">
        <v>46269</v>
      </c>
      <c r="H560" s="2">
        <v>10</v>
      </c>
      <c r="I560" s="2">
        <v>89000</v>
      </c>
      <c r="J560" s="2" t="s">
        <v>1023</v>
      </c>
      <c r="K560" t="s">
        <v>1059</v>
      </c>
      <c r="L560" t="s">
        <v>1018</v>
      </c>
      <c r="M560" t="s">
        <v>1038</v>
      </c>
      <c r="N560">
        <v>4</v>
      </c>
    </row>
    <row r="561" spans="1:14" x14ac:dyDescent="0.3">
      <c r="A561" t="s">
        <v>573</v>
      </c>
      <c r="B561">
        <v>45</v>
      </c>
      <c r="C561" t="s">
        <v>1020</v>
      </c>
      <c r="D561" s="2" t="s">
        <v>1039</v>
      </c>
      <c r="E561" t="s">
        <v>1165</v>
      </c>
      <c r="F561" s="1">
        <v>46260</v>
      </c>
      <c r="G561" s="1">
        <v>46270</v>
      </c>
      <c r="H561" s="2">
        <v>10</v>
      </c>
      <c r="I561" s="2">
        <v>98000</v>
      </c>
      <c r="J561" s="2" t="s">
        <v>1023</v>
      </c>
      <c r="K561" t="s">
        <v>1059</v>
      </c>
      <c r="L561" t="s">
        <v>1018</v>
      </c>
      <c r="M561" s="2" t="s">
        <v>1038</v>
      </c>
      <c r="N561">
        <v>4</v>
      </c>
    </row>
    <row r="562" spans="1:14" x14ac:dyDescent="0.3">
      <c r="A562" t="s">
        <v>574</v>
      </c>
      <c r="B562">
        <v>43</v>
      </c>
      <c r="C562" t="s">
        <v>1020</v>
      </c>
      <c r="D562" s="2" t="s">
        <v>1039</v>
      </c>
      <c r="E562" t="s">
        <v>1165</v>
      </c>
      <c r="F562" s="1">
        <v>46261</v>
      </c>
      <c r="G562" s="1">
        <v>46271</v>
      </c>
      <c r="H562" s="2">
        <v>10</v>
      </c>
      <c r="I562" s="2">
        <v>78000</v>
      </c>
      <c r="J562" s="2" t="s">
        <v>1023</v>
      </c>
      <c r="K562" t="s">
        <v>1059</v>
      </c>
      <c r="L562" t="s">
        <v>1037</v>
      </c>
      <c r="M562" t="s">
        <v>1038</v>
      </c>
      <c r="N562">
        <v>4</v>
      </c>
    </row>
    <row r="563" spans="1:14" x14ac:dyDescent="0.3">
      <c r="A563" t="s">
        <v>575</v>
      </c>
      <c r="B563">
        <v>56</v>
      </c>
      <c r="C563" t="s">
        <v>1020</v>
      </c>
      <c r="D563" s="2" t="s">
        <v>1039</v>
      </c>
      <c r="E563" t="s">
        <v>1165</v>
      </c>
      <c r="F563" s="1">
        <v>46262</v>
      </c>
      <c r="G563" s="1">
        <v>46272</v>
      </c>
      <c r="H563" s="2">
        <v>10</v>
      </c>
      <c r="I563" s="2">
        <v>67000</v>
      </c>
      <c r="J563" s="2" t="s">
        <v>1023</v>
      </c>
      <c r="K563" t="s">
        <v>1059</v>
      </c>
      <c r="L563" t="s">
        <v>1018</v>
      </c>
      <c r="M563" s="2" t="s">
        <v>1038</v>
      </c>
      <c r="N563">
        <v>4</v>
      </c>
    </row>
    <row r="564" spans="1:14" x14ac:dyDescent="0.3">
      <c r="A564" t="s">
        <v>576</v>
      </c>
      <c r="B564">
        <v>65</v>
      </c>
      <c r="C564" t="s">
        <v>1020</v>
      </c>
      <c r="D564" s="2" t="s">
        <v>1039</v>
      </c>
      <c r="E564" t="s">
        <v>1165</v>
      </c>
      <c r="F564" s="1">
        <v>46263</v>
      </c>
      <c r="G564" s="1">
        <v>46273</v>
      </c>
      <c r="H564" s="2">
        <v>10</v>
      </c>
      <c r="I564" s="2">
        <v>65000</v>
      </c>
      <c r="J564" s="2" t="s">
        <v>1023</v>
      </c>
      <c r="K564" t="s">
        <v>1059</v>
      </c>
      <c r="L564" t="s">
        <v>1037</v>
      </c>
      <c r="M564" t="s">
        <v>1156</v>
      </c>
      <c r="N564">
        <v>4</v>
      </c>
    </row>
    <row r="565" spans="1:14" x14ac:dyDescent="0.3">
      <c r="A565" t="s">
        <v>577</v>
      </c>
      <c r="B565">
        <v>65</v>
      </c>
      <c r="C565" t="s">
        <v>1020</v>
      </c>
      <c r="D565" s="2" t="s">
        <v>1039</v>
      </c>
      <c r="E565" t="s">
        <v>1165</v>
      </c>
      <c r="F565" s="1">
        <v>46264</v>
      </c>
      <c r="G565" s="1">
        <v>46274</v>
      </c>
      <c r="H565" s="2">
        <v>10</v>
      </c>
      <c r="I565" s="2">
        <v>89000</v>
      </c>
      <c r="J565" s="2" t="s">
        <v>1023</v>
      </c>
      <c r="K565" t="s">
        <v>1059</v>
      </c>
      <c r="M565" s="2" t="s">
        <v>1038</v>
      </c>
      <c r="N565">
        <v>4</v>
      </c>
    </row>
    <row r="566" spans="1:14" x14ac:dyDescent="0.3">
      <c r="A566" t="s">
        <v>578</v>
      </c>
      <c r="B566">
        <v>56</v>
      </c>
      <c r="C566" t="s">
        <v>1020</v>
      </c>
      <c r="D566" s="2" t="s">
        <v>1039</v>
      </c>
      <c r="E566" t="s">
        <v>1165</v>
      </c>
      <c r="F566" s="1">
        <v>46265</v>
      </c>
      <c r="G566" s="1">
        <v>46275</v>
      </c>
      <c r="H566" s="2">
        <v>10</v>
      </c>
      <c r="I566" s="2">
        <v>98000</v>
      </c>
      <c r="J566" s="2" t="s">
        <v>1023</v>
      </c>
      <c r="K566" t="s">
        <v>1059</v>
      </c>
      <c r="L566" t="s">
        <v>1018</v>
      </c>
      <c r="M566" t="s">
        <v>1157</v>
      </c>
      <c r="N566">
        <v>4</v>
      </c>
    </row>
    <row r="567" spans="1:14" x14ac:dyDescent="0.3">
      <c r="A567" t="s">
        <v>579</v>
      </c>
      <c r="B567">
        <v>54</v>
      </c>
      <c r="C567" t="s">
        <v>1020</v>
      </c>
      <c r="D567" s="2" t="s">
        <v>1039</v>
      </c>
      <c r="E567" t="s">
        <v>1165</v>
      </c>
      <c r="F567" s="1">
        <v>45292</v>
      </c>
      <c r="G567" s="1">
        <v>45302</v>
      </c>
      <c r="H567" s="2">
        <v>10</v>
      </c>
      <c r="I567" s="2">
        <v>13000</v>
      </c>
      <c r="J567" s="2" t="s">
        <v>1023</v>
      </c>
      <c r="K567" t="s">
        <v>1059</v>
      </c>
      <c r="L567" t="s">
        <v>1018</v>
      </c>
      <c r="M567" s="2" t="s">
        <v>1157</v>
      </c>
      <c r="N567">
        <v>4</v>
      </c>
    </row>
    <row r="568" spans="1:14" x14ac:dyDescent="0.3">
      <c r="A568" t="s">
        <v>580</v>
      </c>
      <c r="B568">
        <v>43</v>
      </c>
      <c r="C568" t="s">
        <v>1020</v>
      </c>
      <c r="D568" s="2" t="s">
        <v>1039</v>
      </c>
      <c r="E568" t="s">
        <v>1165</v>
      </c>
      <c r="F568" s="1">
        <v>45293</v>
      </c>
      <c r="G568" s="1">
        <v>45303</v>
      </c>
      <c r="H568" s="2">
        <v>10</v>
      </c>
      <c r="I568" s="2">
        <v>34000</v>
      </c>
      <c r="J568" s="2" t="s">
        <v>1023</v>
      </c>
      <c r="K568" t="s">
        <v>1059</v>
      </c>
      <c r="L568" t="s">
        <v>1037</v>
      </c>
      <c r="M568" t="s">
        <v>1038</v>
      </c>
      <c r="N568">
        <v>4</v>
      </c>
    </row>
    <row r="569" spans="1:14" x14ac:dyDescent="0.3">
      <c r="A569" t="s">
        <v>581</v>
      </c>
      <c r="B569">
        <v>32</v>
      </c>
      <c r="C569" t="s">
        <v>1020</v>
      </c>
      <c r="D569" s="2" t="s">
        <v>1039</v>
      </c>
      <c r="E569" t="s">
        <v>1165</v>
      </c>
      <c r="F569" s="1">
        <v>45294</v>
      </c>
      <c r="G569" s="1">
        <v>45304</v>
      </c>
      <c r="H569" s="2">
        <v>10</v>
      </c>
      <c r="I569" s="2">
        <v>67000</v>
      </c>
      <c r="J569" s="2" t="s">
        <v>1023</v>
      </c>
      <c r="K569" t="s">
        <v>1059</v>
      </c>
      <c r="L569" t="s">
        <v>1018</v>
      </c>
      <c r="M569" s="2" t="s">
        <v>1024</v>
      </c>
      <c r="N569">
        <v>4</v>
      </c>
    </row>
    <row r="570" spans="1:14" x14ac:dyDescent="0.3">
      <c r="A570" t="s">
        <v>582</v>
      </c>
      <c r="B570">
        <v>32</v>
      </c>
      <c r="C570" t="s">
        <v>1020</v>
      </c>
      <c r="D570" s="2" t="s">
        <v>1039</v>
      </c>
      <c r="E570" t="s">
        <v>1165</v>
      </c>
      <c r="F570" s="1">
        <v>45295</v>
      </c>
      <c r="G570" s="1">
        <v>45305</v>
      </c>
      <c r="H570" s="2">
        <v>10</v>
      </c>
      <c r="I570" s="2">
        <v>76000</v>
      </c>
      <c r="J570" s="2" t="s">
        <v>1023</v>
      </c>
      <c r="K570" t="s">
        <v>1059</v>
      </c>
      <c r="L570" t="s">
        <v>1037</v>
      </c>
      <c r="M570" t="s">
        <v>1024</v>
      </c>
      <c r="N570">
        <v>4</v>
      </c>
    </row>
    <row r="571" spans="1:14" x14ac:dyDescent="0.3">
      <c r="A571" t="s">
        <v>583</v>
      </c>
      <c r="B571">
        <v>43</v>
      </c>
      <c r="C571" t="s">
        <v>1020</v>
      </c>
      <c r="D571" s="2" t="s">
        <v>1039</v>
      </c>
      <c r="E571" t="s">
        <v>1165</v>
      </c>
      <c r="F571" s="1">
        <v>45296</v>
      </c>
      <c r="G571" s="1">
        <v>45306</v>
      </c>
      <c r="H571" s="2">
        <v>10</v>
      </c>
      <c r="I571" s="2">
        <v>90000</v>
      </c>
      <c r="J571" s="2" t="s">
        <v>1023</v>
      </c>
      <c r="K571" t="s">
        <v>1059</v>
      </c>
      <c r="L571" t="s">
        <v>1018</v>
      </c>
      <c r="M571" s="2" t="s">
        <v>1024</v>
      </c>
      <c r="N571">
        <v>5</v>
      </c>
    </row>
    <row r="572" spans="1:14" x14ac:dyDescent="0.3">
      <c r="A572" t="s">
        <v>584</v>
      </c>
      <c r="B572">
        <v>56</v>
      </c>
      <c r="C572" t="s">
        <v>1020</v>
      </c>
      <c r="D572" s="2" t="s">
        <v>1039</v>
      </c>
      <c r="E572" t="s">
        <v>1165</v>
      </c>
      <c r="F572" s="1">
        <v>45297</v>
      </c>
      <c r="G572" s="1">
        <v>45307</v>
      </c>
      <c r="H572" s="2">
        <v>10</v>
      </c>
      <c r="I572" s="2">
        <v>98000</v>
      </c>
      <c r="J572" s="2" t="s">
        <v>1023</v>
      </c>
      <c r="K572" t="s">
        <v>1059</v>
      </c>
      <c r="L572" t="s">
        <v>1037</v>
      </c>
      <c r="M572" t="s">
        <v>1024</v>
      </c>
      <c r="N572">
        <v>5</v>
      </c>
    </row>
    <row r="573" spans="1:14" x14ac:dyDescent="0.3">
      <c r="A573" t="s">
        <v>585</v>
      </c>
      <c r="B573">
        <v>78</v>
      </c>
      <c r="C573" t="s">
        <v>1020</v>
      </c>
      <c r="D573" s="2" t="s">
        <v>1039</v>
      </c>
      <c r="E573" t="s">
        <v>1165</v>
      </c>
      <c r="F573" s="1">
        <v>45298</v>
      </c>
      <c r="G573" s="1">
        <v>45308</v>
      </c>
      <c r="H573" s="2">
        <v>10</v>
      </c>
      <c r="I573" s="2">
        <v>67700</v>
      </c>
      <c r="J573" s="2" t="s">
        <v>1023</v>
      </c>
      <c r="K573" t="s">
        <v>1059</v>
      </c>
      <c r="L573" t="s">
        <v>1037</v>
      </c>
      <c r="M573" s="2" t="s">
        <v>1024</v>
      </c>
      <c r="N573">
        <v>5</v>
      </c>
    </row>
    <row r="574" spans="1:14" x14ac:dyDescent="0.3">
      <c r="A574" t="s">
        <v>586</v>
      </c>
      <c r="B574">
        <v>89</v>
      </c>
      <c r="C574" t="s">
        <v>1020</v>
      </c>
      <c r="D574" s="2" t="s">
        <v>1039</v>
      </c>
      <c r="E574" t="s">
        <v>1165</v>
      </c>
      <c r="F574" s="1">
        <v>45299</v>
      </c>
      <c r="G574" s="1">
        <v>45309</v>
      </c>
      <c r="H574" s="2">
        <v>10</v>
      </c>
      <c r="I574" s="2">
        <v>98000</v>
      </c>
      <c r="J574" s="2" t="s">
        <v>1023</v>
      </c>
      <c r="K574" t="s">
        <v>1059</v>
      </c>
      <c r="L574" t="s">
        <v>1037</v>
      </c>
      <c r="M574" t="s">
        <v>1019</v>
      </c>
      <c r="N574">
        <v>5</v>
      </c>
    </row>
    <row r="575" spans="1:14" x14ac:dyDescent="0.3">
      <c r="A575" t="s">
        <v>587</v>
      </c>
      <c r="B575">
        <v>87</v>
      </c>
      <c r="C575" t="s">
        <v>1020</v>
      </c>
      <c r="D575" s="2" t="s">
        <v>1039</v>
      </c>
      <c r="E575" t="s">
        <v>1165</v>
      </c>
      <c r="F575" s="1">
        <v>45300</v>
      </c>
      <c r="G575" s="1">
        <v>45310</v>
      </c>
      <c r="H575" s="2">
        <v>10</v>
      </c>
      <c r="I575" s="2">
        <v>12000</v>
      </c>
      <c r="J575" s="2" t="s">
        <v>1023</v>
      </c>
      <c r="K575" t="s">
        <v>1059</v>
      </c>
      <c r="L575" t="s">
        <v>1018</v>
      </c>
      <c r="M575" s="2" t="s">
        <v>1019</v>
      </c>
      <c r="N575">
        <v>5</v>
      </c>
    </row>
    <row r="576" spans="1:14" x14ac:dyDescent="0.3">
      <c r="A576" t="s">
        <v>588</v>
      </c>
      <c r="B576">
        <v>12</v>
      </c>
      <c r="C576" t="s">
        <v>1020</v>
      </c>
      <c r="D576" s="2" t="s">
        <v>1039</v>
      </c>
      <c r="E576" t="s">
        <v>1165</v>
      </c>
      <c r="F576" s="1">
        <v>45301</v>
      </c>
      <c r="G576" s="1">
        <v>45311</v>
      </c>
      <c r="H576" s="2">
        <v>10</v>
      </c>
      <c r="I576" s="2">
        <v>31000</v>
      </c>
      <c r="J576" s="2" t="s">
        <v>1023</v>
      </c>
      <c r="K576" t="s">
        <v>1059</v>
      </c>
      <c r="L576" t="s">
        <v>1018</v>
      </c>
      <c r="M576" t="s">
        <v>1019</v>
      </c>
      <c r="N576">
        <v>5</v>
      </c>
    </row>
    <row r="577" spans="1:14" x14ac:dyDescent="0.3">
      <c r="A577" t="s">
        <v>589</v>
      </c>
      <c r="B577">
        <v>34</v>
      </c>
      <c r="C577" t="s">
        <v>1020</v>
      </c>
      <c r="D577" s="2" t="s">
        <v>1039</v>
      </c>
      <c r="E577" t="s">
        <v>1165</v>
      </c>
      <c r="F577" s="1">
        <v>45302</v>
      </c>
      <c r="G577" s="1">
        <v>45312</v>
      </c>
      <c r="H577" s="2">
        <v>10</v>
      </c>
      <c r="I577" s="2">
        <v>32000</v>
      </c>
      <c r="J577" s="2" t="s">
        <v>1023</v>
      </c>
      <c r="K577" t="s">
        <v>1059</v>
      </c>
      <c r="L577" t="s">
        <v>1037</v>
      </c>
      <c r="M577" s="2" t="s">
        <v>1019</v>
      </c>
      <c r="N577">
        <v>5</v>
      </c>
    </row>
    <row r="578" spans="1:14" x14ac:dyDescent="0.3">
      <c r="A578" t="s">
        <v>590</v>
      </c>
      <c r="B578">
        <v>56</v>
      </c>
      <c r="C578" t="s">
        <v>1020</v>
      </c>
      <c r="D578" s="2" t="s">
        <v>1039</v>
      </c>
      <c r="E578" t="s">
        <v>1165</v>
      </c>
      <c r="F578" s="1">
        <v>45303</v>
      </c>
      <c r="G578" s="1">
        <v>45313</v>
      </c>
      <c r="H578" s="2">
        <v>10</v>
      </c>
      <c r="I578" s="2">
        <v>43000</v>
      </c>
      <c r="J578" s="2" t="s">
        <v>1023</v>
      </c>
      <c r="K578" t="s">
        <v>1059</v>
      </c>
      <c r="L578" t="s">
        <v>1018</v>
      </c>
      <c r="M578" t="s">
        <v>1019</v>
      </c>
      <c r="N578">
        <v>5</v>
      </c>
    </row>
    <row r="579" spans="1:14" x14ac:dyDescent="0.3">
      <c r="A579" t="s">
        <v>591</v>
      </c>
      <c r="B579">
        <v>45</v>
      </c>
      <c r="C579" t="s">
        <v>1020</v>
      </c>
      <c r="D579" s="2" t="s">
        <v>1039</v>
      </c>
      <c r="E579" t="s">
        <v>1165</v>
      </c>
      <c r="F579" s="1">
        <v>45304</v>
      </c>
      <c r="G579" s="1">
        <v>45314</v>
      </c>
      <c r="H579" s="2">
        <v>10</v>
      </c>
      <c r="I579" s="2">
        <v>54000</v>
      </c>
      <c r="J579" s="2" t="s">
        <v>1023</v>
      </c>
      <c r="K579" t="s">
        <v>1059</v>
      </c>
      <c r="L579" t="s">
        <v>1037</v>
      </c>
      <c r="M579" s="2" t="s">
        <v>1019</v>
      </c>
      <c r="N579">
        <v>5</v>
      </c>
    </row>
    <row r="580" spans="1:14" x14ac:dyDescent="0.3">
      <c r="A580" t="s">
        <v>592</v>
      </c>
      <c r="B580">
        <v>43</v>
      </c>
      <c r="C580" t="s">
        <v>1020</v>
      </c>
      <c r="D580" s="2" t="s">
        <v>1039</v>
      </c>
      <c r="E580" t="s">
        <v>1165</v>
      </c>
      <c r="F580" s="1">
        <v>45305</v>
      </c>
      <c r="G580" s="1">
        <v>45315</v>
      </c>
      <c r="H580" s="2">
        <v>10</v>
      </c>
      <c r="I580" s="2">
        <v>45000</v>
      </c>
      <c r="J580" s="2" t="s">
        <v>1017</v>
      </c>
      <c r="K580" t="s">
        <v>1059</v>
      </c>
      <c r="M580" t="s">
        <v>1019</v>
      </c>
      <c r="N580">
        <v>5</v>
      </c>
    </row>
    <row r="581" spans="1:14" x14ac:dyDescent="0.3">
      <c r="A581" t="s">
        <v>593</v>
      </c>
      <c r="B581">
        <v>43</v>
      </c>
      <c r="C581" t="s">
        <v>1020</v>
      </c>
      <c r="D581" s="2" t="s">
        <v>1039</v>
      </c>
      <c r="E581" t="s">
        <v>1165</v>
      </c>
      <c r="F581" s="1">
        <v>45306</v>
      </c>
      <c r="G581" s="1">
        <v>45316</v>
      </c>
      <c r="H581" s="2">
        <v>10</v>
      </c>
      <c r="I581" s="2">
        <v>87000</v>
      </c>
      <c r="J581" s="2" t="s">
        <v>1017</v>
      </c>
      <c r="K581" t="s">
        <v>1059</v>
      </c>
      <c r="L581" t="s">
        <v>1018</v>
      </c>
      <c r="M581" s="2" t="s">
        <v>1019</v>
      </c>
      <c r="N581">
        <v>5</v>
      </c>
    </row>
    <row r="582" spans="1:14" x14ac:dyDescent="0.3">
      <c r="A582" t="s">
        <v>594</v>
      </c>
      <c r="B582">
        <v>45</v>
      </c>
      <c r="C582" t="s">
        <v>1014</v>
      </c>
      <c r="D582" s="2" t="s">
        <v>1039</v>
      </c>
      <c r="E582" t="s">
        <v>1165</v>
      </c>
      <c r="F582" s="1">
        <v>45307</v>
      </c>
      <c r="G582" s="1">
        <v>45317</v>
      </c>
      <c r="H582" s="2">
        <v>10</v>
      </c>
      <c r="I582" s="2">
        <v>98000</v>
      </c>
      <c r="J582" s="2" t="s">
        <v>1017</v>
      </c>
      <c r="K582" t="s">
        <v>1059</v>
      </c>
      <c r="L582" t="s">
        <v>1018</v>
      </c>
      <c r="M582" t="s">
        <v>1019</v>
      </c>
      <c r="N582">
        <v>5</v>
      </c>
    </row>
    <row r="583" spans="1:14" x14ac:dyDescent="0.3">
      <c r="A583" t="s">
        <v>595</v>
      </c>
      <c r="B583">
        <v>56</v>
      </c>
      <c r="C583" t="s">
        <v>1014</v>
      </c>
      <c r="D583" s="2" t="s">
        <v>1039</v>
      </c>
      <c r="E583" t="s">
        <v>1165</v>
      </c>
      <c r="F583" s="1">
        <v>45308</v>
      </c>
      <c r="G583" s="1">
        <v>45318</v>
      </c>
      <c r="H583" s="2">
        <v>10</v>
      </c>
      <c r="I583" s="2">
        <v>34000</v>
      </c>
      <c r="J583" s="2" t="s">
        <v>1017</v>
      </c>
      <c r="K583" t="s">
        <v>1059</v>
      </c>
      <c r="L583" t="s">
        <v>1037</v>
      </c>
      <c r="M583" s="2" t="s">
        <v>1019</v>
      </c>
      <c r="N583">
        <v>5</v>
      </c>
    </row>
    <row r="584" spans="1:14" x14ac:dyDescent="0.3">
      <c r="A584" t="s">
        <v>596</v>
      </c>
      <c r="B584">
        <v>56</v>
      </c>
      <c r="C584" t="s">
        <v>1014</v>
      </c>
      <c r="D584" s="2" t="s">
        <v>1039</v>
      </c>
      <c r="E584" t="s">
        <v>1165</v>
      </c>
      <c r="F584" s="1">
        <v>45309</v>
      </c>
      <c r="G584" s="1">
        <v>45319</v>
      </c>
      <c r="H584" s="2">
        <v>10</v>
      </c>
      <c r="I584" s="2">
        <v>45000</v>
      </c>
      <c r="J584" s="2" t="s">
        <v>1017</v>
      </c>
      <c r="K584" t="s">
        <v>1059</v>
      </c>
      <c r="L584" t="s">
        <v>1018</v>
      </c>
      <c r="M584" t="s">
        <v>1019</v>
      </c>
      <c r="N584">
        <v>5</v>
      </c>
    </row>
    <row r="585" spans="1:14" x14ac:dyDescent="0.3">
      <c r="A585" t="s">
        <v>597</v>
      </c>
      <c r="B585">
        <v>67</v>
      </c>
      <c r="C585" t="s">
        <v>1014</v>
      </c>
      <c r="D585" s="2" t="s">
        <v>1039</v>
      </c>
      <c r="E585" t="s">
        <v>1165</v>
      </c>
      <c r="F585" s="1">
        <v>45310</v>
      </c>
      <c r="G585" s="1">
        <v>45320</v>
      </c>
      <c r="H585" s="2">
        <v>10</v>
      </c>
      <c r="I585" s="2">
        <v>39000</v>
      </c>
      <c r="J585" s="2" t="s">
        <v>1017</v>
      </c>
      <c r="K585" t="s">
        <v>1059</v>
      </c>
      <c r="L585" t="s">
        <v>1037</v>
      </c>
      <c r="M585" s="2" t="s">
        <v>1019</v>
      </c>
      <c r="N585">
        <v>5</v>
      </c>
    </row>
    <row r="586" spans="1:14" x14ac:dyDescent="0.3">
      <c r="A586" t="s">
        <v>598</v>
      </c>
      <c r="B586">
        <v>78</v>
      </c>
      <c r="C586" t="s">
        <v>1014</v>
      </c>
      <c r="D586" s="2" t="s">
        <v>1039</v>
      </c>
      <c r="E586" t="s">
        <v>1164</v>
      </c>
      <c r="F586" s="1">
        <v>45311</v>
      </c>
      <c r="G586" s="1">
        <v>45321</v>
      </c>
      <c r="H586" s="2">
        <v>10</v>
      </c>
      <c r="I586" s="2">
        <v>45000</v>
      </c>
      <c r="J586" s="2" t="s">
        <v>1017</v>
      </c>
      <c r="K586" t="s">
        <v>1059</v>
      </c>
      <c r="L586" t="s">
        <v>1018</v>
      </c>
      <c r="M586" t="s">
        <v>1019</v>
      </c>
      <c r="N586">
        <v>5</v>
      </c>
    </row>
    <row r="587" spans="1:14" x14ac:dyDescent="0.3">
      <c r="A587" t="s">
        <v>599</v>
      </c>
      <c r="B587">
        <v>87</v>
      </c>
      <c r="C587" t="s">
        <v>1014</v>
      </c>
      <c r="D587" s="2" t="s">
        <v>1039</v>
      </c>
      <c r="E587" t="s">
        <v>1164</v>
      </c>
      <c r="F587" s="1">
        <v>45312</v>
      </c>
      <c r="G587" s="1">
        <v>45322</v>
      </c>
      <c r="H587" s="2">
        <v>10</v>
      </c>
      <c r="I587" s="2">
        <v>23000</v>
      </c>
      <c r="J587" s="2" t="s">
        <v>1017</v>
      </c>
      <c r="K587" t="s">
        <v>1059</v>
      </c>
      <c r="L587" t="s">
        <v>1037</v>
      </c>
      <c r="M587" s="2" t="s">
        <v>1019</v>
      </c>
      <c r="N587">
        <v>5</v>
      </c>
    </row>
    <row r="588" spans="1:14" x14ac:dyDescent="0.3">
      <c r="A588" t="s">
        <v>600</v>
      </c>
      <c r="B588">
        <v>65</v>
      </c>
      <c r="C588" t="s">
        <v>1014</v>
      </c>
      <c r="D588" s="2" t="s">
        <v>1039</v>
      </c>
      <c r="E588" t="s">
        <v>1164</v>
      </c>
      <c r="F588" s="1">
        <v>45313</v>
      </c>
      <c r="G588" s="1">
        <v>45323</v>
      </c>
      <c r="H588" s="2">
        <v>10</v>
      </c>
      <c r="I588" s="2">
        <v>40000</v>
      </c>
      <c r="J588" s="2" t="s">
        <v>1017</v>
      </c>
      <c r="K588" t="s">
        <v>1059</v>
      </c>
      <c r="L588" t="s">
        <v>1037</v>
      </c>
      <c r="M588" t="s">
        <v>1019</v>
      </c>
      <c r="N588">
        <v>5</v>
      </c>
    </row>
    <row r="589" spans="1:14" x14ac:dyDescent="0.3">
      <c r="A589" t="s">
        <v>601</v>
      </c>
      <c r="B589">
        <v>45</v>
      </c>
      <c r="C589" t="s">
        <v>1014</v>
      </c>
      <c r="D589" s="2" t="s">
        <v>1039</v>
      </c>
      <c r="E589" t="s">
        <v>1164</v>
      </c>
      <c r="F589" s="1">
        <v>45314</v>
      </c>
      <c r="G589" s="1">
        <v>45324</v>
      </c>
      <c r="H589" s="2">
        <v>10</v>
      </c>
      <c r="I589" s="2">
        <v>45000</v>
      </c>
      <c r="J589" s="2" t="s">
        <v>1017</v>
      </c>
      <c r="K589" t="s">
        <v>1059</v>
      </c>
      <c r="L589" t="s">
        <v>1037</v>
      </c>
      <c r="M589" s="2" t="s">
        <v>1019</v>
      </c>
      <c r="N589">
        <v>5</v>
      </c>
    </row>
    <row r="590" spans="1:14" x14ac:dyDescent="0.3">
      <c r="A590" t="s">
        <v>602</v>
      </c>
      <c r="B590">
        <v>43</v>
      </c>
      <c r="C590" t="s">
        <v>1014</v>
      </c>
      <c r="D590" s="2" t="s">
        <v>1039</v>
      </c>
      <c r="E590" t="s">
        <v>1164</v>
      </c>
      <c r="F590" s="1">
        <v>45315</v>
      </c>
      <c r="G590" s="1">
        <v>45325</v>
      </c>
      <c r="H590" s="2">
        <v>10</v>
      </c>
      <c r="I590" s="2">
        <v>67000</v>
      </c>
      <c r="J590" s="2" t="s">
        <v>1017</v>
      </c>
      <c r="K590" t="s">
        <v>1059</v>
      </c>
      <c r="L590" t="s">
        <v>1018</v>
      </c>
      <c r="M590" t="s">
        <v>1019</v>
      </c>
      <c r="N590">
        <v>5</v>
      </c>
    </row>
    <row r="591" spans="1:14" x14ac:dyDescent="0.3">
      <c r="A591" t="s">
        <v>603</v>
      </c>
      <c r="B591">
        <v>23</v>
      </c>
      <c r="C591" t="s">
        <v>1014</v>
      </c>
      <c r="D591" s="2" t="s">
        <v>1039</v>
      </c>
      <c r="E591" t="s">
        <v>1164</v>
      </c>
      <c r="F591" s="1">
        <v>45316</v>
      </c>
      <c r="G591" s="1">
        <v>45326</v>
      </c>
      <c r="H591" s="2">
        <v>10</v>
      </c>
      <c r="I591" s="2">
        <v>45000</v>
      </c>
      <c r="J591" s="2" t="s">
        <v>1017</v>
      </c>
      <c r="K591" t="s">
        <v>1059</v>
      </c>
      <c r="L591" t="s">
        <v>1018</v>
      </c>
      <c r="M591" s="2" t="s">
        <v>1019</v>
      </c>
      <c r="N591">
        <v>5</v>
      </c>
    </row>
    <row r="592" spans="1:14" x14ac:dyDescent="0.3">
      <c r="A592" t="s">
        <v>604</v>
      </c>
      <c r="B592">
        <v>56</v>
      </c>
      <c r="C592" t="s">
        <v>1014</v>
      </c>
      <c r="D592" s="2" t="s">
        <v>1039</v>
      </c>
      <c r="E592" t="s">
        <v>1164</v>
      </c>
      <c r="F592" s="1">
        <v>45317</v>
      </c>
      <c r="G592" s="1">
        <v>45327</v>
      </c>
      <c r="H592" s="2">
        <v>10</v>
      </c>
      <c r="I592" s="2">
        <v>69000</v>
      </c>
      <c r="J592" s="2" t="s">
        <v>1017</v>
      </c>
      <c r="K592" t="s">
        <v>1059</v>
      </c>
      <c r="L592" t="s">
        <v>1037</v>
      </c>
      <c r="M592" t="s">
        <v>1019</v>
      </c>
      <c r="N592">
        <v>5</v>
      </c>
    </row>
    <row r="593" spans="1:14" x14ac:dyDescent="0.3">
      <c r="A593" t="s">
        <v>605</v>
      </c>
      <c r="B593">
        <v>34</v>
      </c>
      <c r="C593" t="s">
        <v>1014</v>
      </c>
      <c r="D593" s="2" t="s">
        <v>1039</v>
      </c>
      <c r="E593" t="s">
        <v>1164</v>
      </c>
      <c r="F593" s="1">
        <v>45318</v>
      </c>
      <c r="G593" s="1">
        <v>45328</v>
      </c>
      <c r="H593" s="2">
        <v>10</v>
      </c>
      <c r="I593" s="2">
        <v>40000</v>
      </c>
      <c r="J593" s="2" t="s">
        <v>1017</v>
      </c>
      <c r="K593" t="s">
        <v>1059</v>
      </c>
      <c r="L593" t="s">
        <v>1018</v>
      </c>
      <c r="M593" s="2" t="s">
        <v>1019</v>
      </c>
      <c r="N593">
        <v>5</v>
      </c>
    </row>
    <row r="594" spans="1:14" x14ac:dyDescent="0.3">
      <c r="A594" t="s">
        <v>606</v>
      </c>
      <c r="B594">
        <v>35</v>
      </c>
      <c r="C594" t="s">
        <v>1014</v>
      </c>
      <c r="D594" s="2" t="s">
        <v>1039</v>
      </c>
      <c r="E594" t="s">
        <v>1164</v>
      </c>
      <c r="F594" s="1">
        <v>45319</v>
      </c>
      <c r="G594" s="1">
        <v>45329</v>
      </c>
      <c r="H594" s="2">
        <v>10</v>
      </c>
      <c r="I594" s="2">
        <v>32000</v>
      </c>
      <c r="J594" s="2" t="s">
        <v>1017</v>
      </c>
      <c r="K594" t="s">
        <v>1059</v>
      </c>
      <c r="L594" t="s">
        <v>1037</v>
      </c>
      <c r="M594" t="s">
        <v>1019</v>
      </c>
      <c r="N594">
        <v>5</v>
      </c>
    </row>
    <row r="595" spans="1:14" x14ac:dyDescent="0.3">
      <c r="A595" t="s">
        <v>607</v>
      </c>
      <c r="B595">
        <v>45</v>
      </c>
      <c r="C595" t="s">
        <v>1014</v>
      </c>
      <c r="D595" s="2" t="s">
        <v>1039</v>
      </c>
      <c r="E595" t="s">
        <v>1164</v>
      </c>
      <c r="F595" s="1">
        <v>45320</v>
      </c>
      <c r="G595" s="1">
        <v>45330</v>
      </c>
      <c r="H595" s="2">
        <v>10</v>
      </c>
      <c r="I595" s="2">
        <v>54000</v>
      </c>
      <c r="J595" s="2" t="s">
        <v>1017</v>
      </c>
      <c r="K595" t="s">
        <v>1059</v>
      </c>
      <c r="M595" s="2" t="s">
        <v>1019</v>
      </c>
      <c r="N595">
        <v>5</v>
      </c>
    </row>
    <row r="596" spans="1:14" x14ac:dyDescent="0.3">
      <c r="A596" t="s">
        <v>608</v>
      </c>
      <c r="B596">
        <v>34</v>
      </c>
      <c r="C596" t="s">
        <v>1014</v>
      </c>
      <c r="D596" s="2" t="s">
        <v>1039</v>
      </c>
      <c r="E596" t="s">
        <v>1164</v>
      </c>
      <c r="F596" s="1">
        <v>45321</v>
      </c>
      <c r="G596" s="1">
        <v>45331</v>
      </c>
      <c r="H596" s="2">
        <v>10</v>
      </c>
      <c r="I596" s="2">
        <v>45600</v>
      </c>
      <c r="J596" s="2" t="s">
        <v>1017</v>
      </c>
      <c r="K596" t="s">
        <v>1059</v>
      </c>
      <c r="L596" t="s">
        <v>1018</v>
      </c>
      <c r="M596" t="s">
        <v>1038</v>
      </c>
      <c r="N596">
        <v>5</v>
      </c>
    </row>
    <row r="597" spans="1:14" x14ac:dyDescent="0.3">
      <c r="A597" t="s">
        <v>609</v>
      </c>
      <c r="B597">
        <v>23</v>
      </c>
      <c r="C597" t="s">
        <v>1014</v>
      </c>
      <c r="D597" s="2" t="s">
        <v>1039</v>
      </c>
      <c r="E597" t="s">
        <v>1164</v>
      </c>
      <c r="F597" s="1">
        <v>45322</v>
      </c>
      <c r="G597" s="1">
        <v>45332</v>
      </c>
      <c r="H597" s="2">
        <v>10</v>
      </c>
      <c r="I597" s="2">
        <v>78000</v>
      </c>
      <c r="J597" s="2" t="s">
        <v>1017</v>
      </c>
      <c r="K597" t="s">
        <v>1059</v>
      </c>
      <c r="L597" t="s">
        <v>1018</v>
      </c>
      <c r="M597" s="2" t="s">
        <v>1038</v>
      </c>
      <c r="N597">
        <v>5</v>
      </c>
    </row>
    <row r="598" spans="1:14" x14ac:dyDescent="0.3">
      <c r="A598" t="s">
        <v>610</v>
      </c>
      <c r="B598">
        <v>34</v>
      </c>
      <c r="C598" t="s">
        <v>1014</v>
      </c>
      <c r="D598" s="2" t="s">
        <v>1039</v>
      </c>
      <c r="E598" t="s">
        <v>1164</v>
      </c>
      <c r="F598" s="1">
        <v>45323</v>
      </c>
      <c r="G598" s="1">
        <v>45333</v>
      </c>
      <c r="H598" s="2">
        <v>10</v>
      </c>
      <c r="I598" s="2">
        <v>89000</v>
      </c>
      <c r="J598" s="2" t="s">
        <v>1017</v>
      </c>
      <c r="K598" t="s">
        <v>1059</v>
      </c>
      <c r="L598" t="s">
        <v>1037</v>
      </c>
      <c r="M598" t="s">
        <v>1038</v>
      </c>
      <c r="N598">
        <v>5</v>
      </c>
    </row>
    <row r="599" spans="1:14" x14ac:dyDescent="0.3">
      <c r="A599" t="s">
        <v>611</v>
      </c>
      <c r="B599">
        <v>56</v>
      </c>
      <c r="C599" t="s">
        <v>1014</v>
      </c>
      <c r="D599" s="2" t="s">
        <v>1039</v>
      </c>
      <c r="E599" t="s">
        <v>1164</v>
      </c>
      <c r="F599" s="1">
        <v>45324</v>
      </c>
      <c r="G599" s="1">
        <v>45334</v>
      </c>
      <c r="H599" s="2">
        <v>10</v>
      </c>
      <c r="I599" s="2">
        <v>87000</v>
      </c>
      <c r="J599" s="2" t="s">
        <v>1017</v>
      </c>
      <c r="K599" t="s">
        <v>1059</v>
      </c>
      <c r="L599" t="s">
        <v>1018</v>
      </c>
      <c r="M599" t="s">
        <v>1038</v>
      </c>
      <c r="N599">
        <v>5</v>
      </c>
    </row>
    <row r="600" spans="1:14" x14ac:dyDescent="0.3">
      <c r="A600" t="s">
        <v>612</v>
      </c>
      <c r="B600">
        <v>45</v>
      </c>
      <c r="C600" t="s">
        <v>1014</v>
      </c>
      <c r="D600" s="2" t="s">
        <v>1039</v>
      </c>
      <c r="E600" t="s">
        <v>1164</v>
      </c>
      <c r="F600" s="1">
        <v>45325</v>
      </c>
      <c r="G600" s="1">
        <v>45335</v>
      </c>
      <c r="H600" s="2">
        <v>10</v>
      </c>
      <c r="I600" s="2">
        <v>76000</v>
      </c>
      <c r="J600" s="2" t="s">
        <v>1017</v>
      </c>
      <c r="K600" t="s">
        <v>1059</v>
      </c>
      <c r="L600" t="s">
        <v>1037</v>
      </c>
      <c r="M600" t="s">
        <v>1038</v>
      </c>
      <c r="N600">
        <v>5</v>
      </c>
    </row>
    <row r="601" spans="1:14" x14ac:dyDescent="0.3">
      <c r="A601" t="s">
        <v>613</v>
      </c>
      <c r="B601">
        <v>34</v>
      </c>
      <c r="C601" t="s">
        <v>1014</v>
      </c>
      <c r="D601" s="2" t="s">
        <v>1039</v>
      </c>
      <c r="E601" t="s">
        <v>1164</v>
      </c>
      <c r="F601" s="1">
        <v>45326</v>
      </c>
      <c r="G601" s="1">
        <v>45336</v>
      </c>
      <c r="H601" s="2">
        <v>10</v>
      </c>
      <c r="I601" s="2">
        <v>87000</v>
      </c>
      <c r="J601" s="2" t="s">
        <v>1017</v>
      </c>
      <c r="K601" t="s">
        <v>1059</v>
      </c>
      <c r="L601" t="s">
        <v>1018</v>
      </c>
      <c r="M601" t="s">
        <v>1038</v>
      </c>
      <c r="N601">
        <v>5</v>
      </c>
    </row>
    <row r="602" spans="1:14" x14ac:dyDescent="0.3">
      <c r="A602" t="s">
        <v>614</v>
      </c>
      <c r="B602">
        <v>23</v>
      </c>
      <c r="C602" t="s">
        <v>1014</v>
      </c>
      <c r="D602" s="2" t="s">
        <v>1039</v>
      </c>
      <c r="E602" t="s">
        <v>1164</v>
      </c>
      <c r="F602" s="1">
        <v>45327</v>
      </c>
      <c r="G602" s="1">
        <v>45337</v>
      </c>
      <c r="H602" s="2">
        <v>10</v>
      </c>
      <c r="I602" s="2">
        <v>12000</v>
      </c>
      <c r="J602" s="2" t="s">
        <v>1017</v>
      </c>
      <c r="K602" t="s">
        <v>1059</v>
      </c>
      <c r="L602" t="s">
        <v>1037</v>
      </c>
      <c r="M602" t="s">
        <v>1038</v>
      </c>
      <c r="N602">
        <v>5</v>
      </c>
    </row>
    <row r="603" spans="1:14" x14ac:dyDescent="0.3">
      <c r="A603" t="s">
        <v>615</v>
      </c>
      <c r="B603">
        <v>45</v>
      </c>
      <c r="C603" t="s">
        <v>1014</v>
      </c>
      <c r="D603" s="2" t="s">
        <v>1039</v>
      </c>
      <c r="E603" t="s">
        <v>1164</v>
      </c>
      <c r="F603" s="1">
        <v>45328</v>
      </c>
      <c r="G603" s="1">
        <v>45338</v>
      </c>
      <c r="H603" s="2">
        <v>10</v>
      </c>
      <c r="I603" s="2">
        <v>33400</v>
      </c>
      <c r="J603" s="2" t="s">
        <v>1017</v>
      </c>
      <c r="K603" t="s">
        <v>1059</v>
      </c>
      <c r="L603" t="s">
        <v>1037</v>
      </c>
      <c r="M603" t="s">
        <v>1038</v>
      </c>
      <c r="N603">
        <v>5</v>
      </c>
    </row>
    <row r="604" spans="1:14" x14ac:dyDescent="0.3">
      <c r="A604" t="s">
        <v>616</v>
      </c>
      <c r="B604">
        <v>34</v>
      </c>
      <c r="C604" t="s">
        <v>1014</v>
      </c>
      <c r="D604" s="2" t="s">
        <v>1039</v>
      </c>
      <c r="E604" t="s">
        <v>1164</v>
      </c>
      <c r="F604" s="1">
        <v>45329</v>
      </c>
      <c r="G604" s="1">
        <v>45339</v>
      </c>
      <c r="H604" s="2">
        <v>10</v>
      </c>
      <c r="I604" s="2">
        <v>45000</v>
      </c>
      <c r="J604" s="2" t="s">
        <v>1017</v>
      </c>
      <c r="K604" t="s">
        <v>1059</v>
      </c>
      <c r="L604" t="s">
        <v>1037</v>
      </c>
      <c r="M604" t="s">
        <v>1038</v>
      </c>
      <c r="N604">
        <v>5</v>
      </c>
    </row>
    <row r="605" spans="1:14" x14ac:dyDescent="0.3">
      <c r="A605" t="s">
        <v>617</v>
      </c>
      <c r="B605">
        <v>23</v>
      </c>
      <c r="C605" t="s">
        <v>1014</v>
      </c>
      <c r="D605" s="2" t="s">
        <v>1039</v>
      </c>
      <c r="E605" t="s">
        <v>1164</v>
      </c>
      <c r="F605" s="1">
        <v>45330</v>
      </c>
      <c r="G605" s="1">
        <v>45340</v>
      </c>
      <c r="H605" s="2">
        <v>10</v>
      </c>
      <c r="I605" s="2">
        <v>56000</v>
      </c>
      <c r="J605" s="2" t="s">
        <v>1017</v>
      </c>
      <c r="K605" t="s">
        <v>1059</v>
      </c>
      <c r="L605" t="s">
        <v>1018</v>
      </c>
      <c r="M605" t="s">
        <v>1038</v>
      </c>
      <c r="N605">
        <v>5</v>
      </c>
    </row>
    <row r="606" spans="1:14" x14ac:dyDescent="0.3">
      <c r="A606" t="s">
        <v>618</v>
      </c>
      <c r="B606">
        <v>34</v>
      </c>
      <c r="C606" t="s">
        <v>1014</v>
      </c>
      <c r="D606" s="2" t="s">
        <v>1039</v>
      </c>
      <c r="E606" t="s">
        <v>1164</v>
      </c>
      <c r="F606" s="1">
        <v>45331</v>
      </c>
      <c r="G606" s="1">
        <v>45341</v>
      </c>
      <c r="H606" s="2">
        <v>10</v>
      </c>
      <c r="I606" s="2">
        <v>65000</v>
      </c>
      <c r="J606" s="2" t="s">
        <v>1017</v>
      </c>
      <c r="K606" t="s">
        <v>1059</v>
      </c>
      <c r="L606" t="s">
        <v>1018</v>
      </c>
      <c r="M606" t="s">
        <v>1038</v>
      </c>
      <c r="N606">
        <v>5</v>
      </c>
    </row>
    <row r="607" spans="1:14" x14ac:dyDescent="0.3">
      <c r="A607" t="s">
        <v>619</v>
      </c>
      <c r="B607">
        <v>45</v>
      </c>
      <c r="C607" t="s">
        <v>1014</v>
      </c>
      <c r="D607" s="2" t="s">
        <v>1039</v>
      </c>
      <c r="E607" t="s">
        <v>1164</v>
      </c>
      <c r="F607" s="1">
        <v>45332</v>
      </c>
      <c r="G607" s="1">
        <v>45342</v>
      </c>
      <c r="H607" s="2">
        <v>10</v>
      </c>
      <c r="I607" s="2">
        <v>45600</v>
      </c>
      <c r="J607" s="2" t="s">
        <v>1017</v>
      </c>
      <c r="K607" t="s">
        <v>1059</v>
      </c>
      <c r="L607" t="s">
        <v>1037</v>
      </c>
      <c r="M607" t="s">
        <v>1038</v>
      </c>
      <c r="N607">
        <v>5</v>
      </c>
    </row>
    <row r="608" spans="1:14" x14ac:dyDescent="0.3">
      <c r="A608" t="s">
        <v>620</v>
      </c>
      <c r="B608">
        <v>56</v>
      </c>
      <c r="C608" t="s">
        <v>1014</v>
      </c>
      <c r="D608" s="2" t="s">
        <v>1039</v>
      </c>
      <c r="E608" t="s">
        <v>1164</v>
      </c>
      <c r="F608" s="1">
        <v>45333</v>
      </c>
      <c r="G608" s="1">
        <v>45343</v>
      </c>
      <c r="H608" s="2">
        <v>10</v>
      </c>
      <c r="I608" s="2">
        <v>34500</v>
      </c>
      <c r="J608" s="2" t="s">
        <v>1017</v>
      </c>
      <c r="K608" t="s">
        <v>1059</v>
      </c>
      <c r="L608" t="s">
        <v>1018</v>
      </c>
      <c r="M608" t="s">
        <v>1038</v>
      </c>
      <c r="N608">
        <v>5</v>
      </c>
    </row>
    <row r="609" spans="1:14" x14ac:dyDescent="0.3">
      <c r="A609" t="s">
        <v>621</v>
      </c>
      <c r="B609">
        <v>56</v>
      </c>
      <c r="C609" t="s">
        <v>1014</v>
      </c>
      <c r="D609" s="2" t="s">
        <v>1039</v>
      </c>
      <c r="E609" t="s">
        <v>1164</v>
      </c>
      <c r="F609" s="1">
        <v>45334</v>
      </c>
      <c r="G609" s="1">
        <v>45344</v>
      </c>
      <c r="H609" s="2">
        <v>10</v>
      </c>
      <c r="I609" s="2">
        <v>56700</v>
      </c>
      <c r="J609" s="2" t="s">
        <v>1017</v>
      </c>
      <c r="K609" t="s">
        <v>1059</v>
      </c>
      <c r="L609" t="s">
        <v>1037</v>
      </c>
      <c r="M609" t="s">
        <v>1019</v>
      </c>
      <c r="N609">
        <v>5</v>
      </c>
    </row>
    <row r="610" spans="1:14" x14ac:dyDescent="0.3">
      <c r="A610" t="s">
        <v>622</v>
      </c>
      <c r="B610">
        <v>67</v>
      </c>
      <c r="C610" t="s">
        <v>1014</v>
      </c>
      <c r="D610" s="2" t="s">
        <v>1039</v>
      </c>
      <c r="E610" t="s">
        <v>1164</v>
      </c>
      <c r="F610" s="1">
        <v>45335</v>
      </c>
      <c r="G610" s="1">
        <v>45345</v>
      </c>
      <c r="H610" s="2">
        <v>10</v>
      </c>
      <c r="I610" s="2">
        <v>12300</v>
      </c>
      <c r="J610" s="2" t="s">
        <v>1017</v>
      </c>
      <c r="K610" t="s">
        <v>1059</v>
      </c>
      <c r="M610" s="2" t="s">
        <v>1038</v>
      </c>
      <c r="N610">
        <v>5</v>
      </c>
    </row>
    <row r="611" spans="1:14" x14ac:dyDescent="0.3">
      <c r="A611" t="s">
        <v>623</v>
      </c>
      <c r="B611">
        <v>78</v>
      </c>
      <c r="C611" t="s">
        <v>1014</v>
      </c>
      <c r="D611" s="2" t="s">
        <v>1039</v>
      </c>
      <c r="E611" t="s">
        <v>1164</v>
      </c>
      <c r="F611" s="1">
        <v>45336</v>
      </c>
      <c r="G611" s="1">
        <v>45346</v>
      </c>
      <c r="H611" s="2">
        <v>10</v>
      </c>
      <c r="I611" s="2">
        <v>34500</v>
      </c>
      <c r="J611" s="2" t="s">
        <v>1017</v>
      </c>
      <c r="K611" t="s">
        <v>1059</v>
      </c>
      <c r="L611" t="s">
        <v>1018</v>
      </c>
      <c r="M611" s="2" t="s">
        <v>1038</v>
      </c>
      <c r="N611">
        <v>5</v>
      </c>
    </row>
    <row r="612" spans="1:14" x14ac:dyDescent="0.3">
      <c r="A612" t="s">
        <v>624</v>
      </c>
      <c r="B612">
        <v>67</v>
      </c>
      <c r="C612" t="s">
        <v>1014</v>
      </c>
      <c r="D612" s="2" t="s">
        <v>1039</v>
      </c>
      <c r="E612" t="s">
        <v>1164</v>
      </c>
      <c r="F612" s="1">
        <v>45337</v>
      </c>
      <c r="G612" s="1">
        <v>45347</v>
      </c>
      <c r="H612" s="2">
        <v>10</v>
      </c>
      <c r="I612" s="2">
        <v>40000</v>
      </c>
      <c r="J612" s="2" t="s">
        <v>1017</v>
      </c>
      <c r="K612" t="s">
        <v>1059</v>
      </c>
      <c r="L612" t="s">
        <v>1018</v>
      </c>
      <c r="M612" s="2" t="s">
        <v>1038</v>
      </c>
      <c r="N612">
        <v>5</v>
      </c>
    </row>
    <row r="613" spans="1:14" x14ac:dyDescent="0.3">
      <c r="A613" t="s">
        <v>625</v>
      </c>
      <c r="B613">
        <v>56</v>
      </c>
      <c r="C613" t="s">
        <v>1014</v>
      </c>
      <c r="D613" s="2" t="s">
        <v>1039</v>
      </c>
      <c r="E613" t="s">
        <v>1164</v>
      </c>
      <c r="F613" s="1">
        <v>45338</v>
      </c>
      <c r="G613" s="1">
        <v>45348</v>
      </c>
      <c r="H613" s="2">
        <v>10</v>
      </c>
      <c r="I613" s="2">
        <v>12000</v>
      </c>
      <c r="J613" s="2" t="s">
        <v>1017</v>
      </c>
      <c r="K613" t="s">
        <v>1059</v>
      </c>
      <c r="L613" t="s">
        <v>1037</v>
      </c>
      <c r="M613" s="2" t="s">
        <v>1038</v>
      </c>
      <c r="N613">
        <v>5</v>
      </c>
    </row>
    <row r="614" spans="1:14" x14ac:dyDescent="0.3">
      <c r="A614" t="s">
        <v>626</v>
      </c>
      <c r="B614">
        <v>45</v>
      </c>
      <c r="C614" t="s">
        <v>1014</v>
      </c>
      <c r="D614" s="2" t="s">
        <v>1039</v>
      </c>
      <c r="E614" t="s">
        <v>1164</v>
      </c>
      <c r="F614" s="1">
        <v>45339</v>
      </c>
      <c r="G614" s="1">
        <v>45349</v>
      </c>
      <c r="H614" s="2">
        <v>10</v>
      </c>
      <c r="I614" s="2">
        <v>23000</v>
      </c>
      <c r="J614" s="2" t="s">
        <v>1017</v>
      </c>
      <c r="K614" t="s">
        <v>1059</v>
      </c>
      <c r="L614" t="s">
        <v>1018</v>
      </c>
      <c r="M614" s="2" t="s">
        <v>1038</v>
      </c>
      <c r="N614">
        <v>5</v>
      </c>
    </row>
    <row r="615" spans="1:14" x14ac:dyDescent="0.3">
      <c r="A615" t="s">
        <v>627</v>
      </c>
      <c r="B615">
        <v>43</v>
      </c>
      <c r="C615" t="s">
        <v>1014</v>
      </c>
      <c r="D615" s="2" t="s">
        <v>1039</v>
      </c>
      <c r="E615" t="s">
        <v>1164</v>
      </c>
      <c r="F615" s="1">
        <v>45340</v>
      </c>
      <c r="G615" s="1">
        <v>45350</v>
      </c>
      <c r="H615" s="2">
        <v>10</v>
      </c>
      <c r="I615" s="2">
        <v>45000</v>
      </c>
      <c r="J615" s="2" t="s">
        <v>1017</v>
      </c>
      <c r="K615" t="s">
        <v>1059</v>
      </c>
      <c r="L615" t="s">
        <v>1037</v>
      </c>
      <c r="M615" s="2" t="s">
        <v>1038</v>
      </c>
      <c r="N615">
        <v>5</v>
      </c>
    </row>
    <row r="616" spans="1:14" x14ac:dyDescent="0.3">
      <c r="A616" t="s">
        <v>628</v>
      </c>
      <c r="B616">
        <v>23</v>
      </c>
      <c r="C616" t="s">
        <v>1014</v>
      </c>
      <c r="D616" s="2" t="s">
        <v>1039</v>
      </c>
      <c r="E616" t="s">
        <v>1164</v>
      </c>
      <c r="F616" s="1">
        <v>45341</v>
      </c>
      <c r="G616" s="1">
        <v>45351</v>
      </c>
      <c r="H616" s="2">
        <v>10</v>
      </c>
      <c r="I616" s="2">
        <v>56000</v>
      </c>
      <c r="J616" s="2" t="s">
        <v>1017</v>
      </c>
      <c r="K616" t="s">
        <v>1059</v>
      </c>
      <c r="L616" t="s">
        <v>1018</v>
      </c>
      <c r="M616" s="2" t="s">
        <v>1024</v>
      </c>
      <c r="N616">
        <v>5</v>
      </c>
    </row>
    <row r="617" spans="1:14" x14ac:dyDescent="0.3">
      <c r="A617" t="s">
        <v>629</v>
      </c>
      <c r="B617">
        <v>23</v>
      </c>
      <c r="C617" t="s">
        <v>1014</v>
      </c>
      <c r="D617" s="2" t="s">
        <v>1039</v>
      </c>
      <c r="E617" t="s">
        <v>1164</v>
      </c>
      <c r="F617" s="1">
        <v>45342</v>
      </c>
      <c r="G617" s="1">
        <v>45352</v>
      </c>
      <c r="H617" s="2">
        <v>10</v>
      </c>
      <c r="I617" s="2">
        <v>78000</v>
      </c>
      <c r="J617" s="2" t="s">
        <v>1017</v>
      </c>
      <c r="K617" t="s">
        <v>1059</v>
      </c>
      <c r="L617" t="s">
        <v>1037</v>
      </c>
      <c r="M617" t="s">
        <v>1024</v>
      </c>
      <c r="N617">
        <v>5</v>
      </c>
    </row>
    <row r="618" spans="1:14" x14ac:dyDescent="0.3">
      <c r="A618" t="s">
        <v>630</v>
      </c>
      <c r="B618">
        <v>34</v>
      </c>
      <c r="C618" t="s">
        <v>1014</v>
      </c>
      <c r="D618" s="2" t="s">
        <v>1039</v>
      </c>
      <c r="E618" t="s">
        <v>1164</v>
      </c>
      <c r="F618" s="1">
        <v>45343</v>
      </c>
      <c r="G618" s="1">
        <v>45353</v>
      </c>
      <c r="H618" s="2">
        <v>10</v>
      </c>
      <c r="I618" s="2">
        <v>12000</v>
      </c>
      <c r="J618" s="2" t="s">
        <v>1017</v>
      </c>
      <c r="K618" t="s">
        <v>1059</v>
      </c>
      <c r="L618" t="s">
        <v>1037</v>
      </c>
      <c r="M618" s="2" t="s">
        <v>1019</v>
      </c>
      <c r="N618">
        <v>5</v>
      </c>
    </row>
    <row r="619" spans="1:14" x14ac:dyDescent="0.3">
      <c r="A619" t="s">
        <v>631</v>
      </c>
      <c r="B619">
        <v>45</v>
      </c>
      <c r="C619" t="s">
        <v>1014</v>
      </c>
      <c r="D619" s="2" t="s">
        <v>1039</v>
      </c>
      <c r="E619" t="s">
        <v>1164</v>
      </c>
      <c r="F619" s="1">
        <v>45344</v>
      </c>
      <c r="G619" s="1">
        <v>45354</v>
      </c>
      <c r="H619" s="2">
        <v>10</v>
      </c>
      <c r="I619" s="2">
        <v>45000</v>
      </c>
      <c r="J619" s="2" t="s">
        <v>1017</v>
      </c>
      <c r="K619" t="s">
        <v>1059</v>
      </c>
      <c r="L619" t="s">
        <v>1037</v>
      </c>
      <c r="M619" s="2" t="s">
        <v>1019</v>
      </c>
      <c r="N619">
        <v>5</v>
      </c>
    </row>
    <row r="620" spans="1:14" x14ac:dyDescent="0.3">
      <c r="A620" t="s">
        <v>632</v>
      </c>
      <c r="B620">
        <v>45</v>
      </c>
      <c r="C620" t="s">
        <v>1014</v>
      </c>
      <c r="D620" s="2" t="s">
        <v>1039</v>
      </c>
      <c r="E620" t="s">
        <v>1164</v>
      </c>
      <c r="F620" s="1">
        <v>45345</v>
      </c>
      <c r="G620" s="1">
        <v>45355</v>
      </c>
      <c r="H620" s="2">
        <v>10</v>
      </c>
      <c r="I620" s="2">
        <v>89000</v>
      </c>
      <c r="J620" s="2" t="s">
        <v>1023</v>
      </c>
      <c r="K620" t="s">
        <v>1059</v>
      </c>
      <c r="L620" t="s">
        <v>1018</v>
      </c>
      <c r="M620" s="2" t="s">
        <v>1019</v>
      </c>
      <c r="N620">
        <v>5</v>
      </c>
    </row>
    <row r="621" spans="1:14" x14ac:dyDescent="0.3">
      <c r="A621" t="s">
        <v>633</v>
      </c>
      <c r="B621">
        <v>56</v>
      </c>
      <c r="C621" t="s">
        <v>1014</v>
      </c>
      <c r="D621" s="2" t="s">
        <v>1039</v>
      </c>
      <c r="E621" t="s">
        <v>1164</v>
      </c>
      <c r="F621" s="1">
        <v>45346</v>
      </c>
      <c r="G621" s="1">
        <v>45356</v>
      </c>
      <c r="H621" s="2">
        <v>10</v>
      </c>
      <c r="I621" s="2">
        <v>12000</v>
      </c>
      <c r="J621" s="2" t="s">
        <v>1023</v>
      </c>
      <c r="K621" t="s">
        <v>1059</v>
      </c>
      <c r="L621" t="s">
        <v>1018</v>
      </c>
      <c r="M621" s="2" t="s">
        <v>1019</v>
      </c>
      <c r="N621">
        <v>5</v>
      </c>
    </row>
    <row r="622" spans="1:14" x14ac:dyDescent="0.3">
      <c r="A622" t="s">
        <v>634</v>
      </c>
      <c r="B622">
        <v>56</v>
      </c>
      <c r="C622" t="s">
        <v>1014</v>
      </c>
      <c r="D622" s="2" t="s">
        <v>1039</v>
      </c>
      <c r="E622" t="s">
        <v>1164</v>
      </c>
      <c r="F622" s="1">
        <v>45347</v>
      </c>
      <c r="G622" s="1">
        <v>45357</v>
      </c>
      <c r="H622" s="2">
        <v>10</v>
      </c>
      <c r="I622" s="2">
        <v>23000</v>
      </c>
      <c r="J622" s="2" t="s">
        <v>1023</v>
      </c>
      <c r="K622" t="s">
        <v>1059</v>
      </c>
      <c r="L622" t="s">
        <v>1037</v>
      </c>
      <c r="M622" s="2" t="s">
        <v>1019</v>
      </c>
      <c r="N622">
        <v>5</v>
      </c>
    </row>
    <row r="623" spans="1:14" x14ac:dyDescent="0.3">
      <c r="A623" t="s">
        <v>635</v>
      </c>
      <c r="B623">
        <v>65</v>
      </c>
      <c r="C623" t="s">
        <v>1014</v>
      </c>
      <c r="D623" s="2" t="s">
        <v>1039</v>
      </c>
      <c r="E623" t="s">
        <v>1164</v>
      </c>
      <c r="F623" s="1">
        <v>45348</v>
      </c>
      <c r="G623" s="1">
        <v>45358</v>
      </c>
      <c r="H623" s="2">
        <v>10</v>
      </c>
      <c r="I623" s="2">
        <v>3400</v>
      </c>
      <c r="J623" s="2" t="s">
        <v>1023</v>
      </c>
      <c r="K623" t="s">
        <v>1059</v>
      </c>
      <c r="L623" t="s">
        <v>1018</v>
      </c>
      <c r="M623" s="2" t="s">
        <v>1019</v>
      </c>
      <c r="N623">
        <v>5</v>
      </c>
    </row>
    <row r="624" spans="1:14" x14ac:dyDescent="0.3">
      <c r="A624" t="s">
        <v>636</v>
      </c>
      <c r="B624">
        <v>54</v>
      </c>
      <c r="C624" t="s">
        <v>1014</v>
      </c>
      <c r="D624" s="2" t="s">
        <v>1039</v>
      </c>
      <c r="E624" t="s">
        <v>1164</v>
      </c>
      <c r="F624" s="1">
        <v>45349</v>
      </c>
      <c r="G624" s="1">
        <v>45359</v>
      </c>
      <c r="H624" s="2">
        <v>10</v>
      </c>
      <c r="I624" s="2">
        <v>45000</v>
      </c>
      <c r="J624" s="2" t="s">
        <v>1023</v>
      </c>
      <c r="K624" t="s">
        <v>1059</v>
      </c>
      <c r="L624" t="s">
        <v>1037</v>
      </c>
      <c r="M624" s="2" t="s">
        <v>1019</v>
      </c>
      <c r="N624">
        <v>5</v>
      </c>
    </row>
    <row r="625" spans="1:14" x14ac:dyDescent="0.3">
      <c r="A625" t="s">
        <v>637</v>
      </c>
      <c r="B625">
        <v>43</v>
      </c>
      <c r="C625" t="s">
        <v>1014</v>
      </c>
      <c r="D625" s="2" t="s">
        <v>1039</v>
      </c>
      <c r="E625" t="s">
        <v>1164</v>
      </c>
      <c r="F625" s="1">
        <v>45350</v>
      </c>
      <c r="G625" s="1">
        <v>45360</v>
      </c>
      <c r="H625" s="2">
        <v>10</v>
      </c>
      <c r="I625" s="2">
        <v>56000</v>
      </c>
      <c r="J625" s="2" t="s">
        <v>1023</v>
      </c>
      <c r="K625" t="s">
        <v>1059</v>
      </c>
      <c r="M625" s="2" t="s">
        <v>1019</v>
      </c>
      <c r="N625">
        <v>5</v>
      </c>
    </row>
    <row r="626" spans="1:14" x14ac:dyDescent="0.3">
      <c r="A626" t="s">
        <v>638</v>
      </c>
      <c r="B626">
        <v>42</v>
      </c>
      <c r="C626" t="s">
        <v>1014</v>
      </c>
      <c r="D626" s="2" t="s">
        <v>1039</v>
      </c>
      <c r="E626" t="s">
        <v>1164</v>
      </c>
      <c r="F626" s="1">
        <v>45351</v>
      </c>
      <c r="G626" s="1">
        <v>45361</v>
      </c>
      <c r="H626" s="2">
        <v>10</v>
      </c>
      <c r="I626" s="2">
        <v>23000</v>
      </c>
      <c r="J626" s="2" t="s">
        <v>1023</v>
      </c>
      <c r="K626" t="s">
        <v>1059</v>
      </c>
      <c r="L626" t="s">
        <v>1018</v>
      </c>
      <c r="M626" s="2" t="s">
        <v>1038</v>
      </c>
      <c r="N626">
        <v>5</v>
      </c>
    </row>
    <row r="627" spans="1:14" x14ac:dyDescent="0.3">
      <c r="A627" t="s">
        <v>639</v>
      </c>
      <c r="B627">
        <v>43</v>
      </c>
      <c r="C627" t="s">
        <v>1014</v>
      </c>
      <c r="D627" s="2" t="s">
        <v>1039</v>
      </c>
      <c r="E627" t="s">
        <v>1164</v>
      </c>
      <c r="F627" s="1">
        <v>45352</v>
      </c>
      <c r="G627" s="1">
        <v>45362</v>
      </c>
      <c r="H627" s="2">
        <v>10</v>
      </c>
      <c r="I627" s="2">
        <v>24000</v>
      </c>
      <c r="J627" s="2" t="s">
        <v>1023</v>
      </c>
      <c r="K627" t="s">
        <v>1059</v>
      </c>
      <c r="L627" t="s">
        <v>1018</v>
      </c>
      <c r="M627" s="2" t="s">
        <v>1038</v>
      </c>
      <c r="N627">
        <v>5</v>
      </c>
    </row>
    <row r="628" spans="1:14" x14ac:dyDescent="0.3">
      <c r="A628" t="s">
        <v>640</v>
      </c>
      <c r="B628">
        <v>41</v>
      </c>
      <c r="C628" t="s">
        <v>1014</v>
      </c>
      <c r="D628" s="2" t="s">
        <v>1039</v>
      </c>
      <c r="E628" t="s">
        <v>1164</v>
      </c>
      <c r="F628" s="1">
        <v>45353</v>
      </c>
      <c r="G628" s="1">
        <v>45363</v>
      </c>
      <c r="H628" s="2">
        <v>10</v>
      </c>
      <c r="I628" s="2">
        <v>25000</v>
      </c>
      <c r="J628" s="2" t="s">
        <v>1023</v>
      </c>
      <c r="K628" t="s">
        <v>1059</v>
      </c>
      <c r="L628" t="s">
        <v>1037</v>
      </c>
      <c r="M628" s="2" t="s">
        <v>1038</v>
      </c>
      <c r="N628">
        <v>5</v>
      </c>
    </row>
    <row r="629" spans="1:14" x14ac:dyDescent="0.3">
      <c r="A629" t="s">
        <v>641</v>
      </c>
      <c r="B629">
        <v>45</v>
      </c>
      <c r="C629" t="s">
        <v>1014</v>
      </c>
      <c r="D629" s="2" t="s">
        <v>1039</v>
      </c>
      <c r="E629" t="s">
        <v>1164</v>
      </c>
      <c r="F629" s="1">
        <v>45354</v>
      </c>
      <c r="G629" s="1">
        <v>45364</v>
      </c>
      <c r="H629" s="2">
        <v>10</v>
      </c>
      <c r="I629" s="2">
        <v>27000</v>
      </c>
      <c r="J629" s="2" t="s">
        <v>1023</v>
      </c>
      <c r="K629" t="s">
        <v>1059</v>
      </c>
      <c r="L629" t="s">
        <v>1018</v>
      </c>
      <c r="M629" s="2" t="s">
        <v>1038</v>
      </c>
      <c r="N629">
        <v>5</v>
      </c>
    </row>
    <row r="630" spans="1:14" x14ac:dyDescent="0.3">
      <c r="A630" t="s">
        <v>642</v>
      </c>
      <c r="B630">
        <v>54</v>
      </c>
      <c r="C630" t="s">
        <v>1014</v>
      </c>
      <c r="D630" s="2" t="s">
        <v>1039</v>
      </c>
      <c r="E630" t="s">
        <v>1164</v>
      </c>
      <c r="F630" s="1">
        <v>45355</v>
      </c>
      <c r="G630" s="1">
        <v>45365</v>
      </c>
      <c r="H630" s="2">
        <v>10</v>
      </c>
      <c r="I630" s="2">
        <v>48000</v>
      </c>
      <c r="J630" s="2" t="s">
        <v>1023</v>
      </c>
      <c r="K630" t="s">
        <v>1059</v>
      </c>
      <c r="L630" t="s">
        <v>1037</v>
      </c>
      <c r="M630" s="2" t="s">
        <v>1038</v>
      </c>
      <c r="N630">
        <v>5</v>
      </c>
    </row>
    <row r="631" spans="1:14" x14ac:dyDescent="0.3">
      <c r="A631" t="s">
        <v>643</v>
      </c>
      <c r="B631">
        <v>34</v>
      </c>
      <c r="C631" t="s">
        <v>1014</v>
      </c>
      <c r="D631" s="2" t="s">
        <v>1039</v>
      </c>
      <c r="E631" t="s">
        <v>1164</v>
      </c>
      <c r="F631" s="1">
        <v>45356</v>
      </c>
      <c r="G631" s="1">
        <v>45366</v>
      </c>
      <c r="H631" s="2">
        <v>10</v>
      </c>
      <c r="I631" s="2">
        <v>50000</v>
      </c>
      <c r="J631" s="2" t="s">
        <v>1023</v>
      </c>
      <c r="K631" t="s">
        <v>1059</v>
      </c>
      <c r="L631" t="s">
        <v>1018</v>
      </c>
      <c r="M631" s="2" t="s">
        <v>1038</v>
      </c>
      <c r="N631">
        <v>5</v>
      </c>
    </row>
    <row r="632" spans="1:14" x14ac:dyDescent="0.3">
      <c r="A632" t="s">
        <v>644</v>
      </c>
      <c r="B632">
        <v>32</v>
      </c>
      <c r="C632" t="s">
        <v>1014</v>
      </c>
      <c r="D632" s="2" t="s">
        <v>1039</v>
      </c>
      <c r="E632" t="s">
        <v>1165</v>
      </c>
      <c r="F632" s="1">
        <v>45357</v>
      </c>
      <c r="G632" s="1">
        <v>45367</v>
      </c>
      <c r="H632" s="2">
        <v>10</v>
      </c>
      <c r="I632" s="2">
        <v>68000</v>
      </c>
      <c r="J632" s="2" t="s">
        <v>1023</v>
      </c>
      <c r="K632" t="s">
        <v>1059</v>
      </c>
      <c r="L632" t="s">
        <v>1037</v>
      </c>
      <c r="M632" s="2" t="s">
        <v>1038</v>
      </c>
      <c r="N632">
        <v>5</v>
      </c>
    </row>
    <row r="633" spans="1:14" x14ac:dyDescent="0.3">
      <c r="A633" t="s">
        <v>645</v>
      </c>
      <c r="B633">
        <v>32</v>
      </c>
      <c r="C633" t="s">
        <v>1014</v>
      </c>
      <c r="D633" s="2" t="s">
        <v>1039</v>
      </c>
      <c r="E633" t="s">
        <v>1137</v>
      </c>
      <c r="F633" s="1">
        <v>45358</v>
      </c>
      <c r="G633" s="1">
        <v>45368</v>
      </c>
      <c r="H633" s="2">
        <v>10</v>
      </c>
      <c r="I633" s="2">
        <v>34000</v>
      </c>
      <c r="J633" s="2" t="s">
        <v>1023</v>
      </c>
      <c r="K633" t="s">
        <v>1059</v>
      </c>
      <c r="L633" t="s">
        <v>1037</v>
      </c>
      <c r="M633" s="2" t="s">
        <v>1038</v>
      </c>
      <c r="N633">
        <v>5</v>
      </c>
    </row>
    <row r="634" spans="1:14" x14ac:dyDescent="0.3">
      <c r="A634" t="s">
        <v>646</v>
      </c>
      <c r="B634">
        <v>31</v>
      </c>
      <c r="C634" t="s">
        <v>1014</v>
      </c>
      <c r="D634" s="2" t="s">
        <v>1039</v>
      </c>
      <c r="E634" t="s">
        <v>1137</v>
      </c>
      <c r="F634" s="1">
        <v>45359</v>
      </c>
      <c r="G634" s="1">
        <v>45369</v>
      </c>
      <c r="H634" s="2">
        <v>10</v>
      </c>
      <c r="I634" s="2">
        <v>56000</v>
      </c>
      <c r="J634" s="2" t="s">
        <v>1023</v>
      </c>
      <c r="K634" t="s">
        <v>1059</v>
      </c>
      <c r="L634" t="s">
        <v>1037</v>
      </c>
      <c r="M634" s="2" t="s">
        <v>1038</v>
      </c>
      <c r="N634">
        <v>5</v>
      </c>
    </row>
    <row r="635" spans="1:14" x14ac:dyDescent="0.3">
      <c r="A635" t="s">
        <v>647</v>
      </c>
      <c r="B635">
        <v>35</v>
      </c>
      <c r="C635" t="s">
        <v>1014</v>
      </c>
      <c r="D635" s="2" t="s">
        <v>1039</v>
      </c>
      <c r="E635" t="s">
        <v>1137</v>
      </c>
      <c r="F635" s="1">
        <v>45360</v>
      </c>
      <c r="G635" s="1">
        <v>45370</v>
      </c>
      <c r="H635" s="2">
        <v>10</v>
      </c>
      <c r="I635" s="2">
        <v>78000</v>
      </c>
      <c r="J635" s="2" t="s">
        <v>1023</v>
      </c>
      <c r="K635" t="s">
        <v>1059</v>
      </c>
      <c r="L635" t="s">
        <v>1018</v>
      </c>
      <c r="M635" s="2" t="s">
        <v>1038</v>
      </c>
      <c r="N635">
        <v>5</v>
      </c>
    </row>
    <row r="636" spans="1:14" x14ac:dyDescent="0.3">
      <c r="A636" t="s">
        <v>648</v>
      </c>
      <c r="B636">
        <v>36</v>
      </c>
      <c r="C636" t="s">
        <v>1014</v>
      </c>
      <c r="D636" s="2" t="s">
        <v>1039</v>
      </c>
      <c r="E636" t="s">
        <v>1137</v>
      </c>
      <c r="F636" s="1">
        <v>45361</v>
      </c>
      <c r="G636" s="1">
        <v>45371</v>
      </c>
      <c r="H636" s="2">
        <v>10</v>
      </c>
      <c r="I636" s="2">
        <v>98000</v>
      </c>
      <c r="J636" s="2" t="s">
        <v>1023</v>
      </c>
      <c r="K636" t="s">
        <v>1059</v>
      </c>
      <c r="L636" t="s">
        <v>1018</v>
      </c>
      <c r="M636" s="2" t="s">
        <v>1038</v>
      </c>
      <c r="N636">
        <v>5</v>
      </c>
    </row>
    <row r="637" spans="1:14" x14ac:dyDescent="0.3">
      <c r="A637" t="s">
        <v>649</v>
      </c>
      <c r="B637">
        <v>78</v>
      </c>
      <c r="C637" t="s">
        <v>1014</v>
      </c>
      <c r="D637" s="2" t="s">
        <v>1039</v>
      </c>
      <c r="E637" t="s">
        <v>1137</v>
      </c>
      <c r="F637" s="1">
        <v>45362</v>
      </c>
      <c r="G637" s="1">
        <v>45372</v>
      </c>
      <c r="H637" s="2">
        <v>10</v>
      </c>
      <c r="I637" s="2">
        <v>34000</v>
      </c>
      <c r="J637" s="2" t="s">
        <v>1023</v>
      </c>
      <c r="K637" t="s">
        <v>1059</v>
      </c>
      <c r="L637" t="s">
        <v>1037</v>
      </c>
      <c r="M637" s="2" t="s">
        <v>1038</v>
      </c>
      <c r="N637">
        <v>5</v>
      </c>
    </row>
    <row r="638" spans="1:14" x14ac:dyDescent="0.3">
      <c r="A638" t="s">
        <v>650</v>
      </c>
      <c r="B638">
        <v>67</v>
      </c>
      <c r="C638" t="s">
        <v>1014</v>
      </c>
      <c r="D638" s="2" t="s">
        <v>1039</v>
      </c>
      <c r="E638" t="s">
        <v>1137</v>
      </c>
      <c r="F638" s="1">
        <v>45363</v>
      </c>
      <c r="G638" s="1">
        <v>45373</v>
      </c>
      <c r="H638" s="2">
        <v>10</v>
      </c>
      <c r="I638" s="2">
        <v>56000</v>
      </c>
      <c r="J638" s="2" t="s">
        <v>1023</v>
      </c>
      <c r="K638" t="s">
        <v>1059</v>
      </c>
      <c r="L638" t="s">
        <v>1018</v>
      </c>
      <c r="M638" s="2" t="s">
        <v>1038</v>
      </c>
      <c r="N638">
        <v>5</v>
      </c>
    </row>
    <row r="639" spans="1:14" x14ac:dyDescent="0.3">
      <c r="A639" t="s">
        <v>651</v>
      </c>
      <c r="B639">
        <v>65</v>
      </c>
      <c r="C639" t="s">
        <v>1014</v>
      </c>
      <c r="D639" s="2" t="s">
        <v>1039</v>
      </c>
      <c r="E639" t="s">
        <v>1137</v>
      </c>
      <c r="F639" s="1">
        <v>45364</v>
      </c>
      <c r="G639" s="1">
        <v>45374</v>
      </c>
      <c r="H639" s="2">
        <v>10</v>
      </c>
      <c r="I639" s="2">
        <v>78000</v>
      </c>
      <c r="J639" s="2" t="s">
        <v>1023</v>
      </c>
      <c r="K639" t="s">
        <v>1059</v>
      </c>
      <c r="L639" t="s">
        <v>1037</v>
      </c>
      <c r="M639" s="2" t="s">
        <v>1038</v>
      </c>
      <c r="N639">
        <v>5</v>
      </c>
    </row>
    <row r="640" spans="1:14" x14ac:dyDescent="0.3">
      <c r="A640" t="s">
        <v>652</v>
      </c>
      <c r="B640">
        <v>56</v>
      </c>
      <c r="C640" t="s">
        <v>1014</v>
      </c>
      <c r="D640" s="2" t="s">
        <v>1039</v>
      </c>
      <c r="E640" t="s">
        <v>1137</v>
      </c>
      <c r="F640" s="1">
        <v>45365</v>
      </c>
      <c r="G640" s="1">
        <v>45375</v>
      </c>
      <c r="H640" s="2">
        <v>10</v>
      </c>
      <c r="I640" s="2">
        <v>98000</v>
      </c>
      <c r="J640" s="2" t="s">
        <v>1023</v>
      </c>
      <c r="K640" t="s">
        <v>1059</v>
      </c>
      <c r="M640" s="2" t="s">
        <v>1038</v>
      </c>
      <c r="N640">
        <v>5</v>
      </c>
    </row>
    <row r="641" spans="1:14" x14ac:dyDescent="0.3">
      <c r="A641" t="s">
        <v>653</v>
      </c>
      <c r="B641">
        <v>45</v>
      </c>
      <c r="C641" t="s">
        <v>1014</v>
      </c>
      <c r="D641" s="2" t="s">
        <v>1039</v>
      </c>
      <c r="E641" t="s">
        <v>1137</v>
      </c>
      <c r="F641" s="1">
        <v>45366</v>
      </c>
      <c r="G641" s="1">
        <v>45376</v>
      </c>
      <c r="H641" s="2">
        <v>10</v>
      </c>
      <c r="I641" s="2">
        <v>12000</v>
      </c>
      <c r="J641" s="2" t="s">
        <v>1023</v>
      </c>
      <c r="K641" t="s">
        <v>1059</v>
      </c>
      <c r="L641" t="s">
        <v>1018</v>
      </c>
      <c r="M641" s="2" t="s">
        <v>1038</v>
      </c>
      <c r="N641">
        <v>5</v>
      </c>
    </row>
    <row r="642" spans="1:14" x14ac:dyDescent="0.3">
      <c r="A642" t="s">
        <v>654</v>
      </c>
      <c r="B642">
        <v>43</v>
      </c>
      <c r="C642" t="s">
        <v>1014</v>
      </c>
      <c r="D642" s="2" t="s">
        <v>1039</v>
      </c>
      <c r="E642" t="s">
        <v>1137</v>
      </c>
      <c r="F642" s="1">
        <v>45367</v>
      </c>
      <c r="G642" s="1">
        <v>45377</v>
      </c>
      <c r="H642" s="2">
        <v>10</v>
      </c>
      <c r="I642" s="2">
        <v>45000</v>
      </c>
      <c r="J642" s="2" t="s">
        <v>1023</v>
      </c>
      <c r="K642" t="s">
        <v>1059</v>
      </c>
      <c r="L642" t="s">
        <v>1018</v>
      </c>
      <c r="M642" s="2" t="s">
        <v>1038</v>
      </c>
      <c r="N642">
        <v>5</v>
      </c>
    </row>
    <row r="643" spans="1:14" x14ac:dyDescent="0.3">
      <c r="A643" t="s">
        <v>655</v>
      </c>
      <c r="B643">
        <v>42</v>
      </c>
      <c r="C643" t="s">
        <v>1014</v>
      </c>
      <c r="D643" s="2" t="s">
        <v>1039</v>
      </c>
      <c r="E643" t="s">
        <v>1137</v>
      </c>
      <c r="F643" s="1">
        <v>45368</v>
      </c>
      <c r="G643" s="1">
        <v>45378</v>
      </c>
      <c r="H643" s="2">
        <v>10</v>
      </c>
      <c r="I643" s="2">
        <v>45000</v>
      </c>
      <c r="J643" s="2" t="s">
        <v>1023</v>
      </c>
      <c r="K643" t="s">
        <v>1059</v>
      </c>
      <c r="L643" t="s">
        <v>1037</v>
      </c>
      <c r="M643" s="2" t="s">
        <v>1038</v>
      </c>
      <c r="N643">
        <v>5</v>
      </c>
    </row>
    <row r="644" spans="1:14" x14ac:dyDescent="0.3">
      <c r="A644" t="s">
        <v>656</v>
      </c>
      <c r="B644">
        <v>41</v>
      </c>
      <c r="C644" t="s">
        <v>1014</v>
      </c>
      <c r="D644" s="2" t="s">
        <v>1039</v>
      </c>
      <c r="E644" t="s">
        <v>1137</v>
      </c>
      <c r="F644" s="1">
        <v>45369</v>
      </c>
      <c r="G644" s="1">
        <v>45379</v>
      </c>
      <c r="H644" s="2">
        <v>10</v>
      </c>
      <c r="I644" s="2">
        <v>56000</v>
      </c>
      <c r="J644" s="2" t="s">
        <v>1023</v>
      </c>
      <c r="K644" t="s">
        <v>1059</v>
      </c>
      <c r="L644" t="s">
        <v>1018</v>
      </c>
      <c r="M644" s="2" t="s">
        <v>1038</v>
      </c>
      <c r="N644">
        <v>5</v>
      </c>
    </row>
    <row r="645" spans="1:14" x14ac:dyDescent="0.3">
      <c r="A645" t="s">
        <v>657</v>
      </c>
      <c r="B645">
        <v>34</v>
      </c>
      <c r="C645" t="s">
        <v>1014</v>
      </c>
      <c r="D645" s="2" t="s">
        <v>1039</v>
      </c>
      <c r="E645" t="s">
        <v>1137</v>
      </c>
      <c r="F645" s="1">
        <v>45370</v>
      </c>
      <c r="G645" s="1">
        <v>45380</v>
      </c>
      <c r="H645" s="2">
        <v>10</v>
      </c>
      <c r="I645" s="2">
        <v>78000</v>
      </c>
      <c r="J645" s="2" t="s">
        <v>1023</v>
      </c>
      <c r="K645" t="s">
        <v>1059</v>
      </c>
      <c r="L645" t="s">
        <v>1037</v>
      </c>
      <c r="M645" s="2" t="s">
        <v>1038</v>
      </c>
      <c r="N645">
        <v>5</v>
      </c>
    </row>
    <row r="646" spans="1:14" x14ac:dyDescent="0.3">
      <c r="A646" t="s">
        <v>658</v>
      </c>
      <c r="B646">
        <v>56</v>
      </c>
      <c r="C646" t="s">
        <v>1014</v>
      </c>
      <c r="D646" s="2" t="s">
        <v>1039</v>
      </c>
      <c r="E646" t="s">
        <v>1137</v>
      </c>
      <c r="F646" s="1">
        <v>45371</v>
      </c>
      <c r="G646" s="1">
        <v>45381</v>
      </c>
      <c r="H646" s="2">
        <v>10</v>
      </c>
      <c r="I646" s="2">
        <v>76000</v>
      </c>
      <c r="J646" s="2" t="s">
        <v>1023</v>
      </c>
      <c r="K646" t="s">
        <v>1059</v>
      </c>
      <c r="L646" t="s">
        <v>1018</v>
      </c>
      <c r="M646" s="2" t="s">
        <v>1038</v>
      </c>
      <c r="N646">
        <v>5</v>
      </c>
    </row>
    <row r="647" spans="1:14" x14ac:dyDescent="0.3">
      <c r="A647" t="s">
        <v>659</v>
      </c>
      <c r="B647">
        <v>78</v>
      </c>
      <c r="C647" t="s">
        <v>1014</v>
      </c>
      <c r="D647" s="2" t="s">
        <v>1039</v>
      </c>
      <c r="E647" t="s">
        <v>1137</v>
      </c>
      <c r="F647" s="1">
        <v>45372</v>
      </c>
      <c r="G647" s="1">
        <v>45382</v>
      </c>
      <c r="H647" s="2">
        <v>10</v>
      </c>
      <c r="I647" s="2">
        <v>34000</v>
      </c>
      <c r="J647" s="2" t="s">
        <v>1023</v>
      </c>
      <c r="K647" t="s">
        <v>1059</v>
      </c>
      <c r="L647" t="s">
        <v>1037</v>
      </c>
      <c r="M647" s="2" t="s">
        <v>1038</v>
      </c>
      <c r="N647">
        <v>5</v>
      </c>
    </row>
    <row r="648" spans="1:14" x14ac:dyDescent="0.3">
      <c r="A648" t="s">
        <v>660</v>
      </c>
      <c r="B648">
        <v>90</v>
      </c>
      <c r="C648" t="s">
        <v>1014</v>
      </c>
      <c r="D648" s="2" t="s">
        <v>1039</v>
      </c>
      <c r="E648" t="s">
        <v>1137</v>
      </c>
      <c r="F648" s="1">
        <v>45373</v>
      </c>
      <c r="G648" s="1">
        <v>45383</v>
      </c>
      <c r="H648" s="2">
        <v>10</v>
      </c>
      <c r="I648" s="2">
        <v>12000</v>
      </c>
      <c r="J648" s="2" t="s">
        <v>1023</v>
      </c>
      <c r="K648" t="s">
        <v>1059</v>
      </c>
      <c r="L648" t="s">
        <v>1037</v>
      </c>
      <c r="M648" s="2" t="s">
        <v>1038</v>
      </c>
      <c r="N648">
        <v>5</v>
      </c>
    </row>
    <row r="649" spans="1:14" x14ac:dyDescent="0.3">
      <c r="A649" t="s">
        <v>661</v>
      </c>
      <c r="B649">
        <v>12</v>
      </c>
      <c r="C649" t="s">
        <v>1014</v>
      </c>
      <c r="D649" s="2" t="s">
        <v>1039</v>
      </c>
      <c r="E649" t="s">
        <v>1137</v>
      </c>
      <c r="F649" s="1">
        <v>45374</v>
      </c>
      <c r="G649" s="1">
        <v>45384</v>
      </c>
      <c r="H649" s="2">
        <v>10</v>
      </c>
      <c r="I649" s="2">
        <v>34000</v>
      </c>
      <c r="J649" s="2" t="s">
        <v>1023</v>
      </c>
      <c r="K649" t="s">
        <v>1059</v>
      </c>
      <c r="L649" t="s">
        <v>1037</v>
      </c>
      <c r="M649" s="2" t="s">
        <v>1038</v>
      </c>
      <c r="N649">
        <v>5</v>
      </c>
    </row>
    <row r="650" spans="1:14" x14ac:dyDescent="0.3">
      <c r="A650" t="s">
        <v>662</v>
      </c>
      <c r="B650">
        <v>34</v>
      </c>
      <c r="C650" t="s">
        <v>1014</v>
      </c>
      <c r="D650" s="2" t="s">
        <v>1039</v>
      </c>
      <c r="E650" t="s">
        <v>1137</v>
      </c>
      <c r="F650" s="1">
        <v>45375</v>
      </c>
      <c r="G650" s="1">
        <v>45385</v>
      </c>
      <c r="H650" s="2">
        <v>10</v>
      </c>
      <c r="I650" s="2">
        <v>45000</v>
      </c>
      <c r="J650" s="2" t="s">
        <v>1023</v>
      </c>
      <c r="K650" t="s">
        <v>1059</v>
      </c>
      <c r="L650" t="s">
        <v>1018</v>
      </c>
      <c r="M650" s="2" t="s">
        <v>1038</v>
      </c>
      <c r="N650">
        <v>5</v>
      </c>
    </row>
    <row r="651" spans="1:14" x14ac:dyDescent="0.3">
      <c r="A651" t="s">
        <v>663</v>
      </c>
      <c r="B651">
        <v>56</v>
      </c>
      <c r="C651" t="s">
        <v>1014</v>
      </c>
      <c r="D651" s="2" t="s">
        <v>1039</v>
      </c>
      <c r="E651" t="s">
        <v>1137</v>
      </c>
      <c r="F651" s="1">
        <v>45376</v>
      </c>
      <c r="G651" s="1">
        <v>45386</v>
      </c>
      <c r="H651" s="2">
        <v>10</v>
      </c>
      <c r="I651" s="2">
        <v>12000</v>
      </c>
      <c r="J651" s="2" t="s">
        <v>1023</v>
      </c>
      <c r="K651" t="s">
        <v>1059</v>
      </c>
      <c r="L651" t="s">
        <v>1018</v>
      </c>
      <c r="M651" s="2" t="s">
        <v>1038</v>
      </c>
      <c r="N651">
        <v>5</v>
      </c>
    </row>
    <row r="652" spans="1:14" x14ac:dyDescent="0.3">
      <c r="A652" t="s">
        <v>664</v>
      </c>
      <c r="B652">
        <v>43</v>
      </c>
      <c r="C652" t="s">
        <v>1014</v>
      </c>
      <c r="D652" s="2" t="s">
        <v>1039</v>
      </c>
      <c r="E652" t="s">
        <v>1137</v>
      </c>
      <c r="F652" s="1">
        <v>45377</v>
      </c>
      <c r="G652" s="1">
        <v>45387</v>
      </c>
      <c r="H652" s="2">
        <v>10</v>
      </c>
      <c r="I652" s="2">
        <v>34000</v>
      </c>
      <c r="J652" s="2" t="s">
        <v>1023</v>
      </c>
      <c r="K652" t="s">
        <v>1059</v>
      </c>
      <c r="L652" t="s">
        <v>1037</v>
      </c>
      <c r="M652" s="2" t="s">
        <v>1038</v>
      </c>
      <c r="N652">
        <v>5</v>
      </c>
    </row>
    <row r="653" spans="1:14" x14ac:dyDescent="0.3">
      <c r="A653" t="s">
        <v>665</v>
      </c>
      <c r="B653">
        <v>32</v>
      </c>
      <c r="C653" t="s">
        <v>1014</v>
      </c>
      <c r="D653" s="2" t="s">
        <v>1039</v>
      </c>
      <c r="E653" t="s">
        <v>1137</v>
      </c>
      <c r="F653" s="1">
        <v>45378</v>
      </c>
      <c r="G653" s="1">
        <v>45388</v>
      </c>
      <c r="H653" s="2">
        <v>10</v>
      </c>
      <c r="I653" s="2">
        <v>5600</v>
      </c>
      <c r="J653" s="2" t="s">
        <v>1023</v>
      </c>
      <c r="K653" t="s">
        <v>1059</v>
      </c>
      <c r="L653" t="s">
        <v>1018</v>
      </c>
      <c r="M653" s="2" t="s">
        <v>1038</v>
      </c>
      <c r="N653">
        <v>5</v>
      </c>
    </row>
    <row r="654" spans="1:14" x14ac:dyDescent="0.3">
      <c r="A654" t="s">
        <v>666</v>
      </c>
      <c r="B654">
        <v>12</v>
      </c>
      <c r="C654" t="s">
        <v>1014</v>
      </c>
      <c r="D654" s="2" t="s">
        <v>1039</v>
      </c>
      <c r="E654" t="s">
        <v>1137</v>
      </c>
      <c r="F654" s="1">
        <v>45379</v>
      </c>
      <c r="G654" s="1">
        <v>45389</v>
      </c>
      <c r="H654" s="2">
        <v>10</v>
      </c>
      <c r="I654" s="2">
        <v>56000</v>
      </c>
      <c r="J654" s="2" t="s">
        <v>1023</v>
      </c>
      <c r="K654" t="s">
        <v>1059</v>
      </c>
      <c r="L654" t="s">
        <v>1037</v>
      </c>
      <c r="M654" s="2" t="s">
        <v>1024</v>
      </c>
      <c r="N654">
        <v>5</v>
      </c>
    </row>
    <row r="655" spans="1:14" x14ac:dyDescent="0.3">
      <c r="A655" t="s">
        <v>667</v>
      </c>
      <c r="B655">
        <v>34</v>
      </c>
      <c r="C655" t="s">
        <v>1014</v>
      </c>
      <c r="D655" s="2" t="s">
        <v>1039</v>
      </c>
      <c r="E655" t="s">
        <v>1137</v>
      </c>
      <c r="F655" s="1">
        <v>45380</v>
      </c>
      <c r="G655" s="1">
        <v>45390</v>
      </c>
      <c r="H655" s="2">
        <v>10</v>
      </c>
      <c r="I655" s="2">
        <v>77000</v>
      </c>
      <c r="J655" s="2" t="s">
        <v>1023</v>
      </c>
      <c r="K655" t="s">
        <v>1059</v>
      </c>
      <c r="M655" s="2" t="s">
        <v>1024</v>
      </c>
      <c r="N655">
        <v>5</v>
      </c>
    </row>
    <row r="656" spans="1:14" x14ac:dyDescent="0.3">
      <c r="A656" t="s">
        <v>668</v>
      </c>
      <c r="B656">
        <v>56</v>
      </c>
      <c r="C656" t="s">
        <v>1014</v>
      </c>
      <c r="D656" s="2" t="s">
        <v>1039</v>
      </c>
      <c r="E656" t="s">
        <v>1137</v>
      </c>
      <c r="F656" s="1">
        <v>45381</v>
      </c>
      <c r="G656" s="1">
        <v>45391</v>
      </c>
      <c r="H656" s="2">
        <v>10</v>
      </c>
      <c r="I656" s="2">
        <v>12345</v>
      </c>
      <c r="J656" s="2" t="s">
        <v>1023</v>
      </c>
      <c r="K656" t="s">
        <v>1059</v>
      </c>
      <c r="L656" t="s">
        <v>1018</v>
      </c>
      <c r="M656" s="2" t="s">
        <v>1024</v>
      </c>
      <c r="N656">
        <v>5</v>
      </c>
    </row>
    <row r="657" spans="1:14" x14ac:dyDescent="0.3">
      <c r="A657" t="s">
        <v>669</v>
      </c>
      <c r="B657">
        <v>34</v>
      </c>
      <c r="C657" t="s">
        <v>1014</v>
      </c>
      <c r="D657" s="2" t="s">
        <v>1039</v>
      </c>
      <c r="E657" t="s">
        <v>1137</v>
      </c>
      <c r="F657" s="1">
        <v>45382</v>
      </c>
      <c r="G657" s="1">
        <v>45392</v>
      </c>
      <c r="H657" s="2">
        <v>10</v>
      </c>
      <c r="I657" s="2">
        <v>23456</v>
      </c>
      <c r="J657" s="2" t="s">
        <v>1023</v>
      </c>
      <c r="K657" t="s">
        <v>1059</v>
      </c>
      <c r="L657" t="s">
        <v>1018</v>
      </c>
      <c r="M657" s="2" t="s">
        <v>1024</v>
      </c>
      <c r="N657">
        <v>5</v>
      </c>
    </row>
    <row r="658" spans="1:14" x14ac:dyDescent="0.3">
      <c r="A658" t="s">
        <v>670</v>
      </c>
      <c r="B658">
        <v>12</v>
      </c>
      <c r="C658" t="s">
        <v>1014</v>
      </c>
      <c r="D658" s="2" t="s">
        <v>1039</v>
      </c>
      <c r="E658" t="s">
        <v>1137</v>
      </c>
      <c r="F658" s="1">
        <v>45383</v>
      </c>
      <c r="G658" s="1">
        <v>45393</v>
      </c>
      <c r="H658" s="2">
        <v>10</v>
      </c>
      <c r="I658" s="2">
        <v>34567</v>
      </c>
      <c r="J658" s="2" t="s">
        <v>1023</v>
      </c>
      <c r="K658" t="s">
        <v>1059</v>
      </c>
      <c r="L658" t="s">
        <v>1037</v>
      </c>
      <c r="M658" s="2" t="s">
        <v>1024</v>
      </c>
      <c r="N658">
        <v>5</v>
      </c>
    </row>
    <row r="659" spans="1:14" x14ac:dyDescent="0.3">
      <c r="A659" t="s">
        <v>671</v>
      </c>
      <c r="B659">
        <v>34</v>
      </c>
      <c r="C659" t="s">
        <v>1014</v>
      </c>
      <c r="D659" s="2" t="s">
        <v>1039</v>
      </c>
      <c r="E659" t="s">
        <v>1137</v>
      </c>
      <c r="F659" s="1">
        <v>45384</v>
      </c>
      <c r="G659" s="1">
        <v>45394</v>
      </c>
      <c r="H659" s="2">
        <v>10</v>
      </c>
      <c r="I659" s="2">
        <v>45678</v>
      </c>
      <c r="J659" s="2" t="s">
        <v>1023</v>
      </c>
      <c r="K659" t="s">
        <v>1059</v>
      </c>
      <c r="L659" t="s">
        <v>1018</v>
      </c>
      <c r="M659" s="2" t="s">
        <v>1024</v>
      </c>
      <c r="N659">
        <v>5</v>
      </c>
    </row>
    <row r="660" spans="1:14" x14ac:dyDescent="0.3">
      <c r="A660" t="s">
        <v>672</v>
      </c>
      <c r="B660">
        <v>12</v>
      </c>
      <c r="C660" t="s">
        <v>1014</v>
      </c>
      <c r="D660" s="2" t="s">
        <v>1039</v>
      </c>
      <c r="E660" t="s">
        <v>1137</v>
      </c>
      <c r="F660" s="1">
        <v>45385</v>
      </c>
      <c r="G660" s="1">
        <v>45395</v>
      </c>
      <c r="H660" s="2">
        <v>10</v>
      </c>
      <c r="I660" s="2">
        <v>56789</v>
      </c>
      <c r="J660" s="2" t="s">
        <v>1023</v>
      </c>
      <c r="K660" t="s">
        <v>1059</v>
      </c>
      <c r="L660" t="s">
        <v>1037</v>
      </c>
      <c r="M660" s="2" t="s">
        <v>1024</v>
      </c>
      <c r="N660">
        <v>5</v>
      </c>
    </row>
    <row r="661" spans="1:14" x14ac:dyDescent="0.3">
      <c r="A661" t="s">
        <v>673</v>
      </c>
      <c r="B661">
        <v>34</v>
      </c>
      <c r="C661" t="s">
        <v>1014</v>
      </c>
      <c r="D661" s="2" t="s">
        <v>1039</v>
      </c>
      <c r="E661" t="s">
        <v>1137</v>
      </c>
      <c r="F661" s="1">
        <v>45386</v>
      </c>
      <c r="G661" s="1">
        <v>45396</v>
      </c>
      <c r="H661" s="2">
        <v>10</v>
      </c>
      <c r="I661" s="2">
        <v>67890</v>
      </c>
      <c r="J661" s="2" t="s">
        <v>1023</v>
      </c>
      <c r="K661" t="s">
        <v>1059</v>
      </c>
      <c r="L661" t="s">
        <v>1018</v>
      </c>
      <c r="M661" s="2" t="s">
        <v>1024</v>
      </c>
      <c r="N661">
        <v>5</v>
      </c>
    </row>
    <row r="662" spans="1:14" x14ac:dyDescent="0.3">
      <c r="A662" t="s">
        <v>674</v>
      </c>
      <c r="B662">
        <v>45</v>
      </c>
      <c r="C662" t="s">
        <v>1014</v>
      </c>
      <c r="D662" s="2" t="s">
        <v>1039</v>
      </c>
      <c r="E662" t="s">
        <v>1137</v>
      </c>
      <c r="F662" s="1">
        <v>45387</v>
      </c>
      <c r="G662" s="1">
        <v>45397</v>
      </c>
      <c r="H662" s="2">
        <v>10</v>
      </c>
      <c r="I662" s="2">
        <v>98765</v>
      </c>
      <c r="J662" s="2" t="s">
        <v>1023</v>
      </c>
      <c r="K662" t="s">
        <v>1059</v>
      </c>
      <c r="L662" t="s">
        <v>1037</v>
      </c>
      <c r="M662" s="2" t="s">
        <v>1024</v>
      </c>
      <c r="N662">
        <v>5</v>
      </c>
    </row>
    <row r="663" spans="1:14" x14ac:dyDescent="0.3">
      <c r="A663" t="s">
        <v>675</v>
      </c>
      <c r="B663">
        <v>67</v>
      </c>
      <c r="C663" t="s">
        <v>1014</v>
      </c>
      <c r="D663" s="2" t="s">
        <v>1039</v>
      </c>
      <c r="E663" t="s">
        <v>1137</v>
      </c>
      <c r="F663" s="1">
        <v>45388</v>
      </c>
      <c r="G663" s="1">
        <v>45398</v>
      </c>
      <c r="H663" s="2">
        <v>10</v>
      </c>
      <c r="I663" s="2">
        <v>87654</v>
      </c>
      <c r="J663" s="2" t="s">
        <v>1023</v>
      </c>
      <c r="K663" t="s">
        <v>1059</v>
      </c>
      <c r="L663" t="s">
        <v>1037</v>
      </c>
      <c r="M663" s="2" t="s">
        <v>1024</v>
      </c>
      <c r="N663">
        <v>5</v>
      </c>
    </row>
    <row r="664" spans="1:14" x14ac:dyDescent="0.3">
      <c r="A664" t="s">
        <v>676</v>
      </c>
      <c r="B664">
        <v>78</v>
      </c>
      <c r="C664" t="s">
        <v>1014</v>
      </c>
      <c r="D664" s="2" t="s">
        <v>1039</v>
      </c>
      <c r="E664" t="s">
        <v>1137</v>
      </c>
      <c r="F664" s="1">
        <v>45389</v>
      </c>
      <c r="G664" s="1">
        <v>45399</v>
      </c>
      <c r="H664" s="2">
        <v>10</v>
      </c>
      <c r="I664" s="2">
        <v>76543</v>
      </c>
      <c r="J664" s="2" t="s">
        <v>1023</v>
      </c>
      <c r="K664" t="s">
        <v>1059</v>
      </c>
      <c r="L664" t="s">
        <v>1037</v>
      </c>
      <c r="M664" s="2" t="s">
        <v>1024</v>
      </c>
      <c r="N664">
        <v>5</v>
      </c>
    </row>
    <row r="665" spans="1:14" x14ac:dyDescent="0.3">
      <c r="A665" t="s">
        <v>677</v>
      </c>
      <c r="B665">
        <v>87</v>
      </c>
      <c r="C665" t="s">
        <v>1014</v>
      </c>
      <c r="D665" s="2" t="s">
        <v>1039</v>
      </c>
      <c r="E665" t="s">
        <v>1137</v>
      </c>
      <c r="F665" s="1">
        <v>45390</v>
      </c>
      <c r="G665" s="1">
        <v>45400</v>
      </c>
      <c r="H665" s="2">
        <v>10</v>
      </c>
      <c r="I665" s="2">
        <v>76890</v>
      </c>
      <c r="J665" s="2" t="s">
        <v>1023</v>
      </c>
      <c r="K665" t="s">
        <v>1059</v>
      </c>
      <c r="L665" t="s">
        <v>1018</v>
      </c>
      <c r="M665" s="2" t="s">
        <v>1024</v>
      </c>
      <c r="N665">
        <v>5</v>
      </c>
    </row>
    <row r="666" spans="1:14" x14ac:dyDescent="0.3">
      <c r="A666" t="s">
        <v>678</v>
      </c>
      <c r="B666">
        <v>23</v>
      </c>
      <c r="C666" t="s">
        <v>1014</v>
      </c>
      <c r="D666" s="2" t="s">
        <v>1039</v>
      </c>
      <c r="E666" t="s">
        <v>1137</v>
      </c>
      <c r="F666" s="1">
        <v>45391</v>
      </c>
      <c r="G666" s="1">
        <v>45401</v>
      </c>
      <c r="H666" s="2">
        <v>10</v>
      </c>
      <c r="I666" s="2">
        <v>98000</v>
      </c>
      <c r="J666" s="2" t="s">
        <v>1023</v>
      </c>
      <c r="K666" t="s">
        <v>1059</v>
      </c>
      <c r="L666" t="s">
        <v>1018</v>
      </c>
      <c r="M666" s="2" t="s">
        <v>1024</v>
      </c>
      <c r="N666">
        <v>5</v>
      </c>
    </row>
    <row r="667" spans="1:14" x14ac:dyDescent="0.3">
      <c r="A667" t="s">
        <v>679</v>
      </c>
      <c r="B667">
        <v>45</v>
      </c>
      <c r="C667" t="s">
        <v>1014</v>
      </c>
      <c r="D667" s="2" t="s">
        <v>1039</v>
      </c>
      <c r="E667" t="s">
        <v>1137</v>
      </c>
      <c r="F667" s="1">
        <v>45392</v>
      </c>
      <c r="G667" s="1">
        <v>45402</v>
      </c>
      <c r="H667" s="2">
        <v>10</v>
      </c>
      <c r="I667" s="2">
        <v>78000</v>
      </c>
      <c r="J667" s="2" t="s">
        <v>1023</v>
      </c>
      <c r="K667" t="s">
        <v>1059</v>
      </c>
      <c r="L667" t="s">
        <v>1037</v>
      </c>
      <c r="M667" s="2" t="s">
        <v>1024</v>
      </c>
      <c r="N667">
        <v>5</v>
      </c>
    </row>
    <row r="668" spans="1:14" x14ac:dyDescent="0.3">
      <c r="A668" t="s">
        <v>680</v>
      </c>
      <c r="B668">
        <v>12</v>
      </c>
      <c r="C668" t="s">
        <v>1014</v>
      </c>
      <c r="D668" s="2" t="s">
        <v>1039</v>
      </c>
      <c r="E668" t="s">
        <v>1137</v>
      </c>
      <c r="F668" s="1">
        <v>45393</v>
      </c>
      <c r="G668" s="1">
        <v>45397</v>
      </c>
      <c r="H668" s="2">
        <v>4</v>
      </c>
      <c r="I668" s="2">
        <v>67800</v>
      </c>
      <c r="J668" s="2" t="s">
        <v>1023</v>
      </c>
      <c r="K668" t="s">
        <v>1059</v>
      </c>
      <c r="L668" t="s">
        <v>1018</v>
      </c>
      <c r="M668" s="2" t="s">
        <v>1024</v>
      </c>
      <c r="N668">
        <v>5</v>
      </c>
    </row>
    <row r="669" spans="1:14" x14ac:dyDescent="0.3">
      <c r="A669" t="s">
        <v>681</v>
      </c>
      <c r="B669">
        <v>23</v>
      </c>
      <c r="C669" t="s">
        <v>1020</v>
      </c>
      <c r="D669" s="2" t="s">
        <v>1039</v>
      </c>
      <c r="E669" t="s">
        <v>1102</v>
      </c>
      <c r="F669" s="1">
        <v>45394</v>
      </c>
      <c r="G669" s="1">
        <v>45398</v>
      </c>
      <c r="H669" s="2">
        <v>4</v>
      </c>
      <c r="I669" s="2">
        <v>78000</v>
      </c>
      <c r="J669" s="2" t="s">
        <v>1023</v>
      </c>
      <c r="K669" t="s">
        <v>1059</v>
      </c>
      <c r="L669" t="s">
        <v>1037</v>
      </c>
      <c r="M669" s="2" t="s">
        <v>1024</v>
      </c>
      <c r="N669">
        <v>3.6</v>
      </c>
    </row>
    <row r="670" spans="1:14" x14ac:dyDescent="0.3">
      <c r="A670" t="s">
        <v>682</v>
      </c>
      <c r="B670">
        <v>45</v>
      </c>
      <c r="C670" t="s">
        <v>1020</v>
      </c>
      <c r="D670" s="2" t="s">
        <v>1039</v>
      </c>
      <c r="E670" t="s">
        <v>1102</v>
      </c>
      <c r="F670" s="1">
        <v>45395</v>
      </c>
      <c r="G670" s="1">
        <v>45399</v>
      </c>
      <c r="H670" s="2">
        <v>4</v>
      </c>
      <c r="I670" s="2">
        <v>98000</v>
      </c>
      <c r="J670" s="2" t="s">
        <v>1023</v>
      </c>
      <c r="K670" t="s">
        <v>1059</v>
      </c>
      <c r="M670" s="2" t="s">
        <v>1024</v>
      </c>
      <c r="N670">
        <v>3.6</v>
      </c>
    </row>
    <row r="671" spans="1:14" x14ac:dyDescent="0.3">
      <c r="A671" t="s">
        <v>683</v>
      </c>
      <c r="B671">
        <v>32</v>
      </c>
      <c r="C671" t="s">
        <v>1020</v>
      </c>
      <c r="D671" s="2" t="s">
        <v>1039</v>
      </c>
      <c r="E671" t="s">
        <v>1102</v>
      </c>
      <c r="F671" s="1">
        <v>45396</v>
      </c>
      <c r="G671" s="1">
        <v>45400</v>
      </c>
      <c r="H671" s="2">
        <v>4</v>
      </c>
      <c r="I671" s="2">
        <v>12000</v>
      </c>
      <c r="J671" s="2" t="s">
        <v>1023</v>
      </c>
      <c r="K671" t="s">
        <v>1059</v>
      </c>
      <c r="L671" t="s">
        <v>1018</v>
      </c>
      <c r="M671" s="2" t="s">
        <v>1024</v>
      </c>
      <c r="N671">
        <v>3.6</v>
      </c>
    </row>
    <row r="672" spans="1:14" x14ac:dyDescent="0.3">
      <c r="A672" t="s">
        <v>684</v>
      </c>
      <c r="B672">
        <v>45</v>
      </c>
      <c r="C672" t="s">
        <v>1020</v>
      </c>
      <c r="D672" s="2" t="s">
        <v>1039</v>
      </c>
      <c r="E672" t="s">
        <v>1102</v>
      </c>
      <c r="F672" s="1">
        <v>45397</v>
      </c>
      <c r="G672" s="1">
        <v>45401</v>
      </c>
      <c r="H672" s="2">
        <v>4</v>
      </c>
      <c r="I672" s="2">
        <v>34000</v>
      </c>
      <c r="J672" s="2" t="s">
        <v>1023</v>
      </c>
      <c r="K672" t="s">
        <v>1059</v>
      </c>
      <c r="L672" t="s">
        <v>1018</v>
      </c>
      <c r="M672" s="2" t="s">
        <v>1024</v>
      </c>
      <c r="N672">
        <v>3.6</v>
      </c>
    </row>
    <row r="673" spans="1:14" x14ac:dyDescent="0.3">
      <c r="A673" t="s">
        <v>685</v>
      </c>
      <c r="B673">
        <v>32</v>
      </c>
      <c r="C673" t="s">
        <v>1020</v>
      </c>
      <c r="D673" s="2" t="s">
        <v>1039</v>
      </c>
      <c r="E673" t="s">
        <v>1102</v>
      </c>
      <c r="F673" s="1">
        <v>45398</v>
      </c>
      <c r="G673" s="1">
        <v>45402</v>
      </c>
      <c r="H673" s="2">
        <v>4</v>
      </c>
      <c r="I673" s="2">
        <v>45000</v>
      </c>
      <c r="J673" s="2" t="s">
        <v>1023</v>
      </c>
      <c r="K673" t="s">
        <v>1059</v>
      </c>
      <c r="L673" t="s">
        <v>1037</v>
      </c>
      <c r="M673" s="2" t="s">
        <v>1024</v>
      </c>
      <c r="N673">
        <v>3.6</v>
      </c>
    </row>
    <row r="674" spans="1:14" x14ac:dyDescent="0.3">
      <c r="A674" t="s">
        <v>686</v>
      </c>
      <c r="B674">
        <v>45</v>
      </c>
      <c r="C674" t="s">
        <v>1020</v>
      </c>
      <c r="D674" s="2" t="s">
        <v>1039</v>
      </c>
      <c r="E674" t="s">
        <v>1102</v>
      </c>
      <c r="F674" s="1">
        <v>45399</v>
      </c>
      <c r="G674" s="1">
        <v>45403</v>
      </c>
      <c r="H674" s="2">
        <v>4</v>
      </c>
      <c r="I674" s="2">
        <v>56000</v>
      </c>
      <c r="J674" s="2" t="s">
        <v>1023</v>
      </c>
      <c r="K674" t="s">
        <v>1059</v>
      </c>
      <c r="L674" t="s">
        <v>1018</v>
      </c>
      <c r="M674" s="2" t="s">
        <v>1024</v>
      </c>
      <c r="N674">
        <v>3.6</v>
      </c>
    </row>
    <row r="675" spans="1:14" x14ac:dyDescent="0.3">
      <c r="A675" t="s">
        <v>687</v>
      </c>
      <c r="B675">
        <v>67</v>
      </c>
      <c r="C675" t="s">
        <v>1020</v>
      </c>
      <c r="D675" s="2" t="s">
        <v>1039</v>
      </c>
      <c r="E675" t="s">
        <v>1102</v>
      </c>
      <c r="F675" s="1">
        <v>45400</v>
      </c>
      <c r="G675" s="1">
        <v>45404</v>
      </c>
      <c r="H675" s="2">
        <v>4</v>
      </c>
      <c r="I675" s="2">
        <v>12000</v>
      </c>
      <c r="J675" s="2" t="s">
        <v>1023</v>
      </c>
      <c r="K675" t="s">
        <v>1059</v>
      </c>
      <c r="L675" t="s">
        <v>1037</v>
      </c>
      <c r="M675" s="2" t="s">
        <v>1024</v>
      </c>
      <c r="N675">
        <v>3.6</v>
      </c>
    </row>
    <row r="676" spans="1:14" x14ac:dyDescent="0.3">
      <c r="A676" t="s">
        <v>688</v>
      </c>
      <c r="B676">
        <v>65</v>
      </c>
      <c r="C676" t="s">
        <v>1020</v>
      </c>
      <c r="D676" s="2" t="s">
        <v>1039</v>
      </c>
      <c r="E676" t="s">
        <v>1102</v>
      </c>
      <c r="F676" s="1">
        <v>45401</v>
      </c>
      <c r="G676" s="1">
        <v>45405</v>
      </c>
      <c r="H676" s="2">
        <v>4</v>
      </c>
      <c r="I676" s="2">
        <v>45000</v>
      </c>
      <c r="J676" s="2" t="s">
        <v>1023</v>
      </c>
      <c r="K676" t="s">
        <v>1059</v>
      </c>
      <c r="L676" t="s">
        <v>1018</v>
      </c>
      <c r="M676" s="2" t="s">
        <v>1024</v>
      </c>
      <c r="N676">
        <v>3.6</v>
      </c>
    </row>
    <row r="677" spans="1:14" x14ac:dyDescent="0.3">
      <c r="A677" t="s">
        <v>689</v>
      </c>
      <c r="B677">
        <v>45</v>
      </c>
      <c r="C677" t="s">
        <v>1020</v>
      </c>
      <c r="D677" s="2" t="s">
        <v>1039</v>
      </c>
      <c r="E677" t="s">
        <v>1102</v>
      </c>
      <c r="F677" s="1">
        <v>45402</v>
      </c>
      <c r="G677" s="1">
        <v>45406</v>
      </c>
      <c r="H677" s="2">
        <v>4</v>
      </c>
      <c r="I677" s="2">
        <v>56000</v>
      </c>
      <c r="J677" s="2" t="s">
        <v>1023</v>
      </c>
      <c r="K677" t="s">
        <v>1059</v>
      </c>
      <c r="L677" t="s">
        <v>1037</v>
      </c>
      <c r="M677" s="2" t="s">
        <v>1024</v>
      </c>
      <c r="N677">
        <v>3.6</v>
      </c>
    </row>
    <row r="678" spans="1:14" x14ac:dyDescent="0.3">
      <c r="A678" t="s">
        <v>690</v>
      </c>
      <c r="B678">
        <v>34</v>
      </c>
      <c r="C678" t="s">
        <v>1020</v>
      </c>
      <c r="D678" s="2" t="s">
        <v>1039</v>
      </c>
      <c r="E678" t="s">
        <v>1102</v>
      </c>
      <c r="F678" s="1">
        <v>45403</v>
      </c>
      <c r="G678" s="1">
        <v>45408</v>
      </c>
      <c r="H678" s="2">
        <v>5</v>
      </c>
      <c r="I678" s="2">
        <v>67000</v>
      </c>
      <c r="J678" s="2" t="s">
        <v>1023</v>
      </c>
      <c r="K678" t="s">
        <v>1059</v>
      </c>
      <c r="L678" t="s">
        <v>1037</v>
      </c>
      <c r="M678" s="2" t="s">
        <v>1024</v>
      </c>
      <c r="N678">
        <v>3.6</v>
      </c>
    </row>
    <row r="679" spans="1:14" x14ac:dyDescent="0.3">
      <c r="A679" t="s">
        <v>691</v>
      </c>
      <c r="B679">
        <v>32</v>
      </c>
      <c r="C679" t="s">
        <v>1020</v>
      </c>
      <c r="D679" s="2" t="s">
        <v>1025</v>
      </c>
      <c r="E679" t="s">
        <v>1055</v>
      </c>
      <c r="F679" s="1">
        <v>45404</v>
      </c>
      <c r="G679" s="1">
        <v>45409</v>
      </c>
      <c r="H679" s="2">
        <v>5</v>
      </c>
      <c r="I679" s="2">
        <v>78000</v>
      </c>
      <c r="J679" s="2" t="s">
        <v>1023</v>
      </c>
      <c r="K679" t="s">
        <v>1046</v>
      </c>
      <c r="L679" t="s">
        <v>1037</v>
      </c>
      <c r="M679" s="2" t="s">
        <v>1024</v>
      </c>
      <c r="N679">
        <v>3.6</v>
      </c>
    </row>
    <row r="680" spans="1:14" x14ac:dyDescent="0.3">
      <c r="A680" t="s">
        <v>692</v>
      </c>
      <c r="B680">
        <v>31</v>
      </c>
      <c r="C680" t="s">
        <v>1020</v>
      </c>
      <c r="D680" s="2" t="s">
        <v>1025</v>
      </c>
      <c r="E680" t="s">
        <v>1055</v>
      </c>
      <c r="F680" s="1">
        <v>45405</v>
      </c>
      <c r="G680" s="1">
        <v>45410</v>
      </c>
      <c r="H680" s="2">
        <v>5</v>
      </c>
      <c r="I680" s="2">
        <v>45690</v>
      </c>
      <c r="J680" s="2" t="s">
        <v>1023</v>
      </c>
      <c r="K680" t="s">
        <v>1046</v>
      </c>
      <c r="L680" t="s">
        <v>1018</v>
      </c>
      <c r="M680" s="2" t="s">
        <v>1024</v>
      </c>
      <c r="N680">
        <v>3.6</v>
      </c>
    </row>
    <row r="681" spans="1:14" x14ac:dyDescent="0.3">
      <c r="A681" t="s">
        <v>693</v>
      </c>
      <c r="B681">
        <v>45</v>
      </c>
      <c r="C681" t="s">
        <v>1020</v>
      </c>
      <c r="D681" s="2" t="s">
        <v>1025</v>
      </c>
      <c r="E681" t="s">
        <v>1055</v>
      </c>
      <c r="F681" s="1">
        <v>45406</v>
      </c>
      <c r="G681" s="1">
        <v>45411</v>
      </c>
      <c r="H681" s="2">
        <v>5</v>
      </c>
      <c r="I681" s="2">
        <v>56789</v>
      </c>
      <c r="J681" s="2" t="s">
        <v>1027</v>
      </c>
      <c r="K681" t="s">
        <v>1046</v>
      </c>
      <c r="L681" t="s">
        <v>1018</v>
      </c>
      <c r="M681" s="2" t="s">
        <v>1024</v>
      </c>
      <c r="N681">
        <v>3.6</v>
      </c>
    </row>
    <row r="682" spans="1:14" x14ac:dyDescent="0.3">
      <c r="A682" t="s">
        <v>694</v>
      </c>
      <c r="B682">
        <v>43</v>
      </c>
      <c r="C682" t="s">
        <v>1020</v>
      </c>
      <c r="D682" s="2" t="s">
        <v>1025</v>
      </c>
      <c r="E682" t="s">
        <v>1055</v>
      </c>
      <c r="F682" s="1">
        <v>45407</v>
      </c>
      <c r="G682" s="1">
        <v>45412</v>
      </c>
      <c r="H682" s="2">
        <v>5</v>
      </c>
      <c r="I682" s="2">
        <v>98760</v>
      </c>
      <c r="J682" s="2" t="s">
        <v>1027</v>
      </c>
      <c r="K682" t="s">
        <v>1046</v>
      </c>
      <c r="L682" t="s">
        <v>1037</v>
      </c>
      <c r="M682" s="2" t="s">
        <v>1024</v>
      </c>
      <c r="N682">
        <v>3.6</v>
      </c>
    </row>
    <row r="683" spans="1:14" x14ac:dyDescent="0.3">
      <c r="A683" t="s">
        <v>695</v>
      </c>
      <c r="B683">
        <v>21</v>
      </c>
      <c r="C683" t="s">
        <v>1020</v>
      </c>
      <c r="D683" s="2" t="s">
        <v>1025</v>
      </c>
      <c r="E683" t="s">
        <v>1055</v>
      </c>
      <c r="F683" s="1">
        <v>45408</v>
      </c>
      <c r="G683" s="1">
        <v>45413</v>
      </c>
      <c r="H683" s="2">
        <v>5</v>
      </c>
      <c r="I683" s="2">
        <v>88888</v>
      </c>
      <c r="J683" s="2" t="s">
        <v>1027</v>
      </c>
      <c r="K683" t="s">
        <v>1046</v>
      </c>
      <c r="L683" t="s">
        <v>1018</v>
      </c>
      <c r="M683" s="2" t="s">
        <v>1024</v>
      </c>
      <c r="N683">
        <v>3.6</v>
      </c>
    </row>
    <row r="684" spans="1:14" x14ac:dyDescent="0.3">
      <c r="A684" t="s">
        <v>696</v>
      </c>
      <c r="B684">
        <v>45</v>
      </c>
      <c r="C684" t="s">
        <v>1020</v>
      </c>
      <c r="D684" s="2" t="s">
        <v>1025</v>
      </c>
      <c r="E684" t="s">
        <v>1055</v>
      </c>
      <c r="F684" s="1">
        <v>45409</v>
      </c>
      <c r="G684" s="1">
        <v>45414</v>
      </c>
      <c r="H684" s="2">
        <v>5</v>
      </c>
      <c r="I684" s="2">
        <v>99999</v>
      </c>
      <c r="J684" s="2" t="s">
        <v>1027</v>
      </c>
      <c r="K684" t="s">
        <v>1046</v>
      </c>
      <c r="L684" t="s">
        <v>1037</v>
      </c>
      <c r="M684" s="2" t="s">
        <v>1024</v>
      </c>
      <c r="N684">
        <v>3.6</v>
      </c>
    </row>
    <row r="685" spans="1:14" x14ac:dyDescent="0.3">
      <c r="A685" t="s">
        <v>697</v>
      </c>
      <c r="B685">
        <v>12</v>
      </c>
      <c r="C685" t="s">
        <v>1020</v>
      </c>
      <c r="D685" s="2" t="s">
        <v>1025</v>
      </c>
      <c r="E685" t="s">
        <v>1055</v>
      </c>
      <c r="F685" s="1">
        <v>45410</v>
      </c>
      <c r="G685" s="1">
        <v>45415</v>
      </c>
      <c r="H685" s="2">
        <v>5</v>
      </c>
      <c r="I685" s="2">
        <v>77777</v>
      </c>
      <c r="J685" s="2" t="s">
        <v>1027</v>
      </c>
      <c r="K685" t="s">
        <v>1046</v>
      </c>
      <c r="M685" s="2" t="s">
        <v>1024</v>
      </c>
      <c r="N685">
        <v>3.6</v>
      </c>
    </row>
    <row r="686" spans="1:14" x14ac:dyDescent="0.3">
      <c r="A686" t="s">
        <v>698</v>
      </c>
      <c r="B686">
        <v>13</v>
      </c>
      <c r="C686" t="s">
        <v>1020</v>
      </c>
      <c r="D686" s="2" t="s">
        <v>1025</v>
      </c>
      <c r="E686" t="s">
        <v>1055</v>
      </c>
      <c r="F686" s="1">
        <v>45411</v>
      </c>
      <c r="G686" s="1">
        <v>45416</v>
      </c>
      <c r="H686" s="2">
        <v>5</v>
      </c>
      <c r="I686" s="2">
        <v>66666</v>
      </c>
      <c r="J686" s="2" t="s">
        <v>1027</v>
      </c>
      <c r="K686" t="s">
        <v>1046</v>
      </c>
      <c r="L686" t="s">
        <v>1018</v>
      </c>
      <c r="M686" s="2" t="s">
        <v>1024</v>
      </c>
      <c r="N686">
        <v>3.6</v>
      </c>
    </row>
    <row r="687" spans="1:14" x14ac:dyDescent="0.3">
      <c r="A687" t="s">
        <v>699</v>
      </c>
      <c r="B687">
        <v>14</v>
      </c>
      <c r="C687" t="s">
        <v>1020</v>
      </c>
      <c r="D687" s="2" t="s">
        <v>1025</v>
      </c>
      <c r="E687" t="s">
        <v>1055</v>
      </c>
      <c r="F687" s="1">
        <v>45412</v>
      </c>
      <c r="G687" s="1">
        <v>45417</v>
      </c>
      <c r="H687" s="2">
        <v>5</v>
      </c>
      <c r="I687" s="2">
        <v>55555</v>
      </c>
      <c r="J687" s="2" t="s">
        <v>1027</v>
      </c>
      <c r="K687" t="s">
        <v>1046</v>
      </c>
      <c r="L687" t="s">
        <v>1018</v>
      </c>
      <c r="M687" s="2" t="s">
        <v>1024</v>
      </c>
      <c r="N687">
        <v>3.6</v>
      </c>
    </row>
    <row r="688" spans="1:14" x14ac:dyDescent="0.3">
      <c r="A688" t="s">
        <v>700</v>
      </c>
      <c r="B688">
        <v>15</v>
      </c>
      <c r="C688" t="s">
        <v>1020</v>
      </c>
      <c r="D688" s="2" t="s">
        <v>1025</v>
      </c>
      <c r="E688" t="s">
        <v>1055</v>
      </c>
      <c r="F688" s="1">
        <v>45413</v>
      </c>
      <c r="G688" s="1">
        <v>45418</v>
      </c>
      <c r="H688" s="2">
        <v>5</v>
      </c>
      <c r="I688" s="2">
        <v>56788</v>
      </c>
      <c r="J688" s="2" t="s">
        <v>1027</v>
      </c>
      <c r="K688" t="s">
        <v>1046</v>
      </c>
      <c r="L688" t="s">
        <v>1037</v>
      </c>
      <c r="M688" s="2" t="s">
        <v>1024</v>
      </c>
      <c r="N688">
        <v>3.6</v>
      </c>
    </row>
    <row r="689" spans="1:14" x14ac:dyDescent="0.3">
      <c r="A689" t="s">
        <v>701</v>
      </c>
      <c r="B689">
        <v>24</v>
      </c>
      <c r="C689" t="s">
        <v>1020</v>
      </c>
      <c r="D689" s="2" t="s">
        <v>1025</v>
      </c>
      <c r="E689" t="s">
        <v>1055</v>
      </c>
      <c r="F689" s="1">
        <v>45414</v>
      </c>
      <c r="G689" s="1">
        <v>45419</v>
      </c>
      <c r="H689" s="2">
        <v>5</v>
      </c>
      <c r="I689" s="2">
        <v>56790</v>
      </c>
      <c r="J689" s="2" t="s">
        <v>1027</v>
      </c>
      <c r="K689" t="s">
        <v>1046</v>
      </c>
      <c r="L689" t="s">
        <v>1018</v>
      </c>
      <c r="M689" s="2" t="s">
        <v>1024</v>
      </c>
      <c r="N689">
        <v>3.6</v>
      </c>
    </row>
    <row r="690" spans="1:14" x14ac:dyDescent="0.3">
      <c r="A690" t="s">
        <v>702</v>
      </c>
      <c r="B690">
        <v>35</v>
      </c>
      <c r="C690" t="s">
        <v>1020</v>
      </c>
      <c r="D690" s="2" t="s">
        <v>1025</v>
      </c>
      <c r="E690" t="s">
        <v>1055</v>
      </c>
      <c r="F690" s="1">
        <v>45415</v>
      </c>
      <c r="G690" s="1">
        <v>45420</v>
      </c>
      <c r="H690" s="2">
        <v>5</v>
      </c>
      <c r="I690" s="2">
        <v>78900</v>
      </c>
      <c r="J690" s="2" t="s">
        <v>1027</v>
      </c>
      <c r="K690" t="s">
        <v>1046</v>
      </c>
      <c r="L690" t="s">
        <v>1037</v>
      </c>
      <c r="M690" s="2" t="s">
        <v>1024</v>
      </c>
      <c r="N690">
        <v>3.6</v>
      </c>
    </row>
    <row r="691" spans="1:14" x14ac:dyDescent="0.3">
      <c r="A691" t="s">
        <v>703</v>
      </c>
      <c r="B691">
        <v>26</v>
      </c>
      <c r="C691" t="s">
        <v>1020</v>
      </c>
      <c r="D691" s="2" t="s">
        <v>1025</v>
      </c>
      <c r="E691" t="s">
        <v>1055</v>
      </c>
      <c r="F691" s="1">
        <v>45416</v>
      </c>
      <c r="G691" s="1">
        <v>45421</v>
      </c>
      <c r="H691" s="2">
        <v>5</v>
      </c>
      <c r="I691" s="2">
        <v>120000</v>
      </c>
      <c r="J691" s="2" t="s">
        <v>1027</v>
      </c>
      <c r="K691" t="s">
        <v>1046</v>
      </c>
      <c r="L691" t="s">
        <v>1018</v>
      </c>
      <c r="M691" s="2" t="s">
        <v>1024</v>
      </c>
      <c r="N691">
        <v>3.6</v>
      </c>
    </row>
    <row r="692" spans="1:14" x14ac:dyDescent="0.3">
      <c r="A692" t="s">
        <v>704</v>
      </c>
      <c r="B692">
        <v>27</v>
      </c>
      <c r="C692" t="s">
        <v>1020</v>
      </c>
      <c r="D692" s="2" t="s">
        <v>1025</v>
      </c>
      <c r="E692" t="s">
        <v>1055</v>
      </c>
      <c r="F692" s="1">
        <v>45417</v>
      </c>
      <c r="G692" s="1">
        <v>45422</v>
      </c>
      <c r="H692" s="2">
        <v>5</v>
      </c>
      <c r="I692" s="2">
        <v>320000</v>
      </c>
      <c r="J692" s="2" t="s">
        <v>1027</v>
      </c>
      <c r="K692" t="s">
        <v>1046</v>
      </c>
      <c r="L692" t="s">
        <v>1037</v>
      </c>
      <c r="M692" s="2" t="s">
        <v>1024</v>
      </c>
      <c r="N692">
        <v>3.6</v>
      </c>
    </row>
    <row r="693" spans="1:14" x14ac:dyDescent="0.3">
      <c r="A693" t="s">
        <v>705</v>
      </c>
      <c r="B693">
        <v>28</v>
      </c>
      <c r="C693" t="s">
        <v>1020</v>
      </c>
      <c r="D693" s="2" t="s">
        <v>1025</v>
      </c>
      <c r="E693" t="s">
        <v>1055</v>
      </c>
      <c r="F693" s="1">
        <v>45418</v>
      </c>
      <c r="G693" s="1">
        <v>45423</v>
      </c>
      <c r="H693" s="2">
        <v>5</v>
      </c>
      <c r="I693" s="2">
        <v>29000</v>
      </c>
      <c r="J693" s="2" t="s">
        <v>1027</v>
      </c>
      <c r="K693" t="s">
        <v>1046</v>
      </c>
      <c r="L693" t="s">
        <v>1037</v>
      </c>
      <c r="M693" s="2" t="s">
        <v>1024</v>
      </c>
      <c r="N693">
        <v>3.6</v>
      </c>
    </row>
    <row r="694" spans="1:14" x14ac:dyDescent="0.3">
      <c r="A694" t="s">
        <v>706</v>
      </c>
      <c r="B694">
        <v>29</v>
      </c>
      <c r="C694" t="s">
        <v>1020</v>
      </c>
      <c r="D694" s="2" t="s">
        <v>1025</v>
      </c>
      <c r="E694" t="s">
        <v>1055</v>
      </c>
      <c r="F694" s="1">
        <v>45419</v>
      </c>
      <c r="G694" s="1">
        <v>45424</v>
      </c>
      <c r="H694" s="2">
        <v>5</v>
      </c>
      <c r="I694" s="2">
        <v>110000</v>
      </c>
      <c r="J694" s="2" t="s">
        <v>1027</v>
      </c>
      <c r="K694" t="s">
        <v>1046</v>
      </c>
      <c r="L694" t="s">
        <v>1037</v>
      </c>
      <c r="M694" s="2" t="s">
        <v>1024</v>
      </c>
      <c r="N694">
        <v>3.6</v>
      </c>
    </row>
    <row r="695" spans="1:14" x14ac:dyDescent="0.3">
      <c r="A695" t="s">
        <v>707</v>
      </c>
      <c r="B695">
        <v>30</v>
      </c>
      <c r="C695" t="s">
        <v>1020</v>
      </c>
      <c r="D695" s="2" t="s">
        <v>1025</v>
      </c>
      <c r="E695" t="s">
        <v>1055</v>
      </c>
      <c r="F695" s="1">
        <v>45420</v>
      </c>
      <c r="G695" s="1">
        <v>45425</v>
      </c>
      <c r="H695" s="2">
        <v>5</v>
      </c>
      <c r="I695" s="2">
        <v>120000</v>
      </c>
      <c r="J695" s="2" t="s">
        <v>1027</v>
      </c>
      <c r="K695" t="s">
        <v>1046</v>
      </c>
      <c r="L695" t="s">
        <v>1018</v>
      </c>
      <c r="M695" s="2" t="s">
        <v>1024</v>
      </c>
      <c r="N695">
        <v>3.6</v>
      </c>
    </row>
    <row r="696" spans="1:14" x14ac:dyDescent="0.3">
      <c r="A696" t="s">
        <v>708</v>
      </c>
      <c r="B696">
        <v>20</v>
      </c>
      <c r="C696" t="s">
        <v>1020</v>
      </c>
      <c r="D696" s="2" t="s">
        <v>1025</v>
      </c>
      <c r="E696" t="s">
        <v>1055</v>
      </c>
      <c r="F696" s="1">
        <v>45421</v>
      </c>
      <c r="G696" s="1">
        <v>45426</v>
      </c>
      <c r="H696" s="2">
        <v>5</v>
      </c>
      <c r="I696" s="2">
        <v>98000</v>
      </c>
      <c r="J696" s="2" t="s">
        <v>1027</v>
      </c>
      <c r="K696" t="s">
        <v>1046</v>
      </c>
      <c r="L696" t="s">
        <v>1018</v>
      </c>
      <c r="M696" s="2" t="s">
        <v>1024</v>
      </c>
      <c r="N696">
        <v>3.6</v>
      </c>
    </row>
    <row r="697" spans="1:14" x14ac:dyDescent="0.3">
      <c r="A697" t="s">
        <v>709</v>
      </c>
      <c r="B697">
        <v>23</v>
      </c>
      <c r="C697" t="s">
        <v>1020</v>
      </c>
      <c r="D697" s="2" t="s">
        <v>1025</v>
      </c>
      <c r="E697" t="s">
        <v>1055</v>
      </c>
      <c r="F697" s="1">
        <v>45422</v>
      </c>
      <c r="G697" s="1">
        <v>45427</v>
      </c>
      <c r="H697" s="2">
        <v>5</v>
      </c>
      <c r="I697" s="2">
        <v>100000</v>
      </c>
      <c r="J697" s="2" t="s">
        <v>1027</v>
      </c>
      <c r="K697" t="s">
        <v>1046</v>
      </c>
      <c r="L697" t="s">
        <v>1037</v>
      </c>
      <c r="M697" s="2" t="s">
        <v>1024</v>
      </c>
      <c r="N697">
        <v>3.6</v>
      </c>
    </row>
    <row r="698" spans="1:14" x14ac:dyDescent="0.3">
      <c r="A698" t="s">
        <v>710</v>
      </c>
      <c r="B698">
        <v>87</v>
      </c>
      <c r="C698" t="s">
        <v>1020</v>
      </c>
      <c r="D698" s="2" t="s">
        <v>1025</v>
      </c>
      <c r="E698" t="s">
        <v>1055</v>
      </c>
      <c r="F698" s="1">
        <v>45423</v>
      </c>
      <c r="G698" s="1">
        <v>45428</v>
      </c>
      <c r="H698" s="2">
        <v>5</v>
      </c>
      <c r="I698" s="2">
        <v>120000</v>
      </c>
      <c r="J698" s="2" t="s">
        <v>1027</v>
      </c>
      <c r="K698" t="s">
        <v>1046</v>
      </c>
      <c r="L698" t="s">
        <v>1018</v>
      </c>
      <c r="M698" s="2" t="s">
        <v>1024</v>
      </c>
      <c r="N698">
        <v>3.6</v>
      </c>
    </row>
    <row r="699" spans="1:14" x14ac:dyDescent="0.3">
      <c r="A699" t="s">
        <v>711</v>
      </c>
      <c r="B699">
        <v>76</v>
      </c>
      <c r="C699" t="s">
        <v>1020</v>
      </c>
      <c r="D699" s="2" t="s">
        <v>1025</v>
      </c>
      <c r="E699" t="s">
        <v>1055</v>
      </c>
      <c r="F699" s="1">
        <v>45424</v>
      </c>
      <c r="G699" s="1">
        <v>45429</v>
      </c>
      <c r="H699" s="2">
        <v>5</v>
      </c>
      <c r="I699" s="2">
        <v>133000</v>
      </c>
      <c r="J699" s="2" t="s">
        <v>1027</v>
      </c>
      <c r="K699" t="s">
        <v>1046</v>
      </c>
      <c r="L699" t="s">
        <v>1037</v>
      </c>
      <c r="M699" s="2" t="s">
        <v>1024</v>
      </c>
      <c r="N699">
        <v>3.6</v>
      </c>
    </row>
    <row r="700" spans="1:14" x14ac:dyDescent="0.3">
      <c r="A700" t="s">
        <v>712</v>
      </c>
      <c r="B700">
        <v>65</v>
      </c>
      <c r="C700" t="s">
        <v>1020</v>
      </c>
      <c r="D700" s="2" t="s">
        <v>1025</v>
      </c>
      <c r="E700" t="s">
        <v>1055</v>
      </c>
      <c r="F700" s="1">
        <v>45425</v>
      </c>
      <c r="G700" s="1">
        <v>45430</v>
      </c>
      <c r="H700" s="2">
        <v>5</v>
      </c>
      <c r="I700" s="2">
        <v>144000</v>
      </c>
      <c r="J700" s="2" t="s">
        <v>1027</v>
      </c>
      <c r="K700" t="s">
        <v>1046</v>
      </c>
      <c r="M700" s="2" t="s">
        <v>1024</v>
      </c>
      <c r="N700">
        <v>3.6</v>
      </c>
    </row>
    <row r="701" spans="1:14" x14ac:dyDescent="0.3">
      <c r="A701" t="s">
        <v>713</v>
      </c>
      <c r="B701">
        <v>54</v>
      </c>
      <c r="C701" t="s">
        <v>1020</v>
      </c>
      <c r="D701" s="2" t="s">
        <v>1025</v>
      </c>
      <c r="E701" t="s">
        <v>1055</v>
      </c>
      <c r="F701" s="1">
        <v>45426</v>
      </c>
      <c r="G701" s="1">
        <v>45431</v>
      </c>
      <c r="H701" s="2">
        <v>5</v>
      </c>
      <c r="I701" s="2">
        <v>15500</v>
      </c>
      <c r="J701" s="2" t="s">
        <v>1027</v>
      </c>
      <c r="K701" t="s">
        <v>1046</v>
      </c>
      <c r="L701" t="s">
        <v>1018</v>
      </c>
      <c r="M701" s="2" t="s">
        <v>1024</v>
      </c>
      <c r="N701">
        <v>3.6</v>
      </c>
    </row>
    <row r="702" spans="1:14" x14ac:dyDescent="0.3">
      <c r="A702" t="s">
        <v>714</v>
      </c>
      <c r="B702">
        <v>53</v>
      </c>
      <c r="C702" t="s">
        <v>1020</v>
      </c>
      <c r="D702" s="2" t="s">
        <v>1025</v>
      </c>
      <c r="E702" t="s">
        <v>1055</v>
      </c>
      <c r="F702" s="1">
        <v>45427</v>
      </c>
      <c r="G702" s="1">
        <v>45432</v>
      </c>
      <c r="H702" s="2">
        <v>5</v>
      </c>
      <c r="I702" s="2">
        <v>56000</v>
      </c>
      <c r="J702" s="2" t="s">
        <v>1027</v>
      </c>
      <c r="K702" t="s">
        <v>1046</v>
      </c>
      <c r="L702" t="s">
        <v>1018</v>
      </c>
      <c r="M702" s="2" t="s">
        <v>1024</v>
      </c>
      <c r="N702">
        <v>3.6</v>
      </c>
    </row>
    <row r="703" spans="1:14" x14ac:dyDescent="0.3">
      <c r="A703" t="s">
        <v>715</v>
      </c>
      <c r="B703">
        <v>52</v>
      </c>
      <c r="C703" t="s">
        <v>1020</v>
      </c>
      <c r="D703" s="2" t="s">
        <v>1025</v>
      </c>
      <c r="E703" t="s">
        <v>1055</v>
      </c>
      <c r="F703" s="1">
        <v>45428</v>
      </c>
      <c r="G703" s="1">
        <v>45433</v>
      </c>
      <c r="H703" s="2">
        <v>5</v>
      </c>
      <c r="I703" s="2">
        <v>98000</v>
      </c>
      <c r="J703" s="2" t="s">
        <v>1027</v>
      </c>
      <c r="K703" t="s">
        <v>1046</v>
      </c>
      <c r="L703" t="s">
        <v>1037</v>
      </c>
      <c r="M703" s="2" t="s">
        <v>1024</v>
      </c>
      <c r="N703">
        <v>3.6</v>
      </c>
    </row>
    <row r="704" spans="1:14" x14ac:dyDescent="0.3">
      <c r="A704" t="s">
        <v>716</v>
      </c>
      <c r="B704">
        <v>51</v>
      </c>
      <c r="C704" t="s">
        <v>1020</v>
      </c>
      <c r="D704" s="2" t="s">
        <v>1025</v>
      </c>
      <c r="E704" t="s">
        <v>1055</v>
      </c>
      <c r="F704" s="1">
        <v>45429</v>
      </c>
      <c r="G704" s="1">
        <v>45434</v>
      </c>
      <c r="H704" s="2">
        <v>5</v>
      </c>
      <c r="I704" s="2">
        <v>78000</v>
      </c>
      <c r="J704" s="2" t="s">
        <v>1027</v>
      </c>
      <c r="K704" t="s">
        <v>1046</v>
      </c>
      <c r="L704" t="s">
        <v>1018</v>
      </c>
      <c r="M704" s="2" t="s">
        <v>1024</v>
      </c>
      <c r="N704">
        <v>3.6</v>
      </c>
    </row>
    <row r="705" spans="1:14" x14ac:dyDescent="0.3">
      <c r="A705" t="s">
        <v>717</v>
      </c>
      <c r="B705">
        <v>23</v>
      </c>
      <c r="C705" t="s">
        <v>1020</v>
      </c>
      <c r="D705" s="2" t="s">
        <v>1025</v>
      </c>
      <c r="E705" t="s">
        <v>1055</v>
      </c>
      <c r="F705" s="1">
        <v>45430</v>
      </c>
      <c r="G705" s="1">
        <v>45435</v>
      </c>
      <c r="H705" s="2">
        <v>5</v>
      </c>
      <c r="I705" s="2">
        <v>87000</v>
      </c>
      <c r="J705" s="2" t="s">
        <v>1027</v>
      </c>
      <c r="K705" t="s">
        <v>1046</v>
      </c>
      <c r="L705" t="s">
        <v>1037</v>
      </c>
      <c r="M705" s="2" t="s">
        <v>1024</v>
      </c>
      <c r="N705">
        <v>3.6</v>
      </c>
    </row>
    <row r="706" spans="1:14" x14ac:dyDescent="0.3">
      <c r="A706" t="s">
        <v>718</v>
      </c>
      <c r="B706">
        <v>45</v>
      </c>
      <c r="C706" t="s">
        <v>1020</v>
      </c>
      <c r="D706" s="2" t="s">
        <v>1025</v>
      </c>
      <c r="E706" t="s">
        <v>1055</v>
      </c>
      <c r="F706" s="1">
        <v>45431</v>
      </c>
      <c r="G706" s="1">
        <v>45443</v>
      </c>
      <c r="H706" s="2">
        <v>12</v>
      </c>
      <c r="I706" s="2">
        <v>67990</v>
      </c>
      <c r="J706" s="2" t="s">
        <v>1027</v>
      </c>
      <c r="K706" t="s">
        <v>1046</v>
      </c>
      <c r="L706" t="s">
        <v>1018</v>
      </c>
      <c r="M706" s="2" t="s">
        <v>1024</v>
      </c>
      <c r="N706">
        <v>3.6</v>
      </c>
    </row>
    <row r="707" spans="1:14" x14ac:dyDescent="0.3">
      <c r="A707" t="s">
        <v>719</v>
      </c>
      <c r="B707">
        <v>56</v>
      </c>
      <c r="C707" t="s">
        <v>1020</v>
      </c>
      <c r="D707" s="2" t="s">
        <v>1025</v>
      </c>
      <c r="E707" t="s">
        <v>1055</v>
      </c>
      <c r="F707" s="1">
        <v>45432</v>
      </c>
      <c r="G707" s="1">
        <v>45444</v>
      </c>
      <c r="H707" s="2">
        <v>12</v>
      </c>
      <c r="I707" s="2">
        <v>98000</v>
      </c>
      <c r="J707" s="2" t="s">
        <v>1027</v>
      </c>
      <c r="K707" t="s">
        <v>1046</v>
      </c>
      <c r="L707" t="s">
        <v>1037</v>
      </c>
      <c r="M707" s="2" t="s">
        <v>1024</v>
      </c>
      <c r="N707">
        <v>3.6</v>
      </c>
    </row>
    <row r="708" spans="1:14" x14ac:dyDescent="0.3">
      <c r="A708" t="s">
        <v>720</v>
      </c>
      <c r="B708">
        <v>54</v>
      </c>
      <c r="C708" t="s">
        <v>1020</v>
      </c>
      <c r="D708" s="2" t="s">
        <v>1025</v>
      </c>
      <c r="E708" t="s">
        <v>1055</v>
      </c>
      <c r="F708" s="1">
        <v>45433</v>
      </c>
      <c r="G708" s="1">
        <v>45445</v>
      </c>
      <c r="H708" s="2">
        <v>12</v>
      </c>
      <c r="I708" s="2">
        <v>12000</v>
      </c>
      <c r="J708" s="2" t="s">
        <v>1027</v>
      </c>
      <c r="K708" t="s">
        <v>1046</v>
      </c>
      <c r="L708" t="s">
        <v>1037</v>
      </c>
      <c r="M708" s="2" t="s">
        <v>1024</v>
      </c>
      <c r="N708">
        <v>3.6</v>
      </c>
    </row>
    <row r="709" spans="1:14" x14ac:dyDescent="0.3">
      <c r="A709" t="s">
        <v>721</v>
      </c>
      <c r="B709">
        <v>51</v>
      </c>
      <c r="C709" t="s">
        <v>1020</v>
      </c>
      <c r="D709" s="2" t="s">
        <v>1025</v>
      </c>
      <c r="E709" t="s">
        <v>1055</v>
      </c>
      <c r="F709" s="1">
        <v>45434</v>
      </c>
      <c r="G709" s="1">
        <v>45446</v>
      </c>
      <c r="H709" s="2">
        <v>12</v>
      </c>
      <c r="I709" s="2">
        <v>23000</v>
      </c>
      <c r="J709" s="2" t="s">
        <v>1027</v>
      </c>
      <c r="K709" t="s">
        <v>1046</v>
      </c>
      <c r="L709" t="s">
        <v>1037</v>
      </c>
      <c r="M709" s="2" t="s">
        <v>1024</v>
      </c>
      <c r="N709">
        <v>3.6</v>
      </c>
    </row>
    <row r="710" spans="1:14" x14ac:dyDescent="0.3">
      <c r="A710" t="s">
        <v>722</v>
      </c>
      <c r="B710">
        <v>54</v>
      </c>
      <c r="C710" t="s">
        <v>1020</v>
      </c>
      <c r="D710" s="2" t="s">
        <v>1025</v>
      </c>
      <c r="E710" t="s">
        <v>1055</v>
      </c>
      <c r="F710" s="1">
        <v>45435</v>
      </c>
      <c r="G710" s="1">
        <v>45447</v>
      </c>
      <c r="H710" s="2">
        <v>12</v>
      </c>
      <c r="I710" s="2">
        <v>34000</v>
      </c>
      <c r="J710" s="2" t="s">
        <v>1027</v>
      </c>
      <c r="K710" t="s">
        <v>1046</v>
      </c>
      <c r="L710" t="s">
        <v>1018</v>
      </c>
      <c r="M710" s="2" t="s">
        <v>1024</v>
      </c>
      <c r="N710">
        <v>3.6</v>
      </c>
    </row>
    <row r="711" spans="1:14" x14ac:dyDescent="0.3">
      <c r="A711" t="s">
        <v>723</v>
      </c>
      <c r="B711">
        <v>53</v>
      </c>
      <c r="C711" t="s">
        <v>1020</v>
      </c>
      <c r="D711" s="2" t="s">
        <v>1025</v>
      </c>
      <c r="E711" t="s">
        <v>1055</v>
      </c>
      <c r="F711" s="1">
        <v>45436</v>
      </c>
      <c r="G711" s="1">
        <v>45448</v>
      </c>
      <c r="H711" s="2">
        <v>12</v>
      </c>
      <c r="I711" s="2">
        <v>45000</v>
      </c>
      <c r="J711" s="2" t="s">
        <v>1027</v>
      </c>
      <c r="K711" t="s">
        <v>1046</v>
      </c>
      <c r="L711" t="s">
        <v>1018</v>
      </c>
      <c r="M711" s="2" t="s">
        <v>1024</v>
      </c>
      <c r="N711">
        <v>3.6</v>
      </c>
    </row>
    <row r="712" spans="1:14" x14ac:dyDescent="0.3">
      <c r="A712" t="s">
        <v>724</v>
      </c>
      <c r="B712">
        <v>52</v>
      </c>
      <c r="C712" t="s">
        <v>1020</v>
      </c>
      <c r="D712" s="2" t="s">
        <v>1025</v>
      </c>
      <c r="E712" t="s">
        <v>1055</v>
      </c>
      <c r="F712" s="1">
        <v>45437</v>
      </c>
      <c r="G712" s="1">
        <v>45449</v>
      </c>
      <c r="H712" s="2">
        <v>12</v>
      </c>
      <c r="I712" s="2">
        <v>150000</v>
      </c>
      <c r="J712" s="2" t="s">
        <v>1027</v>
      </c>
      <c r="K712" t="s">
        <v>1046</v>
      </c>
      <c r="L712" t="s">
        <v>1037</v>
      </c>
      <c r="M712" s="2" t="s">
        <v>1024</v>
      </c>
      <c r="N712">
        <v>3.6</v>
      </c>
    </row>
    <row r="713" spans="1:14" x14ac:dyDescent="0.3">
      <c r="A713" t="s">
        <v>725</v>
      </c>
      <c r="B713">
        <v>43</v>
      </c>
      <c r="C713" t="s">
        <v>1020</v>
      </c>
      <c r="D713" s="2" t="s">
        <v>1025</v>
      </c>
      <c r="E713" t="s">
        <v>1055</v>
      </c>
      <c r="F713" s="1">
        <v>45438</v>
      </c>
      <c r="G713" s="1">
        <v>45450</v>
      </c>
      <c r="H713" s="2">
        <v>12</v>
      </c>
      <c r="I713" s="2">
        <v>145000</v>
      </c>
      <c r="J713" s="2" t="s">
        <v>1027</v>
      </c>
      <c r="K713" t="s">
        <v>1046</v>
      </c>
      <c r="L713" t="s">
        <v>1018</v>
      </c>
      <c r="M713" s="2" t="s">
        <v>1024</v>
      </c>
      <c r="N713">
        <v>3.6</v>
      </c>
    </row>
    <row r="714" spans="1:14" x14ac:dyDescent="0.3">
      <c r="A714" t="s">
        <v>726</v>
      </c>
      <c r="B714">
        <v>42</v>
      </c>
      <c r="C714" t="s">
        <v>1020</v>
      </c>
      <c r="D714" s="2" t="s">
        <v>1025</v>
      </c>
      <c r="E714" t="s">
        <v>1055</v>
      </c>
      <c r="F714" s="1">
        <v>45439</v>
      </c>
      <c r="G714" s="1">
        <v>45451</v>
      </c>
      <c r="H714" s="2">
        <v>12</v>
      </c>
      <c r="I714" s="2">
        <v>120000</v>
      </c>
      <c r="J714" s="2" t="s">
        <v>1027</v>
      </c>
      <c r="K714" t="s">
        <v>1046</v>
      </c>
      <c r="L714" t="s">
        <v>1037</v>
      </c>
      <c r="M714" s="2" t="s">
        <v>1024</v>
      </c>
      <c r="N714">
        <v>3.6</v>
      </c>
    </row>
    <row r="715" spans="1:14" x14ac:dyDescent="0.3">
      <c r="A715" t="s">
        <v>727</v>
      </c>
      <c r="B715">
        <v>43</v>
      </c>
      <c r="C715" t="s">
        <v>1020</v>
      </c>
      <c r="D715" s="2" t="s">
        <v>1025</v>
      </c>
      <c r="E715" t="s">
        <v>1055</v>
      </c>
      <c r="F715" s="1">
        <v>45440</v>
      </c>
      <c r="G715" s="1">
        <v>45452</v>
      </c>
      <c r="H715" s="2">
        <v>12</v>
      </c>
      <c r="I715" s="2">
        <v>130000</v>
      </c>
      <c r="J715" s="2" t="s">
        <v>1027</v>
      </c>
      <c r="K715" t="s">
        <v>1046</v>
      </c>
      <c r="M715" s="2" t="s">
        <v>1024</v>
      </c>
      <c r="N715">
        <v>3.6</v>
      </c>
    </row>
    <row r="716" spans="1:14" x14ac:dyDescent="0.3">
      <c r="A716" t="s">
        <v>728</v>
      </c>
      <c r="B716">
        <v>45</v>
      </c>
      <c r="C716" t="s">
        <v>1020</v>
      </c>
      <c r="D716" s="2" t="s">
        <v>1025</v>
      </c>
      <c r="E716" t="s">
        <v>1055</v>
      </c>
      <c r="F716" s="1">
        <v>45441</v>
      </c>
      <c r="G716" s="1">
        <v>45453</v>
      </c>
      <c r="H716" s="2">
        <v>12</v>
      </c>
      <c r="I716" s="2">
        <v>156000</v>
      </c>
      <c r="J716" s="2" t="s">
        <v>1027</v>
      </c>
      <c r="K716" t="s">
        <v>1046</v>
      </c>
      <c r="L716" t="s">
        <v>1018</v>
      </c>
      <c r="M716" s="2" t="s">
        <v>1024</v>
      </c>
      <c r="N716">
        <v>3.6</v>
      </c>
    </row>
    <row r="717" spans="1:14" x14ac:dyDescent="0.3">
      <c r="A717" t="s">
        <v>729</v>
      </c>
      <c r="B717">
        <v>46</v>
      </c>
      <c r="C717" t="s">
        <v>1020</v>
      </c>
      <c r="D717" s="2" t="s">
        <v>1025</v>
      </c>
      <c r="E717" t="s">
        <v>1055</v>
      </c>
      <c r="F717" s="1">
        <v>45442</v>
      </c>
      <c r="G717" s="1">
        <v>45457</v>
      </c>
      <c r="H717" s="2">
        <v>15</v>
      </c>
      <c r="I717" s="2">
        <v>178000</v>
      </c>
      <c r="J717" s="2" t="s">
        <v>1027</v>
      </c>
      <c r="K717" t="s">
        <v>1046</v>
      </c>
      <c r="L717" t="s">
        <v>1018</v>
      </c>
      <c r="M717" s="2" t="s">
        <v>1024</v>
      </c>
      <c r="N717">
        <v>3.6</v>
      </c>
    </row>
    <row r="718" spans="1:14" x14ac:dyDescent="0.3">
      <c r="A718" t="s">
        <v>730</v>
      </c>
      <c r="B718">
        <v>54</v>
      </c>
      <c r="C718" t="s">
        <v>1020</v>
      </c>
      <c r="D718" s="2" t="s">
        <v>1025</v>
      </c>
      <c r="E718" t="s">
        <v>1055</v>
      </c>
      <c r="F718" s="1">
        <v>45443</v>
      </c>
      <c r="G718" s="1">
        <v>45458</v>
      </c>
      <c r="H718" s="2">
        <v>15</v>
      </c>
      <c r="I718" s="2">
        <v>198000</v>
      </c>
      <c r="J718" s="2" t="s">
        <v>1027</v>
      </c>
      <c r="K718" t="s">
        <v>1046</v>
      </c>
      <c r="L718" t="s">
        <v>1037</v>
      </c>
      <c r="M718" s="2" t="s">
        <v>1024</v>
      </c>
      <c r="N718">
        <v>3.6</v>
      </c>
    </row>
    <row r="719" spans="1:14" x14ac:dyDescent="0.3">
      <c r="A719" t="s">
        <v>731</v>
      </c>
      <c r="B719">
        <v>34</v>
      </c>
      <c r="C719" t="s">
        <v>1020</v>
      </c>
      <c r="D719" s="2" t="s">
        <v>1025</v>
      </c>
      <c r="E719" t="s">
        <v>1055</v>
      </c>
      <c r="F719" s="1">
        <v>45444</v>
      </c>
      <c r="G719" s="1">
        <v>45459</v>
      </c>
      <c r="H719" s="2">
        <v>15</v>
      </c>
      <c r="I719" s="2">
        <v>120000</v>
      </c>
      <c r="J719" s="2" t="s">
        <v>1027</v>
      </c>
      <c r="K719" t="s">
        <v>1046</v>
      </c>
      <c r="L719" t="s">
        <v>1018</v>
      </c>
      <c r="M719" s="2" t="s">
        <v>1038</v>
      </c>
      <c r="N719">
        <v>3.6</v>
      </c>
    </row>
    <row r="720" spans="1:14" x14ac:dyDescent="0.3">
      <c r="A720" t="s">
        <v>732</v>
      </c>
      <c r="B720">
        <v>23</v>
      </c>
      <c r="C720" t="s">
        <v>1020</v>
      </c>
      <c r="D720" s="2" t="s">
        <v>1025</v>
      </c>
      <c r="E720" t="s">
        <v>1055</v>
      </c>
      <c r="F720" s="1">
        <v>45445</v>
      </c>
      <c r="G720" s="1">
        <v>45460</v>
      </c>
      <c r="H720" s="2">
        <v>15</v>
      </c>
      <c r="I720" s="2">
        <v>230000</v>
      </c>
      <c r="J720" s="2" t="s">
        <v>1027</v>
      </c>
      <c r="K720" t="s">
        <v>1046</v>
      </c>
      <c r="L720" t="s">
        <v>1037</v>
      </c>
      <c r="M720" s="2" t="s">
        <v>1038</v>
      </c>
      <c r="N720">
        <v>3.6</v>
      </c>
    </row>
    <row r="721" spans="1:14" x14ac:dyDescent="0.3">
      <c r="A721" t="s">
        <v>733</v>
      </c>
      <c r="B721">
        <v>12</v>
      </c>
      <c r="C721" t="s">
        <v>1020</v>
      </c>
      <c r="D721" s="2" t="s">
        <v>1025</v>
      </c>
      <c r="E721" t="s">
        <v>1055</v>
      </c>
      <c r="F721" s="1">
        <v>45446</v>
      </c>
      <c r="G721" s="1">
        <v>45461</v>
      </c>
      <c r="H721" s="2">
        <v>15</v>
      </c>
      <c r="I721" s="2">
        <v>145000</v>
      </c>
      <c r="J721" s="2" t="s">
        <v>1027</v>
      </c>
      <c r="K721" t="s">
        <v>1046</v>
      </c>
      <c r="L721" t="s">
        <v>1018</v>
      </c>
      <c r="M721" s="2" t="s">
        <v>1038</v>
      </c>
      <c r="N721">
        <v>3.6</v>
      </c>
    </row>
    <row r="722" spans="1:14" x14ac:dyDescent="0.3">
      <c r="A722" t="s">
        <v>734</v>
      </c>
      <c r="B722">
        <v>23</v>
      </c>
      <c r="C722" t="s">
        <v>1020</v>
      </c>
      <c r="D722" s="2" t="s">
        <v>1025</v>
      </c>
      <c r="E722" t="s">
        <v>1055</v>
      </c>
      <c r="F722" s="1">
        <v>45447</v>
      </c>
      <c r="G722" s="1">
        <v>45462</v>
      </c>
      <c r="H722" s="2">
        <v>15</v>
      </c>
      <c r="I722" s="2">
        <v>230000</v>
      </c>
      <c r="J722" s="2" t="s">
        <v>1027</v>
      </c>
      <c r="K722" t="s">
        <v>1046</v>
      </c>
      <c r="L722" t="s">
        <v>1037</v>
      </c>
      <c r="M722" s="2" t="s">
        <v>1038</v>
      </c>
      <c r="N722">
        <v>3.6</v>
      </c>
    </row>
    <row r="723" spans="1:14" x14ac:dyDescent="0.3">
      <c r="A723" t="s">
        <v>735</v>
      </c>
      <c r="B723">
        <v>24</v>
      </c>
      <c r="C723" t="s">
        <v>1020</v>
      </c>
      <c r="D723" s="2" t="s">
        <v>1025</v>
      </c>
      <c r="E723" t="s">
        <v>1055</v>
      </c>
      <c r="F723" s="1">
        <v>45448</v>
      </c>
      <c r="G723" s="1">
        <v>45463</v>
      </c>
      <c r="H723" s="2">
        <v>15</v>
      </c>
      <c r="I723" s="2">
        <v>120000</v>
      </c>
      <c r="J723" s="2" t="s">
        <v>1027</v>
      </c>
      <c r="K723" t="s">
        <v>1046</v>
      </c>
      <c r="L723" t="s">
        <v>1037</v>
      </c>
      <c r="M723" s="2" t="s">
        <v>1038</v>
      </c>
      <c r="N723">
        <v>3.6</v>
      </c>
    </row>
    <row r="724" spans="1:14" x14ac:dyDescent="0.3">
      <c r="A724" t="s">
        <v>736</v>
      </c>
      <c r="B724">
        <v>25</v>
      </c>
      <c r="C724" t="s">
        <v>1020</v>
      </c>
      <c r="D724" s="2" t="s">
        <v>1025</v>
      </c>
      <c r="E724" t="s">
        <v>1055</v>
      </c>
      <c r="F724" s="1">
        <v>45449</v>
      </c>
      <c r="G724" s="1">
        <v>45464</v>
      </c>
      <c r="H724" s="2">
        <v>15</v>
      </c>
      <c r="I724" s="2">
        <v>120000</v>
      </c>
      <c r="J724" s="2" t="s">
        <v>1027</v>
      </c>
      <c r="K724" t="s">
        <v>1046</v>
      </c>
      <c r="L724" t="s">
        <v>1037</v>
      </c>
      <c r="M724" s="2" t="s">
        <v>1038</v>
      </c>
      <c r="N724">
        <v>3.6</v>
      </c>
    </row>
    <row r="725" spans="1:14" x14ac:dyDescent="0.3">
      <c r="A725" t="s">
        <v>737</v>
      </c>
      <c r="B725">
        <v>26</v>
      </c>
      <c r="C725" t="s">
        <v>1020</v>
      </c>
      <c r="D725" s="2" t="s">
        <v>1025</v>
      </c>
      <c r="E725" t="s">
        <v>1055</v>
      </c>
      <c r="F725" s="1">
        <v>45450</v>
      </c>
      <c r="G725" s="1">
        <v>45465</v>
      </c>
      <c r="H725" s="2">
        <v>15</v>
      </c>
      <c r="I725" s="2">
        <v>230000</v>
      </c>
      <c r="J725" s="2" t="s">
        <v>1027</v>
      </c>
      <c r="K725" t="s">
        <v>1046</v>
      </c>
      <c r="L725" t="s">
        <v>1018</v>
      </c>
      <c r="M725" s="2" t="s">
        <v>1038</v>
      </c>
      <c r="N725">
        <v>3.6</v>
      </c>
    </row>
    <row r="726" spans="1:14" x14ac:dyDescent="0.3">
      <c r="A726" t="s">
        <v>738</v>
      </c>
      <c r="B726">
        <v>27</v>
      </c>
      <c r="C726" t="s">
        <v>1020</v>
      </c>
      <c r="D726" s="2" t="s">
        <v>1025</v>
      </c>
      <c r="E726" t="s">
        <v>1055</v>
      </c>
      <c r="F726" s="1">
        <v>45451</v>
      </c>
      <c r="G726" s="1">
        <v>45466</v>
      </c>
      <c r="H726" s="2">
        <v>15</v>
      </c>
      <c r="I726" s="2">
        <v>119000</v>
      </c>
      <c r="J726" s="2" t="s">
        <v>1027</v>
      </c>
      <c r="K726" t="s">
        <v>1046</v>
      </c>
      <c r="L726" t="s">
        <v>1018</v>
      </c>
      <c r="M726" s="2" t="s">
        <v>1038</v>
      </c>
      <c r="N726">
        <v>3.6</v>
      </c>
    </row>
    <row r="727" spans="1:14" x14ac:dyDescent="0.3">
      <c r="A727" t="s">
        <v>739</v>
      </c>
      <c r="B727">
        <v>28</v>
      </c>
      <c r="C727" t="s">
        <v>1020</v>
      </c>
      <c r="D727" s="2" t="s">
        <v>1025</v>
      </c>
      <c r="E727" t="s">
        <v>1055</v>
      </c>
      <c r="F727" s="1">
        <v>45452</v>
      </c>
      <c r="G727" s="1">
        <v>45467</v>
      </c>
      <c r="H727" s="2">
        <v>15</v>
      </c>
      <c r="I727" s="2">
        <v>120000</v>
      </c>
      <c r="J727" s="2" t="s">
        <v>1027</v>
      </c>
      <c r="K727" t="s">
        <v>1046</v>
      </c>
      <c r="L727" t="s">
        <v>1037</v>
      </c>
      <c r="M727" s="2" t="s">
        <v>1038</v>
      </c>
      <c r="N727">
        <v>3.6</v>
      </c>
    </row>
    <row r="728" spans="1:14" x14ac:dyDescent="0.3">
      <c r="A728" t="s">
        <v>740</v>
      </c>
      <c r="B728">
        <v>47</v>
      </c>
      <c r="C728" t="s">
        <v>1020</v>
      </c>
      <c r="D728" s="2" t="s">
        <v>1025</v>
      </c>
      <c r="E728" t="s">
        <v>1055</v>
      </c>
      <c r="F728" s="1">
        <v>45453</v>
      </c>
      <c r="G728" s="1">
        <v>45468</v>
      </c>
      <c r="H728" s="2">
        <v>15</v>
      </c>
      <c r="I728" s="2">
        <v>131000</v>
      </c>
      <c r="J728" s="2" t="s">
        <v>1027</v>
      </c>
      <c r="K728" t="s">
        <v>1046</v>
      </c>
      <c r="L728" t="s">
        <v>1018</v>
      </c>
      <c r="M728" s="2" t="s">
        <v>1038</v>
      </c>
      <c r="N728">
        <v>3.6</v>
      </c>
    </row>
    <row r="729" spans="1:14" x14ac:dyDescent="0.3">
      <c r="A729" t="s">
        <v>741</v>
      </c>
      <c r="B729">
        <v>49</v>
      </c>
      <c r="C729" t="s">
        <v>1020</v>
      </c>
      <c r="D729" s="2" t="s">
        <v>1025</v>
      </c>
      <c r="E729" t="s">
        <v>1055</v>
      </c>
      <c r="F729" s="1">
        <v>45454</v>
      </c>
      <c r="G729" s="1">
        <v>45469</v>
      </c>
      <c r="H729" s="2">
        <v>15</v>
      </c>
      <c r="I729" s="2">
        <v>141000</v>
      </c>
      <c r="J729" s="2" t="s">
        <v>1027</v>
      </c>
      <c r="K729" t="s">
        <v>1046</v>
      </c>
      <c r="L729" t="s">
        <v>1037</v>
      </c>
      <c r="M729" s="2" t="s">
        <v>1038</v>
      </c>
      <c r="N729">
        <v>3.6</v>
      </c>
    </row>
    <row r="730" spans="1:14" x14ac:dyDescent="0.3">
      <c r="A730" t="s">
        <v>742</v>
      </c>
      <c r="B730">
        <v>40</v>
      </c>
      <c r="C730" t="s">
        <v>1020</v>
      </c>
      <c r="D730" s="2" t="s">
        <v>1025</v>
      </c>
      <c r="E730" t="s">
        <v>1055</v>
      </c>
      <c r="F730" s="1">
        <v>45455</v>
      </c>
      <c r="G730" s="1">
        <v>45470</v>
      </c>
      <c r="H730" s="2">
        <v>15</v>
      </c>
      <c r="I730" s="2">
        <v>151000</v>
      </c>
      <c r="J730" s="2" t="s">
        <v>1027</v>
      </c>
      <c r="K730" t="s">
        <v>1046</v>
      </c>
      <c r="M730" s="2" t="s">
        <v>1038</v>
      </c>
      <c r="N730">
        <v>3.6</v>
      </c>
    </row>
    <row r="731" spans="1:14" x14ac:dyDescent="0.3">
      <c r="A731" t="s">
        <v>743</v>
      </c>
      <c r="B731">
        <v>45</v>
      </c>
      <c r="C731" t="s">
        <v>1020</v>
      </c>
      <c r="D731" s="2" t="s">
        <v>1025</v>
      </c>
      <c r="E731" t="s">
        <v>1055</v>
      </c>
      <c r="F731" s="1">
        <v>45456</v>
      </c>
      <c r="G731" s="1">
        <v>45471</v>
      </c>
      <c r="H731" s="2">
        <v>15</v>
      </c>
      <c r="I731" s="2">
        <v>161000</v>
      </c>
      <c r="J731" s="2" t="s">
        <v>1027</v>
      </c>
      <c r="K731" t="s">
        <v>1046</v>
      </c>
      <c r="L731" t="s">
        <v>1018</v>
      </c>
      <c r="M731" s="2" t="s">
        <v>1038</v>
      </c>
      <c r="N731">
        <v>3.6</v>
      </c>
    </row>
    <row r="732" spans="1:14" x14ac:dyDescent="0.3">
      <c r="A732" t="s">
        <v>744</v>
      </c>
      <c r="B732">
        <v>46</v>
      </c>
      <c r="C732" t="s">
        <v>1020</v>
      </c>
      <c r="D732" s="2" t="s">
        <v>1025</v>
      </c>
      <c r="E732" t="s">
        <v>1055</v>
      </c>
      <c r="F732" s="1">
        <v>45457</v>
      </c>
      <c r="G732" s="1">
        <v>45472</v>
      </c>
      <c r="H732" s="2">
        <v>15</v>
      </c>
      <c r="I732" s="2">
        <v>171000</v>
      </c>
      <c r="J732" s="2" t="s">
        <v>1027</v>
      </c>
      <c r="K732" t="s">
        <v>1046</v>
      </c>
      <c r="L732" t="s">
        <v>1018</v>
      </c>
      <c r="M732" s="2" t="s">
        <v>1038</v>
      </c>
      <c r="N732">
        <v>3.6</v>
      </c>
    </row>
    <row r="733" spans="1:14" x14ac:dyDescent="0.3">
      <c r="A733" t="s">
        <v>745</v>
      </c>
      <c r="B733">
        <v>54</v>
      </c>
      <c r="C733" t="s">
        <v>1020</v>
      </c>
      <c r="D733" s="2" t="s">
        <v>1025</v>
      </c>
      <c r="E733" t="s">
        <v>1055</v>
      </c>
      <c r="F733" s="1">
        <v>45458</v>
      </c>
      <c r="G733" s="1">
        <v>45473</v>
      </c>
      <c r="H733" s="2">
        <v>15</v>
      </c>
      <c r="I733" s="2">
        <v>191000</v>
      </c>
      <c r="J733" s="2" t="s">
        <v>1027</v>
      </c>
      <c r="K733" t="s">
        <v>1046</v>
      </c>
      <c r="L733" t="s">
        <v>1037</v>
      </c>
      <c r="M733" s="2" t="s">
        <v>1038</v>
      </c>
      <c r="N733">
        <v>3.6</v>
      </c>
    </row>
    <row r="734" spans="1:14" x14ac:dyDescent="0.3">
      <c r="A734" t="s">
        <v>746</v>
      </c>
      <c r="B734">
        <v>43</v>
      </c>
      <c r="C734" t="s">
        <v>1020</v>
      </c>
      <c r="D734" s="2" t="s">
        <v>1025</v>
      </c>
      <c r="E734" t="s">
        <v>1055</v>
      </c>
      <c r="F734" s="1">
        <v>45459</v>
      </c>
      <c r="G734" s="1">
        <v>45474</v>
      </c>
      <c r="H734" s="2">
        <v>15</v>
      </c>
      <c r="I734" s="2">
        <v>140000</v>
      </c>
      <c r="J734" s="2" t="s">
        <v>1027</v>
      </c>
      <c r="K734" t="s">
        <v>1046</v>
      </c>
      <c r="L734" t="s">
        <v>1018</v>
      </c>
      <c r="M734" s="2" t="s">
        <v>1038</v>
      </c>
      <c r="N734">
        <v>3.6</v>
      </c>
    </row>
    <row r="735" spans="1:14" x14ac:dyDescent="0.3">
      <c r="A735" t="s">
        <v>747</v>
      </c>
      <c r="B735">
        <v>23</v>
      </c>
      <c r="C735" t="s">
        <v>1020</v>
      </c>
      <c r="D735" s="2" t="s">
        <v>1025</v>
      </c>
      <c r="E735" t="s">
        <v>1055</v>
      </c>
      <c r="F735" s="1">
        <v>45460</v>
      </c>
      <c r="G735" s="1">
        <v>45475</v>
      </c>
      <c r="H735" s="2">
        <v>15</v>
      </c>
      <c r="I735" s="2">
        <v>150000</v>
      </c>
      <c r="J735" s="2" t="s">
        <v>1027</v>
      </c>
      <c r="K735" t="s">
        <v>1046</v>
      </c>
      <c r="L735" t="s">
        <v>1037</v>
      </c>
      <c r="M735" s="2" t="s">
        <v>1038</v>
      </c>
      <c r="N735">
        <v>3.6</v>
      </c>
    </row>
    <row r="736" spans="1:14" x14ac:dyDescent="0.3">
      <c r="A736" t="s">
        <v>748</v>
      </c>
      <c r="B736">
        <v>21</v>
      </c>
      <c r="C736" t="s">
        <v>1020</v>
      </c>
      <c r="D736" s="2" t="s">
        <v>1025</v>
      </c>
      <c r="E736" t="s">
        <v>1055</v>
      </c>
      <c r="F736" s="1">
        <v>45461</v>
      </c>
      <c r="G736" s="1">
        <v>45476</v>
      </c>
      <c r="H736" s="2">
        <v>15</v>
      </c>
      <c r="I736" s="2">
        <v>129900</v>
      </c>
      <c r="J736" s="2" t="s">
        <v>1027</v>
      </c>
      <c r="K736" t="s">
        <v>1046</v>
      </c>
      <c r="L736" t="s">
        <v>1018</v>
      </c>
      <c r="M736" s="2" t="s">
        <v>1038</v>
      </c>
      <c r="N736">
        <v>3.6</v>
      </c>
    </row>
    <row r="737" spans="1:14" x14ac:dyDescent="0.3">
      <c r="A737" t="s">
        <v>749</v>
      </c>
      <c r="B737">
        <v>22</v>
      </c>
      <c r="C737" t="s">
        <v>1020</v>
      </c>
      <c r="D737" s="2" t="s">
        <v>1025</v>
      </c>
      <c r="E737" t="s">
        <v>1055</v>
      </c>
      <c r="F737" s="1">
        <v>45462</v>
      </c>
      <c r="G737" s="1">
        <v>45477</v>
      </c>
      <c r="H737" s="2">
        <v>15</v>
      </c>
      <c r="I737" s="2">
        <v>143000</v>
      </c>
      <c r="J737" s="2" t="s">
        <v>1027</v>
      </c>
      <c r="K737" t="s">
        <v>1046</v>
      </c>
      <c r="L737" t="s">
        <v>1037</v>
      </c>
      <c r="M737" s="2" t="s">
        <v>1038</v>
      </c>
      <c r="N737">
        <v>3.6</v>
      </c>
    </row>
    <row r="738" spans="1:14" x14ac:dyDescent="0.3">
      <c r="A738" t="s">
        <v>750</v>
      </c>
      <c r="B738">
        <v>33</v>
      </c>
      <c r="C738" t="s">
        <v>1020</v>
      </c>
      <c r="D738" s="2" t="s">
        <v>1025</v>
      </c>
      <c r="E738" t="s">
        <v>1055</v>
      </c>
      <c r="F738" s="1">
        <v>45463</v>
      </c>
      <c r="G738" s="1">
        <v>45478</v>
      </c>
      <c r="H738" s="2">
        <v>15</v>
      </c>
      <c r="I738" s="2">
        <v>155000</v>
      </c>
      <c r="J738" s="2" t="s">
        <v>1027</v>
      </c>
      <c r="K738" t="s">
        <v>1046</v>
      </c>
      <c r="L738" t="s">
        <v>1037</v>
      </c>
      <c r="M738" s="2" t="s">
        <v>1038</v>
      </c>
      <c r="N738">
        <v>3.6</v>
      </c>
    </row>
    <row r="739" spans="1:14" x14ac:dyDescent="0.3">
      <c r="A739" t="s">
        <v>751</v>
      </c>
      <c r="B739">
        <v>44</v>
      </c>
      <c r="C739" t="s">
        <v>1020</v>
      </c>
      <c r="D739" s="2" t="s">
        <v>1025</v>
      </c>
      <c r="E739" t="s">
        <v>1055</v>
      </c>
      <c r="F739" s="1">
        <v>45464</v>
      </c>
      <c r="G739" s="1">
        <v>45479</v>
      </c>
      <c r="H739" s="2">
        <v>15</v>
      </c>
      <c r="I739" s="2">
        <v>145000</v>
      </c>
      <c r="J739" s="2" t="s">
        <v>1027</v>
      </c>
      <c r="K739" t="s">
        <v>1046</v>
      </c>
      <c r="L739" t="s">
        <v>1037</v>
      </c>
      <c r="M739" s="2" t="s">
        <v>1038</v>
      </c>
      <c r="N739">
        <v>3.6</v>
      </c>
    </row>
    <row r="740" spans="1:14" x14ac:dyDescent="0.3">
      <c r="A740" t="s">
        <v>752</v>
      </c>
      <c r="B740">
        <v>22</v>
      </c>
      <c r="C740" t="s">
        <v>1020</v>
      </c>
      <c r="D740" s="2" t="s">
        <v>1015</v>
      </c>
      <c r="E740" t="s">
        <v>1016</v>
      </c>
      <c r="F740" s="1">
        <v>45465</v>
      </c>
      <c r="G740" s="1">
        <v>45480</v>
      </c>
      <c r="H740" s="2">
        <v>15</v>
      </c>
      <c r="I740" s="2">
        <v>161000</v>
      </c>
      <c r="J740" s="2" t="s">
        <v>1027</v>
      </c>
      <c r="K740" t="s">
        <v>1052</v>
      </c>
      <c r="L740" t="s">
        <v>1018</v>
      </c>
      <c r="M740" s="2" t="s">
        <v>1038</v>
      </c>
      <c r="N740">
        <v>3.6</v>
      </c>
    </row>
    <row r="741" spans="1:14" x14ac:dyDescent="0.3">
      <c r="A741" t="s">
        <v>753</v>
      </c>
      <c r="B741">
        <v>11</v>
      </c>
      <c r="C741" t="s">
        <v>1020</v>
      </c>
      <c r="D741" s="2" t="s">
        <v>1015</v>
      </c>
      <c r="E741" t="s">
        <v>1016</v>
      </c>
      <c r="F741" s="1">
        <v>45466</v>
      </c>
      <c r="G741" s="1">
        <v>45481</v>
      </c>
      <c r="H741" s="2">
        <v>15</v>
      </c>
      <c r="I741" s="2">
        <v>171000</v>
      </c>
      <c r="J741" s="2" t="s">
        <v>1027</v>
      </c>
      <c r="K741" t="s">
        <v>1052</v>
      </c>
      <c r="L741" t="s">
        <v>1018</v>
      </c>
      <c r="M741" s="2" t="s">
        <v>1038</v>
      </c>
      <c r="N741">
        <v>3.6</v>
      </c>
    </row>
    <row r="742" spans="1:14" x14ac:dyDescent="0.3">
      <c r="A742" t="s">
        <v>754</v>
      </c>
      <c r="B742">
        <v>22</v>
      </c>
      <c r="C742" t="s">
        <v>1020</v>
      </c>
      <c r="D742" s="2" t="s">
        <v>1015</v>
      </c>
      <c r="E742" t="s">
        <v>1016</v>
      </c>
      <c r="F742" s="1">
        <v>45467</v>
      </c>
      <c r="G742" s="1">
        <v>45482</v>
      </c>
      <c r="H742" s="2">
        <v>15</v>
      </c>
      <c r="I742" s="2">
        <v>230000</v>
      </c>
      <c r="J742" s="2" t="s">
        <v>1027</v>
      </c>
      <c r="K742" t="s">
        <v>1052</v>
      </c>
      <c r="L742" t="s">
        <v>1037</v>
      </c>
      <c r="M742" s="2" t="s">
        <v>1038</v>
      </c>
      <c r="N742">
        <v>3.6</v>
      </c>
    </row>
    <row r="743" spans="1:14" x14ac:dyDescent="0.3">
      <c r="A743" t="s">
        <v>755</v>
      </c>
      <c r="B743">
        <v>21</v>
      </c>
      <c r="C743" t="s">
        <v>1020</v>
      </c>
      <c r="D743" s="2" t="s">
        <v>1015</v>
      </c>
      <c r="E743" t="s">
        <v>1016</v>
      </c>
      <c r="F743" s="1">
        <v>45468</v>
      </c>
      <c r="G743" s="1">
        <v>45483</v>
      </c>
      <c r="H743" s="2">
        <v>15</v>
      </c>
      <c r="I743" s="2">
        <v>54000</v>
      </c>
      <c r="J743" s="2" t="s">
        <v>1027</v>
      </c>
      <c r="K743" t="s">
        <v>1052</v>
      </c>
      <c r="L743" t="s">
        <v>1018</v>
      </c>
      <c r="M743" s="2" t="s">
        <v>1038</v>
      </c>
      <c r="N743">
        <v>3.6</v>
      </c>
    </row>
    <row r="744" spans="1:14" x14ac:dyDescent="0.3">
      <c r="A744" t="s">
        <v>756</v>
      </c>
      <c r="B744">
        <v>11</v>
      </c>
      <c r="C744" t="s">
        <v>1020</v>
      </c>
      <c r="D744" s="2" t="s">
        <v>1015</v>
      </c>
      <c r="E744" t="s">
        <v>1016</v>
      </c>
      <c r="F744" s="1">
        <v>45469</v>
      </c>
      <c r="G744" s="1">
        <v>45484</v>
      </c>
      <c r="H744" s="2">
        <v>15</v>
      </c>
      <c r="I744" s="2">
        <v>89000</v>
      </c>
      <c r="J744" s="2" t="s">
        <v>1027</v>
      </c>
      <c r="K744" t="s">
        <v>1052</v>
      </c>
      <c r="L744" t="s">
        <v>1037</v>
      </c>
      <c r="M744" s="2" t="s">
        <v>1038</v>
      </c>
      <c r="N744">
        <v>3.6</v>
      </c>
    </row>
    <row r="745" spans="1:14" x14ac:dyDescent="0.3">
      <c r="A745" t="s">
        <v>757</v>
      </c>
      <c r="B745">
        <v>23</v>
      </c>
      <c r="C745" t="s">
        <v>1020</v>
      </c>
      <c r="D745" s="2" t="s">
        <v>1015</v>
      </c>
      <c r="E745" t="s">
        <v>1016</v>
      </c>
      <c r="F745" s="1">
        <v>45470</v>
      </c>
      <c r="G745" s="1">
        <v>45489</v>
      </c>
      <c r="H745" s="2">
        <v>19</v>
      </c>
      <c r="I745" s="2">
        <v>99000</v>
      </c>
      <c r="J745" s="2" t="s">
        <v>1027</v>
      </c>
      <c r="K745" t="s">
        <v>1052</v>
      </c>
      <c r="M745" s="2" t="s">
        <v>1038</v>
      </c>
      <c r="N745">
        <v>3.6</v>
      </c>
    </row>
    <row r="746" spans="1:14" x14ac:dyDescent="0.3">
      <c r="A746" t="s">
        <v>758</v>
      </c>
      <c r="B746">
        <v>24</v>
      </c>
      <c r="C746" t="s">
        <v>1020</v>
      </c>
      <c r="D746" s="2" t="s">
        <v>1015</v>
      </c>
      <c r="E746" t="s">
        <v>1016</v>
      </c>
      <c r="F746" s="1">
        <v>45471</v>
      </c>
      <c r="G746" s="1">
        <v>45490</v>
      </c>
      <c r="H746" s="2">
        <v>19</v>
      </c>
      <c r="I746" s="2">
        <v>100000</v>
      </c>
      <c r="J746" s="2" t="s">
        <v>1027</v>
      </c>
      <c r="K746" t="s">
        <v>1052</v>
      </c>
      <c r="L746" t="s">
        <v>1018</v>
      </c>
      <c r="M746" s="2" t="s">
        <v>1038</v>
      </c>
      <c r="N746">
        <v>3.6</v>
      </c>
    </row>
    <row r="747" spans="1:14" x14ac:dyDescent="0.3">
      <c r="A747" t="s">
        <v>759</v>
      </c>
      <c r="B747">
        <v>24</v>
      </c>
      <c r="C747" t="s">
        <v>1020</v>
      </c>
      <c r="D747" s="2" t="s">
        <v>1015</v>
      </c>
      <c r="E747" t="s">
        <v>1016</v>
      </c>
      <c r="F747" s="1">
        <v>45472</v>
      </c>
      <c r="G747" s="1">
        <v>45491</v>
      </c>
      <c r="H747" s="2">
        <v>19</v>
      </c>
      <c r="I747" s="2">
        <v>112000</v>
      </c>
      <c r="J747" s="2" t="s">
        <v>1027</v>
      </c>
      <c r="K747" t="s">
        <v>1052</v>
      </c>
      <c r="L747" t="s">
        <v>1018</v>
      </c>
      <c r="M747" s="2" t="s">
        <v>1038</v>
      </c>
      <c r="N747">
        <v>3.6</v>
      </c>
    </row>
    <row r="748" spans="1:14" x14ac:dyDescent="0.3">
      <c r="A748" t="s">
        <v>760</v>
      </c>
      <c r="B748">
        <v>25</v>
      </c>
      <c r="C748" t="s">
        <v>1020</v>
      </c>
      <c r="D748" s="2" t="s">
        <v>1015</v>
      </c>
      <c r="E748" t="s">
        <v>1016</v>
      </c>
      <c r="F748" s="1">
        <v>45473</v>
      </c>
      <c r="G748" s="1">
        <v>45492</v>
      </c>
      <c r="H748" s="2">
        <v>19</v>
      </c>
      <c r="I748" s="2">
        <v>150000</v>
      </c>
      <c r="J748" s="2" t="s">
        <v>1027</v>
      </c>
      <c r="K748" t="s">
        <v>1052</v>
      </c>
      <c r="L748" t="s">
        <v>1037</v>
      </c>
      <c r="M748" s="2" t="s">
        <v>1038</v>
      </c>
      <c r="N748">
        <v>3.6</v>
      </c>
    </row>
    <row r="749" spans="1:14" x14ac:dyDescent="0.3">
      <c r="A749" t="s">
        <v>761</v>
      </c>
      <c r="B749">
        <v>36</v>
      </c>
      <c r="C749" t="s">
        <v>1020</v>
      </c>
      <c r="D749" s="2" t="s">
        <v>1015</v>
      </c>
      <c r="E749" t="s">
        <v>1016</v>
      </c>
      <c r="F749" s="1">
        <v>45474</v>
      </c>
      <c r="G749" s="1">
        <v>45493</v>
      </c>
      <c r="H749" s="2">
        <v>19</v>
      </c>
      <c r="I749" s="2">
        <v>160000</v>
      </c>
      <c r="J749" s="2" t="s">
        <v>1027</v>
      </c>
      <c r="K749" t="s">
        <v>1052</v>
      </c>
      <c r="L749" t="s">
        <v>1018</v>
      </c>
      <c r="M749" s="2" t="s">
        <v>1038</v>
      </c>
      <c r="N749">
        <v>3.6</v>
      </c>
    </row>
    <row r="750" spans="1:14" x14ac:dyDescent="0.3">
      <c r="A750" t="s">
        <v>762</v>
      </c>
      <c r="B750">
        <v>34</v>
      </c>
      <c r="C750" t="s">
        <v>1020</v>
      </c>
      <c r="D750" s="2" t="s">
        <v>1015</v>
      </c>
      <c r="E750" t="s">
        <v>1016</v>
      </c>
      <c r="F750" s="1">
        <v>45475</v>
      </c>
      <c r="G750" s="1">
        <v>45494</v>
      </c>
      <c r="H750" s="2">
        <v>19</v>
      </c>
      <c r="I750" s="2">
        <v>198000</v>
      </c>
      <c r="J750" s="2" t="s">
        <v>1027</v>
      </c>
      <c r="K750" t="s">
        <v>1052</v>
      </c>
      <c r="L750" t="s">
        <v>1037</v>
      </c>
      <c r="M750" s="2" t="s">
        <v>1038</v>
      </c>
      <c r="N750">
        <v>3.6</v>
      </c>
    </row>
    <row r="751" spans="1:14" x14ac:dyDescent="0.3">
      <c r="A751" t="s">
        <v>763</v>
      </c>
      <c r="B751">
        <v>56</v>
      </c>
      <c r="C751" t="s">
        <v>1020</v>
      </c>
      <c r="D751" s="2" t="s">
        <v>1015</v>
      </c>
      <c r="E751" t="s">
        <v>1016</v>
      </c>
      <c r="F751" s="1">
        <v>45476</v>
      </c>
      <c r="G751" s="1">
        <v>45495</v>
      </c>
      <c r="H751" s="2">
        <v>19</v>
      </c>
      <c r="I751" s="2">
        <v>199000</v>
      </c>
      <c r="J751" s="2" t="s">
        <v>1027</v>
      </c>
      <c r="K751" t="s">
        <v>1052</v>
      </c>
      <c r="L751" t="s">
        <v>1018</v>
      </c>
      <c r="M751" s="2" t="s">
        <v>1038</v>
      </c>
      <c r="N751">
        <v>3.6</v>
      </c>
    </row>
    <row r="752" spans="1:14" x14ac:dyDescent="0.3">
      <c r="A752" t="s">
        <v>764</v>
      </c>
      <c r="B752">
        <v>55</v>
      </c>
      <c r="C752" t="s">
        <v>1020</v>
      </c>
      <c r="D752" s="2" t="s">
        <v>1015</v>
      </c>
      <c r="E752" t="s">
        <v>1016</v>
      </c>
      <c r="F752" s="1">
        <v>45477</v>
      </c>
      <c r="G752" s="1">
        <v>45496</v>
      </c>
      <c r="H752" s="2">
        <v>19</v>
      </c>
      <c r="I752" s="2">
        <v>178000</v>
      </c>
      <c r="J752" s="2" t="s">
        <v>1027</v>
      </c>
      <c r="K752" t="s">
        <v>1052</v>
      </c>
      <c r="L752" t="s">
        <v>1037</v>
      </c>
      <c r="M752" s="2" t="s">
        <v>1019</v>
      </c>
      <c r="N752">
        <v>3.6</v>
      </c>
    </row>
    <row r="753" spans="1:14" x14ac:dyDescent="0.3">
      <c r="A753" t="s">
        <v>765</v>
      </c>
      <c r="B753">
        <v>44</v>
      </c>
      <c r="C753" t="s">
        <v>1020</v>
      </c>
      <c r="D753" s="2" t="s">
        <v>1015</v>
      </c>
      <c r="E753" t="s">
        <v>1016</v>
      </c>
      <c r="F753" s="1">
        <v>45478</v>
      </c>
      <c r="G753" s="1">
        <v>45497</v>
      </c>
      <c r="H753" s="2">
        <v>19</v>
      </c>
      <c r="I753" s="2">
        <v>167880</v>
      </c>
      <c r="J753" s="2" t="s">
        <v>1027</v>
      </c>
      <c r="K753" t="s">
        <v>1052</v>
      </c>
      <c r="L753" t="s">
        <v>1037</v>
      </c>
      <c r="M753" s="2" t="s">
        <v>1019</v>
      </c>
      <c r="N753">
        <v>3.6</v>
      </c>
    </row>
    <row r="754" spans="1:14" x14ac:dyDescent="0.3">
      <c r="A754" t="s">
        <v>766</v>
      </c>
      <c r="B754">
        <v>66</v>
      </c>
      <c r="C754" t="s">
        <v>1020</v>
      </c>
      <c r="D754" s="2" t="s">
        <v>1015</v>
      </c>
      <c r="E754" t="s">
        <v>1016</v>
      </c>
      <c r="F754" s="1">
        <v>45479</v>
      </c>
      <c r="G754" s="1">
        <v>45498</v>
      </c>
      <c r="H754" s="2">
        <v>19</v>
      </c>
      <c r="I754" s="2">
        <v>146700</v>
      </c>
      <c r="J754" s="2" t="s">
        <v>1027</v>
      </c>
      <c r="K754" t="s">
        <v>1052</v>
      </c>
      <c r="L754" t="s">
        <v>1037</v>
      </c>
      <c r="M754" s="2" t="s">
        <v>1019</v>
      </c>
      <c r="N754">
        <v>3.6</v>
      </c>
    </row>
    <row r="755" spans="1:14" x14ac:dyDescent="0.3">
      <c r="A755" t="s">
        <v>767</v>
      </c>
      <c r="B755">
        <v>77</v>
      </c>
      <c r="C755" t="s">
        <v>1020</v>
      </c>
      <c r="D755" s="2" t="s">
        <v>1015</v>
      </c>
      <c r="E755" t="s">
        <v>1016</v>
      </c>
      <c r="F755" s="1">
        <v>45480</v>
      </c>
      <c r="G755" s="1">
        <v>45499</v>
      </c>
      <c r="H755" s="2">
        <v>19</v>
      </c>
      <c r="I755" s="2">
        <v>89000</v>
      </c>
      <c r="J755" s="2" t="s">
        <v>1027</v>
      </c>
      <c r="K755" t="s">
        <v>1052</v>
      </c>
      <c r="L755" t="s">
        <v>1018</v>
      </c>
      <c r="M755" s="2" t="s">
        <v>1019</v>
      </c>
      <c r="N755">
        <v>3.6</v>
      </c>
    </row>
    <row r="756" spans="1:14" x14ac:dyDescent="0.3">
      <c r="A756" t="s">
        <v>768</v>
      </c>
      <c r="B756">
        <v>88</v>
      </c>
      <c r="C756" t="s">
        <v>1020</v>
      </c>
      <c r="D756" s="2" t="s">
        <v>1015</v>
      </c>
      <c r="E756" t="s">
        <v>1016</v>
      </c>
      <c r="F756" s="1">
        <v>45481</v>
      </c>
      <c r="G756" s="1">
        <v>45500</v>
      </c>
      <c r="H756" s="2">
        <v>19</v>
      </c>
      <c r="I756" s="2">
        <v>98000</v>
      </c>
      <c r="J756" s="2" t="s">
        <v>1027</v>
      </c>
      <c r="K756" t="s">
        <v>1052</v>
      </c>
      <c r="L756" t="s">
        <v>1018</v>
      </c>
      <c r="M756" s="2" t="s">
        <v>1019</v>
      </c>
      <c r="N756">
        <v>3.6</v>
      </c>
    </row>
    <row r="757" spans="1:14" x14ac:dyDescent="0.3">
      <c r="A757" t="s">
        <v>769</v>
      </c>
      <c r="B757">
        <v>99</v>
      </c>
      <c r="C757" t="s">
        <v>1020</v>
      </c>
      <c r="D757" s="2" t="s">
        <v>1015</v>
      </c>
      <c r="E757" t="s">
        <v>1016</v>
      </c>
      <c r="F757" s="1">
        <v>45482</v>
      </c>
      <c r="G757" s="1">
        <v>45501</v>
      </c>
      <c r="H757" s="2">
        <v>19</v>
      </c>
      <c r="I757" s="2">
        <v>78900</v>
      </c>
      <c r="J757" s="2" t="s">
        <v>1027</v>
      </c>
      <c r="K757" t="s">
        <v>1052</v>
      </c>
      <c r="L757" t="s">
        <v>1037</v>
      </c>
      <c r="M757" s="2" t="s">
        <v>1019</v>
      </c>
      <c r="N757">
        <v>3.6</v>
      </c>
    </row>
    <row r="758" spans="1:14" x14ac:dyDescent="0.3">
      <c r="A758" t="s">
        <v>770</v>
      </c>
      <c r="B758">
        <v>88</v>
      </c>
      <c r="C758" t="s">
        <v>1020</v>
      </c>
      <c r="D758" s="2" t="s">
        <v>1015</v>
      </c>
      <c r="E758" t="s">
        <v>1088</v>
      </c>
      <c r="F758" s="1">
        <v>45483</v>
      </c>
      <c r="G758" s="1">
        <v>45502</v>
      </c>
      <c r="H758" s="2">
        <v>19</v>
      </c>
      <c r="I758" s="2">
        <v>56799</v>
      </c>
      <c r="J758" s="2" t="s">
        <v>1027</v>
      </c>
      <c r="K758" t="s">
        <v>1052</v>
      </c>
      <c r="L758" t="s">
        <v>1018</v>
      </c>
      <c r="M758" s="2" t="s">
        <v>1019</v>
      </c>
      <c r="N758">
        <v>3.6</v>
      </c>
    </row>
    <row r="759" spans="1:14" x14ac:dyDescent="0.3">
      <c r="A759" t="s">
        <v>771</v>
      </c>
      <c r="B759">
        <v>77</v>
      </c>
      <c r="C759" t="s">
        <v>1020</v>
      </c>
      <c r="D759" s="2" t="s">
        <v>1015</v>
      </c>
      <c r="E759" t="s">
        <v>1088</v>
      </c>
      <c r="F759" s="1">
        <v>45484</v>
      </c>
      <c r="G759" s="1">
        <v>45503</v>
      </c>
      <c r="H759" s="2">
        <v>19</v>
      </c>
      <c r="I759" s="2">
        <v>87000</v>
      </c>
      <c r="J759" s="2" t="s">
        <v>1027</v>
      </c>
      <c r="K759" t="s">
        <v>1052</v>
      </c>
      <c r="L759" t="s">
        <v>1037</v>
      </c>
      <c r="M759" s="2" t="s">
        <v>1019</v>
      </c>
      <c r="N759">
        <v>3.6</v>
      </c>
    </row>
    <row r="760" spans="1:14" x14ac:dyDescent="0.3">
      <c r="A760" t="s">
        <v>772</v>
      </c>
      <c r="B760">
        <v>66</v>
      </c>
      <c r="C760" t="s">
        <v>1020</v>
      </c>
      <c r="D760" s="2" t="s">
        <v>1015</v>
      </c>
      <c r="E760" t="s">
        <v>1088</v>
      </c>
      <c r="F760" s="1">
        <v>45485</v>
      </c>
      <c r="G760" s="1">
        <v>45504</v>
      </c>
      <c r="H760" s="2">
        <v>19</v>
      </c>
      <c r="I760" s="2">
        <v>120000</v>
      </c>
      <c r="J760" s="2" t="s">
        <v>1027</v>
      </c>
      <c r="K760" t="s">
        <v>1052</v>
      </c>
      <c r="M760" s="2" t="s">
        <v>1019</v>
      </c>
      <c r="N760">
        <v>3.6</v>
      </c>
    </row>
    <row r="761" spans="1:14" x14ac:dyDescent="0.3">
      <c r="A761" t="s">
        <v>773</v>
      </c>
      <c r="B761">
        <v>56</v>
      </c>
      <c r="C761" t="s">
        <v>1020</v>
      </c>
      <c r="D761" s="2" t="s">
        <v>1015</v>
      </c>
      <c r="E761" t="s">
        <v>1088</v>
      </c>
      <c r="F761" s="1">
        <v>45486</v>
      </c>
      <c r="G761" s="1">
        <v>45505</v>
      </c>
      <c r="H761" s="2">
        <v>19</v>
      </c>
      <c r="I761" s="2">
        <v>131000</v>
      </c>
      <c r="J761" s="2" t="s">
        <v>1027</v>
      </c>
      <c r="K761" t="s">
        <v>1052</v>
      </c>
      <c r="L761" t="s">
        <v>1018</v>
      </c>
      <c r="M761" s="2" t="s">
        <v>1019</v>
      </c>
      <c r="N761">
        <v>3.6</v>
      </c>
    </row>
    <row r="762" spans="1:14" x14ac:dyDescent="0.3">
      <c r="A762" t="s">
        <v>774</v>
      </c>
      <c r="B762">
        <v>57</v>
      </c>
      <c r="C762" t="s">
        <v>1020</v>
      </c>
      <c r="D762" s="2" t="s">
        <v>1015</v>
      </c>
      <c r="E762" t="s">
        <v>1088</v>
      </c>
      <c r="F762" s="1">
        <v>45487</v>
      </c>
      <c r="G762" s="1">
        <v>45506</v>
      </c>
      <c r="H762" s="2">
        <v>19</v>
      </c>
      <c r="I762" s="2">
        <v>141000</v>
      </c>
      <c r="J762" s="2" t="s">
        <v>1027</v>
      </c>
      <c r="K762" t="s">
        <v>1052</v>
      </c>
      <c r="L762" t="s">
        <v>1018</v>
      </c>
      <c r="M762" s="2" t="s">
        <v>1019</v>
      </c>
      <c r="N762">
        <v>3.6</v>
      </c>
    </row>
    <row r="763" spans="1:14" x14ac:dyDescent="0.3">
      <c r="A763" t="s">
        <v>775</v>
      </c>
      <c r="B763">
        <v>58</v>
      </c>
      <c r="C763" t="s">
        <v>1020</v>
      </c>
      <c r="D763" s="2" t="s">
        <v>1015</v>
      </c>
      <c r="E763" t="s">
        <v>1088</v>
      </c>
      <c r="F763" s="1">
        <v>45488</v>
      </c>
      <c r="G763" s="1">
        <v>45507</v>
      </c>
      <c r="H763" s="2">
        <v>19</v>
      </c>
      <c r="I763" s="2">
        <v>151000</v>
      </c>
      <c r="J763" s="2" t="s">
        <v>1027</v>
      </c>
      <c r="K763" t="s">
        <v>1052</v>
      </c>
      <c r="L763" t="s">
        <v>1037</v>
      </c>
      <c r="M763" s="2" t="s">
        <v>1019</v>
      </c>
      <c r="N763">
        <v>3.6</v>
      </c>
    </row>
    <row r="764" spans="1:14" x14ac:dyDescent="0.3">
      <c r="A764" t="s">
        <v>776</v>
      </c>
      <c r="B764">
        <v>59</v>
      </c>
      <c r="C764" t="s">
        <v>1020</v>
      </c>
      <c r="D764" s="2" t="s">
        <v>1015</v>
      </c>
      <c r="E764" t="s">
        <v>1088</v>
      </c>
      <c r="F764" s="1">
        <v>45489</v>
      </c>
      <c r="G764" s="1">
        <v>45508</v>
      </c>
      <c r="H764" s="2">
        <v>19</v>
      </c>
      <c r="I764" s="2">
        <v>161000</v>
      </c>
      <c r="J764" s="2" t="s">
        <v>1027</v>
      </c>
      <c r="K764" t="s">
        <v>1052</v>
      </c>
      <c r="L764" t="s">
        <v>1018</v>
      </c>
      <c r="M764" s="2" t="s">
        <v>1019</v>
      </c>
      <c r="N764">
        <v>3.6</v>
      </c>
    </row>
    <row r="765" spans="1:14" x14ac:dyDescent="0.3">
      <c r="A765" t="s">
        <v>777</v>
      </c>
      <c r="B765">
        <v>45</v>
      </c>
      <c r="C765" t="s">
        <v>1020</v>
      </c>
      <c r="D765" s="2" t="s">
        <v>1015</v>
      </c>
      <c r="E765" t="s">
        <v>1088</v>
      </c>
      <c r="F765" s="1">
        <v>45490</v>
      </c>
      <c r="G765" s="1">
        <v>45509</v>
      </c>
      <c r="H765" s="2">
        <v>19</v>
      </c>
      <c r="I765" s="2">
        <v>100000</v>
      </c>
      <c r="J765" s="2" t="s">
        <v>1027</v>
      </c>
      <c r="K765" t="s">
        <v>1052</v>
      </c>
      <c r="L765" t="s">
        <v>1037</v>
      </c>
      <c r="M765" s="2" t="s">
        <v>1019</v>
      </c>
      <c r="N765">
        <v>3.6</v>
      </c>
    </row>
    <row r="766" spans="1:14" x14ac:dyDescent="0.3">
      <c r="A766" t="s">
        <v>778</v>
      </c>
      <c r="B766">
        <v>34</v>
      </c>
      <c r="C766" t="s">
        <v>1020</v>
      </c>
      <c r="D766" s="2" t="s">
        <v>1015</v>
      </c>
      <c r="E766" t="s">
        <v>1088</v>
      </c>
      <c r="F766" s="1">
        <v>45491</v>
      </c>
      <c r="G766" s="1">
        <v>45510</v>
      </c>
      <c r="H766" s="2">
        <v>19</v>
      </c>
      <c r="I766" s="2">
        <v>100000</v>
      </c>
      <c r="J766" s="2" t="s">
        <v>1027</v>
      </c>
      <c r="K766" t="s">
        <v>1052</v>
      </c>
      <c r="L766" t="s">
        <v>1018</v>
      </c>
      <c r="M766" s="2" t="s">
        <v>1019</v>
      </c>
      <c r="N766">
        <v>3.6</v>
      </c>
    </row>
    <row r="767" spans="1:14" x14ac:dyDescent="0.3">
      <c r="A767" t="s">
        <v>779</v>
      </c>
      <c r="B767">
        <v>32</v>
      </c>
      <c r="C767" t="s">
        <v>1020</v>
      </c>
      <c r="D767" s="2" t="s">
        <v>1015</v>
      </c>
      <c r="E767" t="s">
        <v>1088</v>
      </c>
      <c r="F767" s="1">
        <v>45492</v>
      </c>
      <c r="G767" s="1">
        <v>45511</v>
      </c>
      <c r="H767" s="2">
        <v>19</v>
      </c>
      <c r="I767" s="2">
        <v>100000</v>
      </c>
      <c r="J767" s="2" t="s">
        <v>1027</v>
      </c>
      <c r="K767" t="s">
        <v>1052</v>
      </c>
      <c r="L767" t="s">
        <v>1037</v>
      </c>
      <c r="M767" s="2" t="s">
        <v>1019</v>
      </c>
      <c r="N767">
        <v>3.6</v>
      </c>
    </row>
    <row r="768" spans="1:14" x14ac:dyDescent="0.3">
      <c r="A768" t="s">
        <v>780</v>
      </c>
      <c r="B768">
        <v>12</v>
      </c>
      <c r="C768" t="s">
        <v>1020</v>
      </c>
      <c r="D768" s="2" t="s">
        <v>1015</v>
      </c>
      <c r="E768" t="s">
        <v>1088</v>
      </c>
      <c r="F768" s="1">
        <v>45493</v>
      </c>
      <c r="G768" s="1">
        <v>45512</v>
      </c>
      <c r="H768" s="2">
        <v>19</v>
      </c>
      <c r="I768" s="2">
        <v>100000</v>
      </c>
      <c r="J768" s="2" t="s">
        <v>1027</v>
      </c>
      <c r="K768" t="s">
        <v>1052</v>
      </c>
      <c r="L768" t="s">
        <v>1037</v>
      </c>
      <c r="M768" s="2" t="s">
        <v>1019</v>
      </c>
      <c r="N768">
        <v>3.6</v>
      </c>
    </row>
    <row r="769" spans="1:14" x14ac:dyDescent="0.3">
      <c r="A769" t="s">
        <v>781</v>
      </c>
      <c r="B769">
        <v>34</v>
      </c>
      <c r="C769" t="s">
        <v>1020</v>
      </c>
      <c r="D769" s="2" t="s">
        <v>1015</v>
      </c>
      <c r="E769" t="s">
        <v>1088</v>
      </c>
      <c r="F769" s="1">
        <v>45494</v>
      </c>
      <c r="G769" s="1">
        <v>45513</v>
      </c>
      <c r="H769" s="2">
        <v>19</v>
      </c>
      <c r="I769" s="2">
        <v>100000</v>
      </c>
      <c r="J769" s="2" t="s">
        <v>1027</v>
      </c>
      <c r="K769" t="s">
        <v>1052</v>
      </c>
      <c r="L769" t="s">
        <v>1037</v>
      </c>
      <c r="M769" s="2" t="s">
        <v>1019</v>
      </c>
      <c r="N769">
        <v>3.6</v>
      </c>
    </row>
    <row r="770" spans="1:14" x14ac:dyDescent="0.3">
      <c r="A770" t="s">
        <v>782</v>
      </c>
      <c r="B770">
        <v>12</v>
      </c>
      <c r="C770" t="s">
        <v>1020</v>
      </c>
      <c r="D770" s="2" t="s">
        <v>1015</v>
      </c>
      <c r="E770" t="s">
        <v>1166</v>
      </c>
      <c r="F770" s="1">
        <v>45495</v>
      </c>
      <c r="G770" s="1">
        <v>45514</v>
      </c>
      <c r="H770" s="2">
        <v>19</v>
      </c>
      <c r="I770" s="2">
        <v>100000</v>
      </c>
      <c r="J770" s="2" t="s">
        <v>1027</v>
      </c>
      <c r="K770" t="s">
        <v>1052</v>
      </c>
      <c r="L770" t="s">
        <v>1018</v>
      </c>
      <c r="M770" s="2" t="s">
        <v>1019</v>
      </c>
      <c r="N770">
        <v>3.6</v>
      </c>
    </row>
    <row r="771" spans="1:14" x14ac:dyDescent="0.3">
      <c r="A771" t="s">
        <v>783</v>
      </c>
      <c r="B771">
        <v>44</v>
      </c>
      <c r="C771" t="s">
        <v>1020</v>
      </c>
      <c r="D771" s="2" t="s">
        <v>1015</v>
      </c>
      <c r="E771" t="s">
        <v>1166</v>
      </c>
      <c r="F771" s="1">
        <v>45496</v>
      </c>
      <c r="G771" s="1">
        <v>45515</v>
      </c>
      <c r="H771" s="2">
        <v>19</v>
      </c>
      <c r="I771" s="2">
        <v>100000</v>
      </c>
      <c r="J771" s="2" t="s">
        <v>1027</v>
      </c>
      <c r="K771" t="s">
        <v>1052</v>
      </c>
      <c r="L771" t="s">
        <v>1018</v>
      </c>
      <c r="M771" s="2" t="s">
        <v>1019</v>
      </c>
      <c r="N771">
        <v>3.6</v>
      </c>
    </row>
    <row r="772" spans="1:14" x14ac:dyDescent="0.3">
      <c r="A772" t="s">
        <v>784</v>
      </c>
      <c r="B772">
        <v>34</v>
      </c>
      <c r="C772" t="s">
        <v>1020</v>
      </c>
      <c r="D772" s="2" t="s">
        <v>1015</v>
      </c>
      <c r="E772" t="s">
        <v>1166</v>
      </c>
      <c r="F772" s="1">
        <v>45497</v>
      </c>
      <c r="G772" s="1">
        <v>45516</v>
      </c>
      <c r="H772" s="2">
        <v>19</v>
      </c>
      <c r="I772" s="2">
        <v>100000</v>
      </c>
      <c r="J772" s="2" t="s">
        <v>1027</v>
      </c>
      <c r="K772" t="s">
        <v>1052</v>
      </c>
      <c r="L772" t="s">
        <v>1037</v>
      </c>
      <c r="M772" s="2" t="s">
        <v>1019</v>
      </c>
      <c r="N772">
        <v>3.6</v>
      </c>
    </row>
    <row r="773" spans="1:14" x14ac:dyDescent="0.3">
      <c r="A773" t="s">
        <v>785</v>
      </c>
      <c r="B773">
        <v>56</v>
      </c>
      <c r="C773" t="s">
        <v>1020</v>
      </c>
      <c r="D773" s="2" t="s">
        <v>1015</v>
      </c>
      <c r="E773" t="s">
        <v>1166</v>
      </c>
      <c r="F773" s="1">
        <v>45498</v>
      </c>
      <c r="G773" s="1">
        <v>45517</v>
      </c>
      <c r="H773" s="2">
        <v>19</v>
      </c>
      <c r="I773" s="2">
        <v>100000</v>
      </c>
      <c r="J773" s="2" t="s">
        <v>1027</v>
      </c>
      <c r="K773" t="s">
        <v>1052</v>
      </c>
      <c r="L773" t="s">
        <v>1018</v>
      </c>
      <c r="M773" s="2" t="s">
        <v>1019</v>
      </c>
      <c r="N773">
        <v>3.6</v>
      </c>
    </row>
    <row r="774" spans="1:14" x14ac:dyDescent="0.3">
      <c r="A774" t="s">
        <v>786</v>
      </c>
      <c r="B774">
        <v>32</v>
      </c>
      <c r="C774" t="s">
        <v>1020</v>
      </c>
      <c r="D774" s="2" t="s">
        <v>1015</v>
      </c>
      <c r="E774" t="s">
        <v>1166</v>
      </c>
      <c r="F774" s="1">
        <v>45499</v>
      </c>
      <c r="G774" s="1">
        <v>45518</v>
      </c>
      <c r="H774" s="2">
        <v>19</v>
      </c>
      <c r="I774" s="2">
        <v>100000</v>
      </c>
      <c r="J774" s="2" t="s">
        <v>1027</v>
      </c>
      <c r="K774" t="s">
        <v>1052</v>
      </c>
      <c r="L774" t="s">
        <v>1037</v>
      </c>
      <c r="M774" s="2" t="s">
        <v>1019</v>
      </c>
      <c r="N774">
        <v>3.6</v>
      </c>
    </row>
    <row r="775" spans="1:14" x14ac:dyDescent="0.3">
      <c r="A775" t="s">
        <v>787</v>
      </c>
      <c r="B775">
        <v>45</v>
      </c>
      <c r="C775" t="s">
        <v>1020</v>
      </c>
      <c r="D775" s="2" t="s">
        <v>1015</v>
      </c>
      <c r="E775" t="s">
        <v>1166</v>
      </c>
      <c r="F775" s="1">
        <v>45500</v>
      </c>
      <c r="G775" s="1">
        <v>45519</v>
      </c>
      <c r="H775" s="2">
        <v>19</v>
      </c>
      <c r="I775" s="2">
        <v>100000</v>
      </c>
      <c r="J775" s="2" t="s">
        <v>1027</v>
      </c>
      <c r="K775" t="s">
        <v>1052</v>
      </c>
      <c r="M775" s="2" t="s">
        <v>1019</v>
      </c>
      <c r="N775">
        <v>3.6</v>
      </c>
    </row>
    <row r="776" spans="1:14" x14ac:dyDescent="0.3">
      <c r="A776" t="s">
        <v>788</v>
      </c>
      <c r="B776">
        <v>34</v>
      </c>
      <c r="C776" t="s">
        <v>1020</v>
      </c>
      <c r="D776" s="2" t="s">
        <v>1015</v>
      </c>
      <c r="E776" t="s">
        <v>1166</v>
      </c>
      <c r="F776" s="1">
        <v>45501</v>
      </c>
      <c r="G776" s="1">
        <v>45520</v>
      </c>
      <c r="H776" s="2">
        <v>19</v>
      </c>
      <c r="I776" s="2">
        <v>100000</v>
      </c>
      <c r="J776" s="2" t="s">
        <v>1027</v>
      </c>
      <c r="K776" t="s">
        <v>1052</v>
      </c>
      <c r="L776" t="s">
        <v>1018</v>
      </c>
      <c r="M776" s="2" t="s">
        <v>1019</v>
      </c>
      <c r="N776">
        <v>3.6</v>
      </c>
    </row>
    <row r="777" spans="1:14" x14ac:dyDescent="0.3">
      <c r="A777" t="s">
        <v>789</v>
      </c>
      <c r="B777">
        <v>32</v>
      </c>
      <c r="C777" t="s">
        <v>1020</v>
      </c>
      <c r="D777" s="2" t="s">
        <v>1015</v>
      </c>
      <c r="E777" t="s">
        <v>1166</v>
      </c>
      <c r="F777" s="1">
        <v>45502</v>
      </c>
      <c r="G777" s="1">
        <v>45521</v>
      </c>
      <c r="H777" s="2">
        <v>19</v>
      </c>
      <c r="I777" s="2">
        <v>100000</v>
      </c>
      <c r="J777" s="2" t="s">
        <v>1027</v>
      </c>
      <c r="K777" t="s">
        <v>1052</v>
      </c>
      <c r="L777" t="s">
        <v>1018</v>
      </c>
      <c r="M777" s="2" t="s">
        <v>1019</v>
      </c>
      <c r="N777">
        <v>3.6</v>
      </c>
    </row>
    <row r="778" spans="1:14" x14ac:dyDescent="0.3">
      <c r="A778" t="s">
        <v>790</v>
      </c>
      <c r="B778">
        <v>21</v>
      </c>
      <c r="C778" t="s">
        <v>1020</v>
      </c>
      <c r="D778" s="2" t="s">
        <v>1015</v>
      </c>
      <c r="E778" t="s">
        <v>1166</v>
      </c>
      <c r="F778" s="1">
        <v>45503</v>
      </c>
      <c r="G778" s="1">
        <v>45522</v>
      </c>
      <c r="H778" s="2">
        <v>19</v>
      </c>
      <c r="I778" s="2">
        <v>100000</v>
      </c>
      <c r="J778" s="2" t="s">
        <v>1027</v>
      </c>
      <c r="K778" t="s">
        <v>1052</v>
      </c>
      <c r="L778" t="s">
        <v>1037</v>
      </c>
      <c r="M778" s="2" t="s">
        <v>1019</v>
      </c>
      <c r="N778">
        <v>3.6</v>
      </c>
    </row>
    <row r="779" spans="1:14" x14ac:dyDescent="0.3">
      <c r="A779" t="s">
        <v>791</v>
      </c>
      <c r="B779">
        <v>32</v>
      </c>
      <c r="C779" t="s">
        <v>1020</v>
      </c>
      <c r="D779" s="2" t="s">
        <v>1015</v>
      </c>
      <c r="E779" t="s">
        <v>1166</v>
      </c>
      <c r="F779" s="1">
        <v>45504</v>
      </c>
      <c r="G779" s="1">
        <v>45523</v>
      </c>
      <c r="H779" s="2">
        <v>19</v>
      </c>
      <c r="I779" s="2">
        <v>100000</v>
      </c>
      <c r="J779" s="2" t="s">
        <v>1027</v>
      </c>
      <c r="K779" t="s">
        <v>1052</v>
      </c>
      <c r="L779" t="s">
        <v>1018</v>
      </c>
      <c r="M779" s="2" t="s">
        <v>1019</v>
      </c>
      <c r="N779">
        <v>3.6</v>
      </c>
    </row>
    <row r="780" spans="1:14" x14ac:dyDescent="0.3">
      <c r="A780" t="s">
        <v>792</v>
      </c>
      <c r="B780">
        <v>44</v>
      </c>
      <c r="C780" t="s">
        <v>1020</v>
      </c>
      <c r="D780" s="2" t="s">
        <v>1015</v>
      </c>
      <c r="E780" t="s">
        <v>1166</v>
      </c>
      <c r="F780" s="1">
        <v>45505</v>
      </c>
      <c r="G780" s="1">
        <v>45524</v>
      </c>
      <c r="H780" s="2">
        <v>19</v>
      </c>
      <c r="I780" s="2">
        <v>100000</v>
      </c>
      <c r="J780" s="2" t="s">
        <v>1027</v>
      </c>
      <c r="K780" t="s">
        <v>1052</v>
      </c>
      <c r="L780" t="s">
        <v>1037</v>
      </c>
      <c r="M780" s="2" t="s">
        <v>1019</v>
      </c>
      <c r="N780">
        <v>3.6</v>
      </c>
    </row>
    <row r="781" spans="1:14" x14ac:dyDescent="0.3">
      <c r="A781" t="s">
        <v>793</v>
      </c>
      <c r="B781">
        <v>54</v>
      </c>
      <c r="C781" t="s">
        <v>1020</v>
      </c>
      <c r="D781" s="2" t="s">
        <v>1015</v>
      </c>
      <c r="E781" t="s">
        <v>1166</v>
      </c>
      <c r="F781" s="1">
        <v>45506</v>
      </c>
      <c r="G781" s="1">
        <v>45525</v>
      </c>
      <c r="H781" s="2">
        <v>19</v>
      </c>
      <c r="I781" s="2">
        <v>100000</v>
      </c>
      <c r="J781" s="2" t="s">
        <v>1027</v>
      </c>
      <c r="K781" t="s">
        <v>1052</v>
      </c>
      <c r="L781" t="s">
        <v>1018</v>
      </c>
      <c r="M781" s="2" t="s">
        <v>1019</v>
      </c>
      <c r="N781">
        <v>3.6</v>
      </c>
    </row>
    <row r="782" spans="1:14" x14ac:dyDescent="0.3">
      <c r="A782" t="s">
        <v>794</v>
      </c>
      <c r="B782">
        <v>53</v>
      </c>
      <c r="C782" t="s">
        <v>1020</v>
      </c>
      <c r="D782" s="2" t="s">
        <v>1015</v>
      </c>
      <c r="E782" t="s">
        <v>1166</v>
      </c>
      <c r="F782" s="1">
        <v>45507</v>
      </c>
      <c r="G782" s="1">
        <v>45526</v>
      </c>
      <c r="H782" s="2">
        <v>19</v>
      </c>
      <c r="I782" s="2">
        <v>120000</v>
      </c>
      <c r="J782" s="2" t="s">
        <v>1027</v>
      </c>
      <c r="K782" t="s">
        <v>1052</v>
      </c>
      <c r="L782" t="s">
        <v>1037</v>
      </c>
      <c r="M782" s="2" t="s">
        <v>1019</v>
      </c>
      <c r="N782">
        <v>3.6</v>
      </c>
    </row>
    <row r="783" spans="1:14" x14ac:dyDescent="0.3">
      <c r="A783" t="s">
        <v>795</v>
      </c>
      <c r="B783">
        <v>43</v>
      </c>
      <c r="C783" t="s">
        <v>1020</v>
      </c>
      <c r="D783" s="2" t="s">
        <v>1015</v>
      </c>
      <c r="E783" t="s">
        <v>1166</v>
      </c>
      <c r="F783" s="1">
        <v>45508</v>
      </c>
      <c r="G783" s="1">
        <v>45527</v>
      </c>
      <c r="H783" s="2">
        <v>19</v>
      </c>
      <c r="I783" s="2">
        <v>120000</v>
      </c>
      <c r="J783" s="2" t="s">
        <v>1027</v>
      </c>
      <c r="K783" t="s">
        <v>1052</v>
      </c>
      <c r="L783" t="s">
        <v>1037</v>
      </c>
      <c r="M783" s="2" t="s">
        <v>1019</v>
      </c>
      <c r="N783">
        <v>3.6</v>
      </c>
    </row>
    <row r="784" spans="1:14" x14ac:dyDescent="0.3">
      <c r="A784" t="s">
        <v>796</v>
      </c>
      <c r="B784">
        <v>42</v>
      </c>
      <c r="C784" t="s">
        <v>1020</v>
      </c>
      <c r="D784" s="2" t="s">
        <v>1015</v>
      </c>
      <c r="E784" t="s">
        <v>1167</v>
      </c>
      <c r="F784" s="1">
        <v>45509</v>
      </c>
      <c r="G784" s="1">
        <v>45528</v>
      </c>
      <c r="H784" s="2">
        <v>19</v>
      </c>
      <c r="I784" s="2">
        <v>120000</v>
      </c>
      <c r="J784" s="2" t="s">
        <v>1027</v>
      </c>
      <c r="K784" t="s">
        <v>1052</v>
      </c>
      <c r="L784" t="s">
        <v>1037</v>
      </c>
      <c r="M784" s="2" t="s">
        <v>1019</v>
      </c>
      <c r="N784">
        <v>3.6</v>
      </c>
    </row>
    <row r="785" spans="1:14" x14ac:dyDescent="0.3">
      <c r="A785" t="s">
        <v>797</v>
      </c>
      <c r="B785">
        <v>41</v>
      </c>
      <c r="C785" t="s">
        <v>1020</v>
      </c>
      <c r="D785" s="2" t="s">
        <v>1015</v>
      </c>
      <c r="E785" t="s">
        <v>1167</v>
      </c>
      <c r="F785" s="1">
        <v>45510</v>
      </c>
      <c r="G785" s="1">
        <v>45529</v>
      </c>
      <c r="H785" s="2">
        <v>19</v>
      </c>
      <c r="I785" s="2">
        <v>120000</v>
      </c>
      <c r="J785" s="2" t="s">
        <v>1027</v>
      </c>
      <c r="K785" t="s">
        <v>1052</v>
      </c>
      <c r="L785" t="s">
        <v>1018</v>
      </c>
      <c r="M785" s="2" t="s">
        <v>1019</v>
      </c>
      <c r="N785">
        <v>3.6</v>
      </c>
    </row>
    <row r="786" spans="1:14" x14ac:dyDescent="0.3">
      <c r="A786" t="s">
        <v>798</v>
      </c>
      <c r="B786">
        <v>32</v>
      </c>
      <c r="C786" t="s">
        <v>1020</v>
      </c>
      <c r="D786" s="2" t="s">
        <v>1015</v>
      </c>
      <c r="E786" t="s">
        <v>1167</v>
      </c>
      <c r="F786" s="1">
        <v>45511</v>
      </c>
      <c r="G786" s="1">
        <v>45532</v>
      </c>
      <c r="H786" s="2">
        <v>21</v>
      </c>
      <c r="I786" s="2">
        <v>120000</v>
      </c>
      <c r="J786" s="2" t="s">
        <v>1027</v>
      </c>
      <c r="K786" t="s">
        <v>1052</v>
      </c>
      <c r="L786" t="s">
        <v>1018</v>
      </c>
      <c r="M786" s="2" t="s">
        <v>1019</v>
      </c>
      <c r="N786">
        <v>3.6</v>
      </c>
    </row>
    <row r="787" spans="1:14" x14ac:dyDescent="0.3">
      <c r="A787" t="s">
        <v>799</v>
      </c>
      <c r="B787">
        <v>34</v>
      </c>
      <c r="C787" t="s">
        <v>1020</v>
      </c>
      <c r="D787" s="2" t="s">
        <v>1015</v>
      </c>
      <c r="E787" t="s">
        <v>1167</v>
      </c>
      <c r="F787" s="1">
        <v>45512</v>
      </c>
      <c r="G787" s="1">
        <v>45533</v>
      </c>
      <c r="H787" s="2">
        <v>21</v>
      </c>
      <c r="I787" s="2">
        <v>120000</v>
      </c>
      <c r="J787" s="2" t="s">
        <v>1027</v>
      </c>
      <c r="K787" t="s">
        <v>1052</v>
      </c>
      <c r="L787" t="s">
        <v>1037</v>
      </c>
      <c r="M787" s="2" t="s">
        <v>1019</v>
      </c>
      <c r="N787">
        <v>3.6</v>
      </c>
    </row>
    <row r="788" spans="1:14" x14ac:dyDescent="0.3">
      <c r="A788" t="s">
        <v>800</v>
      </c>
      <c r="B788">
        <v>35</v>
      </c>
      <c r="C788" t="s">
        <v>1020</v>
      </c>
      <c r="D788" s="2" t="s">
        <v>1015</v>
      </c>
      <c r="E788" t="s">
        <v>1167</v>
      </c>
      <c r="F788" s="1">
        <v>45513</v>
      </c>
      <c r="G788" s="1">
        <v>45534</v>
      </c>
      <c r="H788" s="2">
        <v>21</v>
      </c>
      <c r="I788" s="2">
        <v>120000</v>
      </c>
      <c r="J788" s="2" t="s">
        <v>1027</v>
      </c>
      <c r="K788" t="s">
        <v>1052</v>
      </c>
      <c r="L788" t="s">
        <v>1018</v>
      </c>
      <c r="M788" s="2" t="s">
        <v>1019</v>
      </c>
      <c r="N788">
        <v>3.6</v>
      </c>
    </row>
    <row r="789" spans="1:14" x14ac:dyDescent="0.3">
      <c r="A789" t="s">
        <v>801</v>
      </c>
      <c r="B789">
        <v>36</v>
      </c>
      <c r="C789" t="s">
        <v>1020</v>
      </c>
      <c r="D789" s="2" t="s">
        <v>1015</v>
      </c>
      <c r="E789" t="s">
        <v>1167</v>
      </c>
      <c r="F789" s="1">
        <v>45514</v>
      </c>
      <c r="G789" s="1">
        <v>45535</v>
      </c>
      <c r="H789" s="2">
        <v>21</v>
      </c>
      <c r="I789" s="2">
        <v>120000</v>
      </c>
      <c r="J789" s="2" t="s">
        <v>1027</v>
      </c>
      <c r="K789" t="s">
        <v>1052</v>
      </c>
      <c r="L789" t="s">
        <v>1037</v>
      </c>
      <c r="M789" s="2" t="s">
        <v>1019</v>
      </c>
      <c r="N789">
        <v>3.6</v>
      </c>
    </row>
    <row r="790" spans="1:14" x14ac:dyDescent="0.3">
      <c r="A790" t="s">
        <v>802</v>
      </c>
      <c r="B790">
        <v>37</v>
      </c>
      <c r="C790" t="s">
        <v>1020</v>
      </c>
      <c r="D790" s="2" t="s">
        <v>1015</v>
      </c>
      <c r="E790" t="s">
        <v>1167</v>
      </c>
      <c r="F790" s="1">
        <v>45515</v>
      </c>
      <c r="G790" s="1">
        <v>45536</v>
      </c>
      <c r="H790" s="2">
        <v>21</v>
      </c>
      <c r="I790" s="2">
        <v>120000</v>
      </c>
      <c r="J790" s="2" t="s">
        <v>1027</v>
      </c>
      <c r="K790" t="s">
        <v>1052</v>
      </c>
      <c r="M790" s="2" t="s">
        <v>1019</v>
      </c>
      <c r="N790">
        <v>3.6</v>
      </c>
    </row>
    <row r="791" spans="1:14" x14ac:dyDescent="0.3">
      <c r="A791" t="s">
        <v>803</v>
      </c>
      <c r="B791">
        <v>39</v>
      </c>
      <c r="C791" t="s">
        <v>1020</v>
      </c>
      <c r="D791" s="2" t="s">
        <v>1015</v>
      </c>
      <c r="E791" t="s">
        <v>1167</v>
      </c>
      <c r="F791" s="1">
        <v>45516</v>
      </c>
      <c r="G791" s="1">
        <v>45537</v>
      </c>
      <c r="H791" s="2">
        <v>21</v>
      </c>
      <c r="I791" s="2">
        <v>120000</v>
      </c>
      <c r="J791" s="2" t="s">
        <v>1027</v>
      </c>
      <c r="K791" t="s">
        <v>1052</v>
      </c>
      <c r="L791" t="s">
        <v>1018</v>
      </c>
      <c r="M791" s="2" t="s">
        <v>1019</v>
      </c>
      <c r="N791">
        <v>3.6</v>
      </c>
    </row>
    <row r="792" spans="1:14" x14ac:dyDescent="0.3">
      <c r="A792" t="s">
        <v>804</v>
      </c>
      <c r="B792">
        <v>30</v>
      </c>
      <c r="C792" t="s">
        <v>1020</v>
      </c>
      <c r="D792" s="2" t="s">
        <v>1015</v>
      </c>
      <c r="E792" t="s">
        <v>1167</v>
      </c>
      <c r="F792" s="1">
        <v>45517</v>
      </c>
      <c r="G792" s="1">
        <v>45538</v>
      </c>
      <c r="H792" s="2">
        <v>21</v>
      </c>
      <c r="I792" s="2">
        <v>120000</v>
      </c>
      <c r="J792" s="2" t="s">
        <v>1027</v>
      </c>
      <c r="K792" t="s">
        <v>1052</v>
      </c>
      <c r="L792" t="s">
        <v>1018</v>
      </c>
      <c r="M792" s="2" t="s">
        <v>1019</v>
      </c>
      <c r="N792">
        <v>3.6</v>
      </c>
    </row>
    <row r="793" spans="1:14" x14ac:dyDescent="0.3">
      <c r="A793" t="s">
        <v>805</v>
      </c>
      <c r="B793">
        <v>33</v>
      </c>
      <c r="C793" t="s">
        <v>1020</v>
      </c>
      <c r="D793" s="2" t="s">
        <v>1015</v>
      </c>
      <c r="E793" t="s">
        <v>1167</v>
      </c>
      <c r="F793" s="1">
        <v>45518</v>
      </c>
      <c r="G793" s="1">
        <v>45539</v>
      </c>
      <c r="H793" s="2">
        <v>21</v>
      </c>
      <c r="I793" s="2">
        <v>120000</v>
      </c>
      <c r="J793" s="2" t="s">
        <v>1027</v>
      </c>
      <c r="K793" t="s">
        <v>1052</v>
      </c>
      <c r="L793" t="s">
        <v>1037</v>
      </c>
      <c r="M793" s="2" t="s">
        <v>1019</v>
      </c>
      <c r="N793">
        <v>3.6</v>
      </c>
    </row>
    <row r="794" spans="1:14" x14ac:dyDescent="0.3">
      <c r="A794" t="s">
        <v>806</v>
      </c>
      <c r="B794">
        <v>22</v>
      </c>
      <c r="C794" t="s">
        <v>1020</v>
      </c>
      <c r="D794" s="2" t="s">
        <v>1015</v>
      </c>
      <c r="E794" t="s">
        <v>1167</v>
      </c>
      <c r="F794" s="1">
        <v>45519</v>
      </c>
      <c r="G794" s="1">
        <v>45540</v>
      </c>
      <c r="H794" s="2">
        <v>21</v>
      </c>
      <c r="I794" s="2">
        <v>120000</v>
      </c>
      <c r="J794" s="2" t="s">
        <v>1027</v>
      </c>
      <c r="K794" t="s">
        <v>1052</v>
      </c>
      <c r="L794" t="s">
        <v>1018</v>
      </c>
      <c r="M794" s="2" t="s">
        <v>1019</v>
      </c>
      <c r="N794">
        <v>3.6</v>
      </c>
    </row>
    <row r="795" spans="1:14" x14ac:dyDescent="0.3">
      <c r="A795" t="s">
        <v>807</v>
      </c>
      <c r="B795">
        <v>32</v>
      </c>
      <c r="C795" t="s">
        <v>1020</v>
      </c>
      <c r="D795" s="2" t="s">
        <v>1015</v>
      </c>
      <c r="E795" t="s">
        <v>1167</v>
      </c>
      <c r="F795" s="1">
        <v>45520</v>
      </c>
      <c r="G795" s="1">
        <v>45541</v>
      </c>
      <c r="H795" s="2">
        <v>21</v>
      </c>
      <c r="I795" s="2">
        <v>120000</v>
      </c>
      <c r="J795" s="2" t="s">
        <v>1027</v>
      </c>
      <c r="K795" t="s">
        <v>1052</v>
      </c>
      <c r="L795" t="s">
        <v>1037</v>
      </c>
      <c r="M795" s="2" t="s">
        <v>1019</v>
      </c>
      <c r="N795">
        <v>3.6</v>
      </c>
    </row>
    <row r="796" spans="1:14" x14ac:dyDescent="0.3">
      <c r="A796" t="s">
        <v>808</v>
      </c>
      <c r="B796">
        <v>21</v>
      </c>
      <c r="C796" t="s">
        <v>1020</v>
      </c>
      <c r="D796" s="2" t="s">
        <v>1015</v>
      </c>
      <c r="E796" t="s">
        <v>1167</v>
      </c>
      <c r="F796" s="1">
        <v>45521</v>
      </c>
      <c r="G796" s="1">
        <v>45542</v>
      </c>
      <c r="H796" s="2">
        <v>21</v>
      </c>
      <c r="I796" s="2">
        <v>120000</v>
      </c>
      <c r="J796" s="2" t="s">
        <v>1027</v>
      </c>
      <c r="K796" t="s">
        <v>1052</v>
      </c>
      <c r="L796" t="s">
        <v>1018</v>
      </c>
      <c r="M796" s="2" t="s">
        <v>1019</v>
      </c>
      <c r="N796">
        <v>3.6</v>
      </c>
    </row>
    <row r="797" spans="1:14" x14ac:dyDescent="0.3">
      <c r="A797" t="s">
        <v>809</v>
      </c>
      <c r="B797">
        <v>34</v>
      </c>
      <c r="C797" t="s">
        <v>1020</v>
      </c>
      <c r="D797" s="2" t="s">
        <v>1015</v>
      </c>
      <c r="E797" t="s">
        <v>1167</v>
      </c>
      <c r="F797" s="1">
        <v>45522</v>
      </c>
      <c r="G797" s="1">
        <v>45543</v>
      </c>
      <c r="H797" s="2">
        <v>21</v>
      </c>
      <c r="I797" s="2">
        <v>120000</v>
      </c>
      <c r="J797" s="2" t="s">
        <v>1027</v>
      </c>
      <c r="K797" t="s">
        <v>1052</v>
      </c>
      <c r="L797" t="s">
        <v>1037</v>
      </c>
      <c r="M797" s="2" t="s">
        <v>1019</v>
      </c>
      <c r="N797">
        <v>3.6</v>
      </c>
    </row>
    <row r="798" spans="1:14" x14ac:dyDescent="0.3">
      <c r="A798" t="s">
        <v>810</v>
      </c>
      <c r="B798">
        <v>32</v>
      </c>
      <c r="C798" t="s">
        <v>1020</v>
      </c>
      <c r="D798" s="2" t="s">
        <v>1015</v>
      </c>
      <c r="E798" t="s">
        <v>1167</v>
      </c>
      <c r="F798" s="1">
        <v>45523</v>
      </c>
      <c r="G798" s="1">
        <v>45544</v>
      </c>
      <c r="H798" s="2">
        <v>21</v>
      </c>
      <c r="I798" s="2">
        <v>120000</v>
      </c>
      <c r="J798" s="2" t="s">
        <v>1027</v>
      </c>
      <c r="K798" t="s">
        <v>1052</v>
      </c>
      <c r="L798" t="s">
        <v>1037</v>
      </c>
      <c r="M798" s="2" t="s">
        <v>1019</v>
      </c>
      <c r="N798">
        <v>3.6</v>
      </c>
    </row>
    <row r="799" spans="1:14" x14ac:dyDescent="0.3">
      <c r="A799" t="s">
        <v>811</v>
      </c>
      <c r="B799">
        <v>34</v>
      </c>
      <c r="C799" t="s">
        <v>1020</v>
      </c>
      <c r="D799" s="2" t="s">
        <v>1015</v>
      </c>
      <c r="E799" t="s">
        <v>1167</v>
      </c>
      <c r="F799" s="1">
        <v>45524</v>
      </c>
      <c r="G799" s="1">
        <v>45545</v>
      </c>
      <c r="H799" s="2">
        <v>21</v>
      </c>
      <c r="I799" s="2">
        <v>120000</v>
      </c>
      <c r="J799" s="2" t="s">
        <v>1027</v>
      </c>
      <c r="K799" t="s">
        <v>1052</v>
      </c>
      <c r="L799" t="s">
        <v>1037</v>
      </c>
      <c r="M799" s="2" t="s">
        <v>1019</v>
      </c>
      <c r="N799">
        <v>3.6</v>
      </c>
    </row>
    <row r="800" spans="1:14" x14ac:dyDescent="0.3">
      <c r="A800" t="s">
        <v>812</v>
      </c>
      <c r="B800">
        <v>60</v>
      </c>
      <c r="C800" t="s">
        <v>1020</v>
      </c>
      <c r="D800" s="2" t="s">
        <v>1015</v>
      </c>
      <c r="E800" t="s">
        <v>1167</v>
      </c>
      <c r="F800" s="1">
        <v>45525</v>
      </c>
      <c r="G800" s="1">
        <v>45546</v>
      </c>
      <c r="H800" s="2">
        <v>21</v>
      </c>
      <c r="I800" s="2">
        <v>120000</v>
      </c>
      <c r="J800" s="2" t="s">
        <v>1027</v>
      </c>
      <c r="K800" t="s">
        <v>1052</v>
      </c>
      <c r="L800" t="s">
        <v>1018</v>
      </c>
      <c r="M800" s="2" t="s">
        <v>1019</v>
      </c>
      <c r="N800">
        <v>3.6</v>
      </c>
    </row>
    <row r="801" spans="1:14" x14ac:dyDescent="0.3">
      <c r="A801" t="s">
        <v>813</v>
      </c>
      <c r="B801">
        <v>44</v>
      </c>
      <c r="C801" t="s">
        <v>1020</v>
      </c>
      <c r="D801" s="2" t="s">
        <v>1015</v>
      </c>
      <c r="E801" t="s">
        <v>1167</v>
      </c>
      <c r="F801" s="1">
        <v>45526</v>
      </c>
      <c r="G801" s="1">
        <v>45547</v>
      </c>
      <c r="H801" s="2">
        <v>21</v>
      </c>
      <c r="I801" s="2">
        <v>120000</v>
      </c>
      <c r="J801" s="2" t="s">
        <v>1027</v>
      </c>
      <c r="K801" t="s">
        <v>1052</v>
      </c>
      <c r="L801" t="s">
        <v>1018</v>
      </c>
      <c r="M801" s="2" t="s">
        <v>1019</v>
      </c>
      <c r="N801">
        <v>3.6</v>
      </c>
    </row>
    <row r="802" spans="1:14" x14ac:dyDescent="0.3">
      <c r="A802" t="s">
        <v>814</v>
      </c>
      <c r="B802">
        <v>65</v>
      </c>
      <c r="C802" t="s">
        <v>1020</v>
      </c>
      <c r="D802" s="2" t="s">
        <v>1015</v>
      </c>
      <c r="E802" t="s">
        <v>1016</v>
      </c>
      <c r="F802" s="1">
        <v>45527</v>
      </c>
      <c r="G802" s="1">
        <v>45548</v>
      </c>
      <c r="H802" s="2">
        <v>21</v>
      </c>
      <c r="I802" s="2">
        <v>120000</v>
      </c>
      <c r="J802" s="2" t="s">
        <v>1027</v>
      </c>
      <c r="K802" t="s">
        <v>1052</v>
      </c>
      <c r="L802" t="s">
        <v>1037</v>
      </c>
      <c r="M802" s="2" t="s">
        <v>1019</v>
      </c>
      <c r="N802">
        <v>3.6</v>
      </c>
    </row>
    <row r="803" spans="1:14" x14ac:dyDescent="0.3">
      <c r="A803" t="s">
        <v>815</v>
      </c>
      <c r="B803">
        <v>54</v>
      </c>
      <c r="C803" t="s">
        <v>1014</v>
      </c>
      <c r="D803" s="2" t="s">
        <v>1015</v>
      </c>
      <c r="E803" t="s">
        <v>1016</v>
      </c>
      <c r="F803" s="1">
        <v>45528</v>
      </c>
      <c r="G803" s="1">
        <v>45549</v>
      </c>
      <c r="H803" s="2">
        <v>21</v>
      </c>
      <c r="I803" s="2">
        <v>120000</v>
      </c>
      <c r="J803" s="2" t="s">
        <v>1027</v>
      </c>
      <c r="K803" t="s">
        <v>1052</v>
      </c>
      <c r="L803" t="s">
        <v>1018</v>
      </c>
      <c r="M803" s="2" t="s">
        <v>1019</v>
      </c>
      <c r="N803">
        <v>3.6</v>
      </c>
    </row>
    <row r="804" spans="1:14" x14ac:dyDescent="0.3">
      <c r="A804" t="s">
        <v>816</v>
      </c>
      <c r="B804">
        <v>76</v>
      </c>
      <c r="C804" t="s">
        <v>1014</v>
      </c>
      <c r="D804" s="2" t="s">
        <v>1015</v>
      </c>
      <c r="E804" t="s">
        <v>1016</v>
      </c>
      <c r="F804" s="1">
        <v>45529</v>
      </c>
      <c r="G804" s="1">
        <v>45550</v>
      </c>
      <c r="H804" s="2">
        <v>21</v>
      </c>
      <c r="I804" s="2">
        <v>120000</v>
      </c>
      <c r="J804" s="2" t="s">
        <v>1027</v>
      </c>
      <c r="K804" t="s">
        <v>1052</v>
      </c>
      <c r="L804" t="s">
        <v>1037</v>
      </c>
      <c r="M804" s="2" t="s">
        <v>1019</v>
      </c>
      <c r="N804">
        <v>3.6</v>
      </c>
    </row>
    <row r="805" spans="1:14" x14ac:dyDescent="0.3">
      <c r="A805" t="s">
        <v>817</v>
      </c>
      <c r="B805">
        <v>65</v>
      </c>
      <c r="C805" t="s">
        <v>1014</v>
      </c>
      <c r="D805" s="2" t="s">
        <v>1015</v>
      </c>
      <c r="E805" t="s">
        <v>1016</v>
      </c>
      <c r="F805" s="1">
        <v>45530</v>
      </c>
      <c r="G805" s="1">
        <v>45551</v>
      </c>
      <c r="H805" s="2">
        <v>21</v>
      </c>
      <c r="I805" s="2">
        <v>120000</v>
      </c>
      <c r="J805" s="2" t="s">
        <v>1027</v>
      </c>
      <c r="K805" t="s">
        <v>1052</v>
      </c>
      <c r="M805" s="2" t="s">
        <v>1019</v>
      </c>
      <c r="N805">
        <v>3.6</v>
      </c>
    </row>
    <row r="806" spans="1:14" x14ac:dyDescent="0.3">
      <c r="A806" t="s">
        <v>818</v>
      </c>
      <c r="B806">
        <v>54</v>
      </c>
      <c r="C806" t="s">
        <v>1014</v>
      </c>
      <c r="D806" s="2" t="s">
        <v>1015</v>
      </c>
      <c r="E806" t="s">
        <v>1016</v>
      </c>
      <c r="F806" s="1">
        <v>45531</v>
      </c>
      <c r="G806" s="1">
        <v>45552</v>
      </c>
      <c r="H806" s="2">
        <v>21</v>
      </c>
      <c r="I806" s="2">
        <v>120000</v>
      </c>
      <c r="J806" s="2" t="s">
        <v>1027</v>
      </c>
      <c r="K806" t="s">
        <v>1052</v>
      </c>
      <c r="L806" t="s">
        <v>1018</v>
      </c>
      <c r="M806" s="2" t="s">
        <v>1019</v>
      </c>
      <c r="N806">
        <v>3.6</v>
      </c>
    </row>
    <row r="807" spans="1:14" x14ac:dyDescent="0.3">
      <c r="A807" t="s">
        <v>819</v>
      </c>
      <c r="B807">
        <v>65</v>
      </c>
      <c r="C807" t="s">
        <v>1014</v>
      </c>
      <c r="D807" s="2" t="s">
        <v>1015</v>
      </c>
      <c r="E807" t="s">
        <v>1016</v>
      </c>
      <c r="F807" s="1">
        <v>45532</v>
      </c>
      <c r="G807" s="1">
        <v>45553</v>
      </c>
      <c r="H807" s="2">
        <v>21</v>
      </c>
      <c r="I807" s="2">
        <v>120000</v>
      </c>
      <c r="J807" s="2" t="s">
        <v>1027</v>
      </c>
      <c r="K807" t="s">
        <v>1052</v>
      </c>
      <c r="L807" t="s">
        <v>1018</v>
      </c>
      <c r="M807" s="2" t="s">
        <v>1019</v>
      </c>
      <c r="N807">
        <v>3.6</v>
      </c>
    </row>
    <row r="808" spans="1:14" x14ac:dyDescent="0.3">
      <c r="A808" t="s">
        <v>820</v>
      </c>
      <c r="B808">
        <v>76</v>
      </c>
      <c r="C808" t="s">
        <v>1014</v>
      </c>
      <c r="D808" s="2" t="s">
        <v>1015</v>
      </c>
      <c r="E808" t="s">
        <v>1016</v>
      </c>
      <c r="F808" s="1">
        <v>45533</v>
      </c>
      <c r="G808" s="1">
        <v>45554</v>
      </c>
      <c r="H808" s="2">
        <v>21</v>
      </c>
      <c r="I808" s="2">
        <v>120000</v>
      </c>
      <c r="J808" s="2" t="s">
        <v>1027</v>
      </c>
      <c r="K808" t="s">
        <v>1052</v>
      </c>
      <c r="L808" t="s">
        <v>1037</v>
      </c>
      <c r="M808" s="2" t="s">
        <v>1019</v>
      </c>
      <c r="N808">
        <v>3.6</v>
      </c>
    </row>
    <row r="809" spans="1:14" x14ac:dyDescent="0.3">
      <c r="A809" t="s">
        <v>821</v>
      </c>
      <c r="B809">
        <v>54</v>
      </c>
      <c r="C809" t="s">
        <v>1014</v>
      </c>
      <c r="D809" s="2" t="s">
        <v>1015</v>
      </c>
      <c r="E809" t="s">
        <v>1016</v>
      </c>
      <c r="F809" s="1">
        <v>45534</v>
      </c>
      <c r="G809" s="1">
        <v>45555</v>
      </c>
      <c r="H809" s="2">
        <v>21</v>
      </c>
      <c r="I809" s="2">
        <v>120000</v>
      </c>
      <c r="J809" s="2" t="s">
        <v>1027</v>
      </c>
      <c r="K809" t="s">
        <v>1052</v>
      </c>
      <c r="L809" t="s">
        <v>1018</v>
      </c>
      <c r="M809" s="2" t="s">
        <v>1019</v>
      </c>
      <c r="N809">
        <v>3.6</v>
      </c>
    </row>
    <row r="810" spans="1:14" x14ac:dyDescent="0.3">
      <c r="A810" t="s">
        <v>822</v>
      </c>
      <c r="B810">
        <v>65</v>
      </c>
      <c r="C810" t="s">
        <v>1014</v>
      </c>
      <c r="D810" s="2" t="s">
        <v>1015</v>
      </c>
      <c r="E810" t="s">
        <v>1016</v>
      </c>
      <c r="F810" s="1">
        <v>45535</v>
      </c>
      <c r="G810" s="1">
        <v>45556</v>
      </c>
      <c r="H810" s="2">
        <v>21</v>
      </c>
      <c r="I810" s="2">
        <v>120000</v>
      </c>
      <c r="J810" s="2" t="s">
        <v>1027</v>
      </c>
      <c r="K810" t="s">
        <v>1052</v>
      </c>
      <c r="L810" t="s">
        <v>1037</v>
      </c>
      <c r="M810" s="2" t="s">
        <v>1019</v>
      </c>
      <c r="N810">
        <v>3.6</v>
      </c>
    </row>
    <row r="811" spans="1:14" x14ac:dyDescent="0.3">
      <c r="A811" t="s">
        <v>823</v>
      </c>
      <c r="B811">
        <v>53</v>
      </c>
      <c r="C811" t="s">
        <v>1014</v>
      </c>
      <c r="D811" s="2" t="s">
        <v>1015</v>
      </c>
      <c r="E811" t="s">
        <v>1016</v>
      </c>
      <c r="F811" s="1">
        <v>45536</v>
      </c>
      <c r="G811" s="1">
        <v>45557</v>
      </c>
      <c r="H811" s="2">
        <v>21</v>
      </c>
      <c r="I811" s="2">
        <v>120000</v>
      </c>
      <c r="J811" s="2" t="s">
        <v>1027</v>
      </c>
      <c r="K811" t="s">
        <v>1052</v>
      </c>
      <c r="L811" t="s">
        <v>1018</v>
      </c>
      <c r="M811" s="2" t="s">
        <v>1019</v>
      </c>
      <c r="N811">
        <v>3.6</v>
      </c>
    </row>
    <row r="812" spans="1:14" x14ac:dyDescent="0.3">
      <c r="A812" t="s">
        <v>824</v>
      </c>
      <c r="B812">
        <v>52</v>
      </c>
      <c r="C812" t="s">
        <v>1014</v>
      </c>
      <c r="D812" s="2" t="s">
        <v>1015</v>
      </c>
      <c r="E812" t="s">
        <v>1016</v>
      </c>
      <c r="F812" s="1">
        <v>45537</v>
      </c>
      <c r="G812" s="1">
        <v>45558</v>
      </c>
      <c r="H812" s="2">
        <v>21</v>
      </c>
      <c r="I812" s="2">
        <v>120000</v>
      </c>
      <c r="J812" s="2" t="s">
        <v>1027</v>
      </c>
      <c r="K812" t="s">
        <v>1052</v>
      </c>
      <c r="L812" t="s">
        <v>1037</v>
      </c>
      <c r="M812" s="2" t="s">
        <v>1019</v>
      </c>
      <c r="N812">
        <v>3.6</v>
      </c>
    </row>
    <row r="813" spans="1:14" x14ac:dyDescent="0.3">
      <c r="A813" t="s">
        <v>825</v>
      </c>
      <c r="B813">
        <v>51</v>
      </c>
      <c r="C813" t="s">
        <v>1014</v>
      </c>
      <c r="D813" s="2" t="s">
        <v>1015</v>
      </c>
      <c r="E813" t="s">
        <v>1016</v>
      </c>
      <c r="F813" s="1">
        <v>45538</v>
      </c>
      <c r="G813" s="1">
        <v>45559</v>
      </c>
      <c r="H813" s="2">
        <v>21</v>
      </c>
      <c r="I813" s="2">
        <v>120000</v>
      </c>
      <c r="J813" s="2" t="s">
        <v>1027</v>
      </c>
      <c r="K813" t="s">
        <v>1052</v>
      </c>
      <c r="L813" t="s">
        <v>1037</v>
      </c>
      <c r="M813" s="2" t="s">
        <v>1019</v>
      </c>
      <c r="N813">
        <v>3.6</v>
      </c>
    </row>
    <row r="814" spans="1:14" x14ac:dyDescent="0.3">
      <c r="A814" t="s">
        <v>826</v>
      </c>
      <c r="B814">
        <v>54</v>
      </c>
      <c r="C814" t="s">
        <v>1014</v>
      </c>
      <c r="D814" s="2" t="s">
        <v>1015</v>
      </c>
      <c r="E814" t="s">
        <v>1016</v>
      </c>
      <c r="F814" s="1">
        <v>45539</v>
      </c>
      <c r="G814" s="1">
        <v>45560</v>
      </c>
      <c r="H814" s="2">
        <v>21</v>
      </c>
      <c r="I814" s="2">
        <v>120000</v>
      </c>
      <c r="J814" s="2" t="s">
        <v>1027</v>
      </c>
      <c r="K814" t="s">
        <v>1052</v>
      </c>
      <c r="L814" t="s">
        <v>1037</v>
      </c>
      <c r="M814" s="2" t="s">
        <v>1019</v>
      </c>
      <c r="N814">
        <v>3.6</v>
      </c>
    </row>
    <row r="815" spans="1:14" x14ac:dyDescent="0.3">
      <c r="A815" t="s">
        <v>827</v>
      </c>
      <c r="B815">
        <v>32</v>
      </c>
      <c r="C815" t="s">
        <v>1014</v>
      </c>
      <c r="D815" s="2" t="s">
        <v>1015</v>
      </c>
      <c r="E815" t="s">
        <v>1016</v>
      </c>
      <c r="F815" s="1">
        <v>45540</v>
      </c>
      <c r="G815" s="1">
        <v>45556</v>
      </c>
      <c r="H815" s="2">
        <v>16</v>
      </c>
      <c r="I815" s="2">
        <v>120000</v>
      </c>
      <c r="J815" s="2" t="s">
        <v>1027</v>
      </c>
      <c r="K815" t="s">
        <v>1052</v>
      </c>
      <c r="L815" t="s">
        <v>1018</v>
      </c>
      <c r="M815" s="2" t="s">
        <v>1019</v>
      </c>
      <c r="N815">
        <v>3.6</v>
      </c>
    </row>
    <row r="816" spans="1:14" x14ac:dyDescent="0.3">
      <c r="A816" t="s">
        <v>828</v>
      </c>
      <c r="B816">
        <v>34</v>
      </c>
      <c r="C816" t="s">
        <v>1014</v>
      </c>
      <c r="D816" s="2" t="s">
        <v>1015</v>
      </c>
      <c r="E816" t="s">
        <v>1016</v>
      </c>
      <c r="F816" s="1">
        <v>45541</v>
      </c>
      <c r="G816" s="1">
        <v>45557</v>
      </c>
      <c r="H816" s="2">
        <v>16</v>
      </c>
      <c r="I816" s="2">
        <v>120000</v>
      </c>
      <c r="J816" s="2" t="s">
        <v>1027</v>
      </c>
      <c r="K816" t="s">
        <v>1052</v>
      </c>
      <c r="L816" t="s">
        <v>1018</v>
      </c>
      <c r="M816" s="2" t="s">
        <v>1019</v>
      </c>
      <c r="N816">
        <v>3.6</v>
      </c>
    </row>
    <row r="817" spans="1:14" x14ac:dyDescent="0.3">
      <c r="A817" t="s">
        <v>829</v>
      </c>
      <c r="B817">
        <v>35</v>
      </c>
      <c r="C817" t="s">
        <v>1014</v>
      </c>
      <c r="D817" s="2" t="s">
        <v>1015</v>
      </c>
      <c r="E817" t="s">
        <v>1016</v>
      </c>
      <c r="F817" s="1">
        <v>45542</v>
      </c>
      <c r="G817" s="1">
        <v>45558</v>
      </c>
      <c r="H817" s="2">
        <v>16</v>
      </c>
      <c r="I817" s="2">
        <v>120000</v>
      </c>
      <c r="J817" s="2" t="s">
        <v>1027</v>
      </c>
      <c r="K817" t="s">
        <v>1052</v>
      </c>
      <c r="L817" t="s">
        <v>1037</v>
      </c>
      <c r="M817" s="2" t="s">
        <v>1019</v>
      </c>
      <c r="N817">
        <v>3.6</v>
      </c>
    </row>
    <row r="818" spans="1:14" x14ac:dyDescent="0.3">
      <c r="A818" t="s">
        <v>830</v>
      </c>
      <c r="B818">
        <v>36</v>
      </c>
      <c r="C818" t="s">
        <v>1014</v>
      </c>
      <c r="D818" s="2" t="s">
        <v>1015</v>
      </c>
      <c r="E818" t="s">
        <v>1016</v>
      </c>
      <c r="F818" s="1">
        <v>45543</v>
      </c>
      <c r="G818" s="1">
        <v>45559</v>
      </c>
      <c r="H818" s="2">
        <v>16</v>
      </c>
      <c r="I818" s="2">
        <v>120000</v>
      </c>
      <c r="J818" s="2" t="s">
        <v>1027</v>
      </c>
      <c r="K818" t="s">
        <v>1052</v>
      </c>
      <c r="L818" t="s">
        <v>1018</v>
      </c>
      <c r="M818" s="2" t="s">
        <v>1019</v>
      </c>
      <c r="N818">
        <v>3.6</v>
      </c>
    </row>
    <row r="819" spans="1:14" x14ac:dyDescent="0.3">
      <c r="A819" t="s">
        <v>831</v>
      </c>
      <c r="B819">
        <v>33</v>
      </c>
      <c r="C819" t="s">
        <v>1014</v>
      </c>
      <c r="D819" s="2" t="s">
        <v>1015</v>
      </c>
      <c r="E819" t="s">
        <v>1016</v>
      </c>
      <c r="F819" s="1">
        <v>45544</v>
      </c>
      <c r="G819" s="1">
        <v>45560</v>
      </c>
      <c r="H819" s="2">
        <v>16</v>
      </c>
      <c r="I819" s="2">
        <v>120000</v>
      </c>
      <c r="J819" s="2" t="s">
        <v>1027</v>
      </c>
      <c r="K819" t="s">
        <v>1052</v>
      </c>
      <c r="L819" t="s">
        <v>1037</v>
      </c>
      <c r="M819" s="2" t="s">
        <v>1019</v>
      </c>
      <c r="N819">
        <v>3.6</v>
      </c>
    </row>
    <row r="820" spans="1:14" x14ac:dyDescent="0.3">
      <c r="A820" t="s">
        <v>832</v>
      </c>
      <c r="B820">
        <v>56</v>
      </c>
      <c r="C820" t="s">
        <v>1014</v>
      </c>
      <c r="D820" s="2" t="s">
        <v>1015</v>
      </c>
      <c r="E820" t="s">
        <v>1016</v>
      </c>
      <c r="F820" s="1">
        <v>45545</v>
      </c>
      <c r="G820" s="1">
        <v>45561</v>
      </c>
      <c r="H820" s="2">
        <v>16</v>
      </c>
      <c r="I820" s="2">
        <v>120000</v>
      </c>
      <c r="J820" s="2" t="s">
        <v>1027</v>
      </c>
      <c r="K820" t="s">
        <v>1052</v>
      </c>
      <c r="M820" s="2" t="s">
        <v>1019</v>
      </c>
      <c r="N820">
        <v>3.6</v>
      </c>
    </row>
    <row r="821" spans="1:14" x14ac:dyDescent="0.3">
      <c r="A821" t="s">
        <v>833</v>
      </c>
      <c r="B821">
        <v>57</v>
      </c>
      <c r="C821" t="s">
        <v>1014</v>
      </c>
      <c r="D821" s="2" t="s">
        <v>1015</v>
      </c>
      <c r="E821" t="s">
        <v>1016</v>
      </c>
      <c r="F821" s="1">
        <v>45546</v>
      </c>
      <c r="G821" s="1">
        <v>45562</v>
      </c>
      <c r="H821" s="2">
        <v>16</v>
      </c>
      <c r="I821" s="2">
        <v>120000</v>
      </c>
      <c r="J821" s="2" t="s">
        <v>1027</v>
      </c>
      <c r="K821" t="s">
        <v>1052</v>
      </c>
      <c r="L821" t="s">
        <v>1018</v>
      </c>
      <c r="M821" s="2" t="s">
        <v>1019</v>
      </c>
      <c r="N821">
        <v>3.6</v>
      </c>
    </row>
    <row r="822" spans="1:14" x14ac:dyDescent="0.3">
      <c r="A822" t="s">
        <v>834</v>
      </c>
      <c r="B822">
        <v>58</v>
      </c>
      <c r="C822" t="s">
        <v>1014</v>
      </c>
      <c r="D822" s="2" t="s">
        <v>1015</v>
      </c>
      <c r="E822" t="s">
        <v>1016</v>
      </c>
      <c r="F822" s="1">
        <v>45547</v>
      </c>
      <c r="G822" s="1">
        <v>45563</v>
      </c>
      <c r="H822" s="2">
        <v>16</v>
      </c>
      <c r="I822" s="2">
        <v>120000</v>
      </c>
      <c r="J822" s="2" t="s">
        <v>1027</v>
      </c>
      <c r="K822" t="s">
        <v>1052</v>
      </c>
      <c r="L822" t="s">
        <v>1018</v>
      </c>
      <c r="M822" s="2" t="s">
        <v>1019</v>
      </c>
      <c r="N822">
        <v>3.6</v>
      </c>
    </row>
    <row r="823" spans="1:14" x14ac:dyDescent="0.3">
      <c r="A823" t="s">
        <v>835</v>
      </c>
      <c r="B823">
        <v>59</v>
      </c>
      <c r="C823" t="s">
        <v>1014</v>
      </c>
      <c r="D823" s="2" t="s">
        <v>1015</v>
      </c>
      <c r="E823" t="s">
        <v>1016</v>
      </c>
      <c r="F823" s="1">
        <v>45548</v>
      </c>
      <c r="G823" s="1">
        <v>45564</v>
      </c>
      <c r="H823" s="2">
        <v>16</v>
      </c>
      <c r="I823" s="2">
        <v>120000</v>
      </c>
      <c r="J823" s="2" t="s">
        <v>1027</v>
      </c>
      <c r="K823" t="s">
        <v>1052</v>
      </c>
      <c r="L823" t="s">
        <v>1037</v>
      </c>
      <c r="M823" s="2" t="s">
        <v>1019</v>
      </c>
      <c r="N823">
        <v>3.6</v>
      </c>
    </row>
    <row r="824" spans="1:14" x14ac:dyDescent="0.3">
      <c r="A824" t="s">
        <v>836</v>
      </c>
      <c r="B824">
        <v>50</v>
      </c>
      <c r="C824" t="s">
        <v>1014</v>
      </c>
      <c r="D824" s="2" t="s">
        <v>1015</v>
      </c>
      <c r="E824" t="s">
        <v>1016</v>
      </c>
      <c r="F824" s="1">
        <v>45549</v>
      </c>
      <c r="G824" s="1">
        <v>45565</v>
      </c>
      <c r="H824" s="2">
        <v>16</v>
      </c>
      <c r="I824" s="2">
        <v>120000</v>
      </c>
      <c r="J824" s="2" t="s">
        <v>1027</v>
      </c>
      <c r="K824" t="s">
        <v>1052</v>
      </c>
      <c r="L824" t="s">
        <v>1018</v>
      </c>
      <c r="M824" s="2" t="s">
        <v>1019</v>
      </c>
      <c r="N824">
        <v>3.6</v>
      </c>
    </row>
    <row r="825" spans="1:14" x14ac:dyDescent="0.3">
      <c r="A825" t="s">
        <v>837</v>
      </c>
      <c r="B825">
        <v>56</v>
      </c>
      <c r="C825" t="s">
        <v>1014</v>
      </c>
      <c r="D825" s="2" t="s">
        <v>1015</v>
      </c>
      <c r="E825" t="s">
        <v>1016</v>
      </c>
      <c r="F825" s="1">
        <v>45550</v>
      </c>
      <c r="G825" s="1">
        <v>45566</v>
      </c>
      <c r="H825" s="2">
        <v>16</v>
      </c>
      <c r="I825" s="2">
        <v>120000</v>
      </c>
      <c r="J825" s="2" t="s">
        <v>1027</v>
      </c>
      <c r="K825" t="s">
        <v>1052</v>
      </c>
      <c r="L825" t="s">
        <v>1037</v>
      </c>
      <c r="M825" s="2" t="s">
        <v>1019</v>
      </c>
      <c r="N825">
        <v>3.6</v>
      </c>
    </row>
    <row r="826" spans="1:14" x14ac:dyDescent="0.3">
      <c r="A826" t="s">
        <v>838</v>
      </c>
      <c r="B826">
        <v>51</v>
      </c>
      <c r="C826" t="s">
        <v>1014</v>
      </c>
      <c r="D826" s="2" t="s">
        <v>1015</v>
      </c>
      <c r="E826" t="s">
        <v>1016</v>
      </c>
      <c r="F826" s="1">
        <v>45551</v>
      </c>
      <c r="G826" s="1">
        <v>45567</v>
      </c>
      <c r="H826" s="2">
        <v>16</v>
      </c>
      <c r="I826" s="2">
        <v>120000</v>
      </c>
      <c r="J826" s="2" t="s">
        <v>1027</v>
      </c>
      <c r="K826" t="s">
        <v>1052</v>
      </c>
      <c r="L826" t="s">
        <v>1018</v>
      </c>
      <c r="M826" s="2" t="s">
        <v>1019</v>
      </c>
      <c r="N826">
        <v>3.6</v>
      </c>
    </row>
    <row r="827" spans="1:14" x14ac:dyDescent="0.3">
      <c r="A827" t="s">
        <v>839</v>
      </c>
      <c r="B827">
        <v>61</v>
      </c>
      <c r="C827" t="s">
        <v>1014</v>
      </c>
      <c r="D827" s="2" t="s">
        <v>1015</v>
      </c>
      <c r="E827" t="s">
        <v>1016</v>
      </c>
      <c r="F827" s="1">
        <v>45552</v>
      </c>
      <c r="G827" s="1">
        <v>45568</v>
      </c>
      <c r="H827" s="2">
        <v>16</v>
      </c>
      <c r="I827" s="2">
        <v>120000</v>
      </c>
      <c r="J827" s="2" t="s">
        <v>1027</v>
      </c>
      <c r="K827" t="s">
        <v>1052</v>
      </c>
      <c r="L827" t="s">
        <v>1037</v>
      </c>
      <c r="M827" s="2" t="s">
        <v>1019</v>
      </c>
      <c r="N827">
        <v>3.6</v>
      </c>
    </row>
    <row r="828" spans="1:14" x14ac:dyDescent="0.3">
      <c r="A828" t="s">
        <v>840</v>
      </c>
      <c r="B828">
        <v>62</v>
      </c>
      <c r="C828" t="s">
        <v>1014</v>
      </c>
      <c r="D828" s="2" t="s">
        <v>1015</v>
      </c>
      <c r="E828" t="s">
        <v>1167</v>
      </c>
      <c r="F828" s="1">
        <v>45553</v>
      </c>
      <c r="G828" s="1">
        <v>45569</v>
      </c>
      <c r="H828" s="2">
        <v>16</v>
      </c>
      <c r="I828" s="2">
        <v>120000</v>
      </c>
      <c r="J828" s="2" t="s">
        <v>1027</v>
      </c>
      <c r="K828" t="s">
        <v>1052</v>
      </c>
      <c r="L828" t="s">
        <v>1037</v>
      </c>
      <c r="M828" s="2" t="s">
        <v>1019</v>
      </c>
      <c r="N828">
        <v>3.6</v>
      </c>
    </row>
    <row r="829" spans="1:14" x14ac:dyDescent="0.3">
      <c r="A829" t="s">
        <v>841</v>
      </c>
      <c r="B829">
        <v>64</v>
      </c>
      <c r="C829" t="s">
        <v>1014</v>
      </c>
      <c r="D829" s="2" t="s">
        <v>1015</v>
      </c>
      <c r="E829" t="s">
        <v>1167</v>
      </c>
      <c r="F829" s="1">
        <v>45554</v>
      </c>
      <c r="G829" s="1">
        <v>45570</v>
      </c>
      <c r="H829" s="2">
        <v>16</v>
      </c>
      <c r="I829" s="2">
        <v>120000</v>
      </c>
      <c r="J829" s="2" t="s">
        <v>1027</v>
      </c>
      <c r="K829" t="s">
        <v>1052</v>
      </c>
      <c r="L829" t="s">
        <v>1037</v>
      </c>
      <c r="M829" s="2" t="s">
        <v>1019</v>
      </c>
      <c r="N829">
        <v>3.6</v>
      </c>
    </row>
    <row r="830" spans="1:14" x14ac:dyDescent="0.3">
      <c r="A830" t="s">
        <v>842</v>
      </c>
      <c r="B830">
        <v>67</v>
      </c>
      <c r="C830" t="s">
        <v>1014</v>
      </c>
      <c r="D830" s="2" t="s">
        <v>1029</v>
      </c>
      <c r="E830" t="s">
        <v>1030</v>
      </c>
      <c r="F830" s="1">
        <v>45555</v>
      </c>
      <c r="G830" s="1">
        <v>45571</v>
      </c>
      <c r="H830" s="2">
        <v>16</v>
      </c>
      <c r="I830" s="2">
        <v>120000</v>
      </c>
      <c r="J830" s="2" t="s">
        <v>1027</v>
      </c>
      <c r="K830" t="s">
        <v>1033</v>
      </c>
      <c r="L830" t="s">
        <v>1018</v>
      </c>
      <c r="M830" s="2" t="s">
        <v>1019</v>
      </c>
      <c r="N830">
        <v>3.6</v>
      </c>
    </row>
    <row r="831" spans="1:14" x14ac:dyDescent="0.3">
      <c r="A831" t="s">
        <v>843</v>
      </c>
      <c r="B831">
        <v>68</v>
      </c>
      <c r="C831" t="s">
        <v>1014</v>
      </c>
      <c r="D831" s="2" t="s">
        <v>1029</v>
      </c>
      <c r="E831" t="s">
        <v>1030</v>
      </c>
      <c r="F831" s="1">
        <v>45556</v>
      </c>
      <c r="G831" s="1">
        <v>45572</v>
      </c>
      <c r="H831" s="2">
        <v>16</v>
      </c>
      <c r="I831" s="2">
        <v>120000</v>
      </c>
      <c r="J831" s="2" t="s">
        <v>1027</v>
      </c>
      <c r="K831" t="s">
        <v>1033</v>
      </c>
      <c r="L831" t="s">
        <v>1018</v>
      </c>
      <c r="M831" s="2" t="s">
        <v>1019</v>
      </c>
      <c r="N831">
        <v>3.6</v>
      </c>
    </row>
    <row r="832" spans="1:14" x14ac:dyDescent="0.3">
      <c r="A832" t="s">
        <v>844</v>
      </c>
      <c r="B832">
        <v>69</v>
      </c>
      <c r="C832" t="s">
        <v>1014</v>
      </c>
      <c r="D832" s="2" t="s">
        <v>1029</v>
      </c>
      <c r="E832" t="s">
        <v>1030</v>
      </c>
      <c r="F832" s="1">
        <v>45557</v>
      </c>
      <c r="G832" s="1">
        <v>45573</v>
      </c>
      <c r="H832" s="2">
        <v>16</v>
      </c>
      <c r="I832" s="2">
        <v>120000</v>
      </c>
      <c r="J832" s="2" t="s">
        <v>1027</v>
      </c>
      <c r="K832" t="s">
        <v>1033</v>
      </c>
      <c r="L832" t="s">
        <v>1037</v>
      </c>
      <c r="M832" s="2" t="s">
        <v>1019</v>
      </c>
      <c r="N832">
        <v>3.6</v>
      </c>
    </row>
    <row r="833" spans="1:14" x14ac:dyDescent="0.3">
      <c r="A833" t="s">
        <v>845</v>
      </c>
      <c r="B833">
        <v>70</v>
      </c>
      <c r="C833" t="s">
        <v>1014</v>
      </c>
      <c r="D833" s="2" t="s">
        <v>1029</v>
      </c>
      <c r="E833" t="s">
        <v>1030</v>
      </c>
      <c r="F833" s="1">
        <v>45558</v>
      </c>
      <c r="G833" s="1">
        <v>45574</v>
      </c>
      <c r="H833" s="2">
        <v>16</v>
      </c>
      <c r="I833" s="2">
        <v>120000</v>
      </c>
      <c r="J833" s="2" t="s">
        <v>1027</v>
      </c>
      <c r="K833" t="s">
        <v>1033</v>
      </c>
      <c r="L833" t="s">
        <v>1018</v>
      </c>
      <c r="M833" s="2" t="s">
        <v>1019</v>
      </c>
      <c r="N833">
        <v>3.6</v>
      </c>
    </row>
    <row r="834" spans="1:14" x14ac:dyDescent="0.3">
      <c r="A834" t="s">
        <v>846</v>
      </c>
      <c r="B834">
        <v>65</v>
      </c>
      <c r="C834" t="s">
        <v>1014</v>
      </c>
      <c r="D834" s="2" t="s">
        <v>1029</v>
      </c>
      <c r="E834" t="s">
        <v>1030</v>
      </c>
      <c r="F834" s="1">
        <v>45559</v>
      </c>
      <c r="G834" s="1">
        <v>45575</v>
      </c>
      <c r="H834" s="2">
        <v>16</v>
      </c>
      <c r="I834" s="2">
        <v>120000</v>
      </c>
      <c r="J834" s="2" t="s">
        <v>1027</v>
      </c>
      <c r="K834" t="s">
        <v>1033</v>
      </c>
      <c r="L834" t="s">
        <v>1037</v>
      </c>
      <c r="M834" s="2" t="s">
        <v>1019</v>
      </c>
      <c r="N834">
        <v>3.6</v>
      </c>
    </row>
    <row r="835" spans="1:14" x14ac:dyDescent="0.3">
      <c r="A835" t="s">
        <v>847</v>
      </c>
      <c r="B835">
        <v>67</v>
      </c>
      <c r="C835" t="s">
        <v>1014</v>
      </c>
      <c r="D835" s="2" t="s">
        <v>1029</v>
      </c>
      <c r="E835" t="s">
        <v>1030</v>
      </c>
      <c r="F835" s="1">
        <v>45560</v>
      </c>
      <c r="G835" s="1">
        <v>45578</v>
      </c>
      <c r="H835" s="2">
        <v>12</v>
      </c>
      <c r="I835" s="2">
        <v>120000</v>
      </c>
      <c r="J835" s="2" t="s">
        <v>1027</v>
      </c>
      <c r="K835" t="s">
        <v>1033</v>
      </c>
      <c r="M835" s="2" t="s">
        <v>1019</v>
      </c>
      <c r="N835">
        <v>3.6</v>
      </c>
    </row>
    <row r="836" spans="1:14" x14ac:dyDescent="0.3">
      <c r="A836" t="s">
        <v>848</v>
      </c>
      <c r="B836">
        <v>54</v>
      </c>
      <c r="C836" t="s">
        <v>1014</v>
      </c>
      <c r="D836" s="2" t="s">
        <v>1029</v>
      </c>
      <c r="E836" t="s">
        <v>1030</v>
      </c>
      <c r="F836" s="1">
        <v>45561</v>
      </c>
      <c r="G836" s="1">
        <v>45579</v>
      </c>
      <c r="H836" s="2">
        <v>12</v>
      </c>
      <c r="I836" s="2">
        <v>120000</v>
      </c>
      <c r="J836" s="2" t="s">
        <v>1027</v>
      </c>
      <c r="K836" t="s">
        <v>1033</v>
      </c>
      <c r="L836" t="s">
        <v>1018</v>
      </c>
      <c r="M836" s="2" t="s">
        <v>1019</v>
      </c>
      <c r="N836">
        <v>3.6</v>
      </c>
    </row>
    <row r="837" spans="1:14" x14ac:dyDescent="0.3">
      <c r="A837" t="s">
        <v>849</v>
      </c>
      <c r="B837">
        <v>53</v>
      </c>
      <c r="C837" t="s">
        <v>1014</v>
      </c>
      <c r="D837" s="2" t="s">
        <v>1029</v>
      </c>
      <c r="E837" t="s">
        <v>1030</v>
      </c>
      <c r="F837" s="1">
        <v>45562</v>
      </c>
      <c r="G837" s="1">
        <v>45580</v>
      </c>
      <c r="H837" s="2">
        <v>12</v>
      </c>
      <c r="I837" s="2">
        <v>120000</v>
      </c>
      <c r="J837" s="2" t="s">
        <v>1027</v>
      </c>
      <c r="K837" t="s">
        <v>1033</v>
      </c>
      <c r="L837" t="s">
        <v>1018</v>
      </c>
      <c r="M837" s="2" t="s">
        <v>1019</v>
      </c>
      <c r="N837">
        <v>3.6</v>
      </c>
    </row>
    <row r="838" spans="1:14" x14ac:dyDescent="0.3">
      <c r="A838" t="s">
        <v>850</v>
      </c>
      <c r="B838">
        <v>57</v>
      </c>
      <c r="C838" t="s">
        <v>1014</v>
      </c>
      <c r="D838" s="2" t="s">
        <v>1029</v>
      </c>
      <c r="E838" t="s">
        <v>1030</v>
      </c>
      <c r="F838" s="1">
        <v>45563</v>
      </c>
      <c r="G838" s="1">
        <v>45581</v>
      </c>
      <c r="H838" s="2">
        <v>12</v>
      </c>
      <c r="I838" s="2">
        <v>120000</v>
      </c>
      <c r="J838" s="2" t="s">
        <v>1027</v>
      </c>
      <c r="K838" t="s">
        <v>1033</v>
      </c>
      <c r="L838" t="s">
        <v>1037</v>
      </c>
      <c r="M838" s="2" t="s">
        <v>1019</v>
      </c>
      <c r="N838">
        <v>3.6</v>
      </c>
    </row>
    <row r="839" spans="1:14" x14ac:dyDescent="0.3">
      <c r="A839" t="s">
        <v>851</v>
      </c>
      <c r="B839">
        <v>58</v>
      </c>
      <c r="C839" t="s">
        <v>1014</v>
      </c>
      <c r="D839" s="2" t="s">
        <v>1029</v>
      </c>
      <c r="E839" t="s">
        <v>1057</v>
      </c>
      <c r="F839" s="1">
        <v>45564</v>
      </c>
      <c r="G839" s="1">
        <v>45582</v>
      </c>
      <c r="H839" s="2">
        <v>12</v>
      </c>
      <c r="I839" s="2">
        <v>120000</v>
      </c>
      <c r="J839" s="2" t="s">
        <v>1027</v>
      </c>
      <c r="K839" t="s">
        <v>1033</v>
      </c>
      <c r="L839" t="s">
        <v>1018</v>
      </c>
      <c r="M839" s="2" t="s">
        <v>1019</v>
      </c>
      <c r="N839">
        <v>3.6</v>
      </c>
    </row>
    <row r="840" spans="1:14" x14ac:dyDescent="0.3">
      <c r="A840" t="s">
        <v>852</v>
      </c>
      <c r="B840">
        <v>59</v>
      </c>
      <c r="C840" t="s">
        <v>1014</v>
      </c>
      <c r="D840" s="2" t="s">
        <v>1029</v>
      </c>
      <c r="E840" t="s">
        <v>1057</v>
      </c>
      <c r="F840" s="1">
        <v>45565</v>
      </c>
      <c r="G840" s="1">
        <v>45583</v>
      </c>
      <c r="H840" s="2">
        <v>12</v>
      </c>
      <c r="I840" s="2">
        <v>120000</v>
      </c>
      <c r="J840" s="2" t="s">
        <v>1027</v>
      </c>
      <c r="K840" t="s">
        <v>1033</v>
      </c>
      <c r="L840" t="s">
        <v>1037</v>
      </c>
      <c r="M840" s="2" t="s">
        <v>1019</v>
      </c>
      <c r="N840">
        <v>3.6</v>
      </c>
    </row>
    <row r="841" spans="1:14" x14ac:dyDescent="0.3">
      <c r="A841" t="s">
        <v>853</v>
      </c>
      <c r="B841">
        <v>50</v>
      </c>
      <c r="C841" t="s">
        <v>1014</v>
      </c>
      <c r="D841" s="2" t="s">
        <v>1029</v>
      </c>
      <c r="E841" t="s">
        <v>1057</v>
      </c>
      <c r="F841" s="1">
        <v>45566</v>
      </c>
      <c r="G841" s="1">
        <v>45584</v>
      </c>
      <c r="H841" s="2">
        <v>12</v>
      </c>
      <c r="I841" s="2">
        <v>120000</v>
      </c>
      <c r="J841" s="2" t="s">
        <v>1027</v>
      </c>
      <c r="K841" t="s">
        <v>1033</v>
      </c>
      <c r="L841" t="s">
        <v>1018</v>
      </c>
      <c r="M841" s="2" t="s">
        <v>1019</v>
      </c>
      <c r="N841">
        <v>3.6</v>
      </c>
    </row>
    <row r="842" spans="1:14" x14ac:dyDescent="0.3">
      <c r="A842" t="s">
        <v>854</v>
      </c>
      <c r="B842">
        <v>43</v>
      </c>
      <c r="C842" t="s">
        <v>1014</v>
      </c>
      <c r="D842" s="2" t="s">
        <v>1029</v>
      </c>
      <c r="E842" t="s">
        <v>1057</v>
      </c>
      <c r="F842" s="1">
        <v>45567</v>
      </c>
      <c r="G842" s="1">
        <v>45585</v>
      </c>
      <c r="H842" s="2">
        <v>12</v>
      </c>
      <c r="I842" s="2">
        <v>120000</v>
      </c>
      <c r="J842" s="2" t="s">
        <v>1027</v>
      </c>
      <c r="K842" t="s">
        <v>1033</v>
      </c>
      <c r="L842" t="s">
        <v>1037</v>
      </c>
      <c r="M842" s="2" t="s">
        <v>1019</v>
      </c>
      <c r="N842">
        <v>3.6</v>
      </c>
    </row>
    <row r="843" spans="1:14" x14ac:dyDescent="0.3">
      <c r="A843" t="s">
        <v>855</v>
      </c>
      <c r="B843">
        <v>44</v>
      </c>
      <c r="C843" t="s">
        <v>1014</v>
      </c>
      <c r="D843" s="2" t="s">
        <v>1029</v>
      </c>
      <c r="E843" t="s">
        <v>1057</v>
      </c>
      <c r="F843" s="1">
        <v>45568</v>
      </c>
      <c r="G843" s="1">
        <v>45586</v>
      </c>
      <c r="H843" s="2">
        <v>12</v>
      </c>
      <c r="I843" s="2">
        <v>120000</v>
      </c>
      <c r="J843" s="2" t="s">
        <v>1027</v>
      </c>
      <c r="K843" t="s">
        <v>1033</v>
      </c>
      <c r="L843" t="s">
        <v>1037</v>
      </c>
      <c r="M843" s="2" t="s">
        <v>1019</v>
      </c>
      <c r="N843">
        <v>3.6</v>
      </c>
    </row>
    <row r="844" spans="1:14" x14ac:dyDescent="0.3">
      <c r="A844" t="s">
        <v>856</v>
      </c>
      <c r="B844">
        <v>45</v>
      </c>
      <c r="C844" t="s">
        <v>1014</v>
      </c>
      <c r="D844" s="2" t="s">
        <v>1029</v>
      </c>
      <c r="E844" t="s">
        <v>1057</v>
      </c>
      <c r="F844" s="1">
        <v>45569</v>
      </c>
      <c r="G844" s="1">
        <v>45587</v>
      </c>
      <c r="H844" s="2">
        <v>12</v>
      </c>
      <c r="I844" s="2">
        <v>120000</v>
      </c>
      <c r="J844" s="2" t="s">
        <v>1027</v>
      </c>
      <c r="K844" t="s">
        <v>1033</v>
      </c>
      <c r="L844" t="s">
        <v>1037</v>
      </c>
      <c r="M844" s="2" t="s">
        <v>1019</v>
      </c>
      <c r="N844">
        <v>3.6</v>
      </c>
    </row>
    <row r="845" spans="1:14" x14ac:dyDescent="0.3">
      <c r="A845" t="s">
        <v>857</v>
      </c>
      <c r="B845">
        <v>43</v>
      </c>
      <c r="C845" t="s">
        <v>1014</v>
      </c>
      <c r="D845" s="2" t="s">
        <v>1029</v>
      </c>
      <c r="E845" t="s">
        <v>1057</v>
      </c>
      <c r="F845" s="1">
        <v>45570</v>
      </c>
      <c r="G845" s="1">
        <v>45588</v>
      </c>
      <c r="H845" s="2">
        <v>12</v>
      </c>
      <c r="I845" s="2">
        <v>120000</v>
      </c>
      <c r="J845" s="2" t="s">
        <v>1027</v>
      </c>
      <c r="K845" t="s">
        <v>1033</v>
      </c>
      <c r="L845" t="s">
        <v>1018</v>
      </c>
      <c r="M845" s="2" t="s">
        <v>1019</v>
      </c>
      <c r="N845">
        <v>3.6</v>
      </c>
    </row>
    <row r="846" spans="1:14" x14ac:dyDescent="0.3">
      <c r="A846" t="s">
        <v>858</v>
      </c>
      <c r="B846">
        <v>42</v>
      </c>
      <c r="C846" t="s">
        <v>1014</v>
      </c>
      <c r="D846" s="2" t="s">
        <v>1029</v>
      </c>
      <c r="E846" t="s">
        <v>1057</v>
      </c>
      <c r="F846" s="1">
        <v>45571</v>
      </c>
      <c r="G846" s="1">
        <v>45589</v>
      </c>
      <c r="H846" s="2">
        <v>12</v>
      </c>
      <c r="I846" s="2">
        <v>120000</v>
      </c>
      <c r="J846" s="2" t="s">
        <v>1027</v>
      </c>
      <c r="K846" t="s">
        <v>1033</v>
      </c>
      <c r="L846" t="s">
        <v>1018</v>
      </c>
      <c r="M846" s="2" t="s">
        <v>1019</v>
      </c>
      <c r="N846">
        <v>3.6</v>
      </c>
    </row>
    <row r="847" spans="1:14" x14ac:dyDescent="0.3">
      <c r="A847" t="s">
        <v>859</v>
      </c>
      <c r="B847">
        <v>51</v>
      </c>
      <c r="C847" t="s">
        <v>1014</v>
      </c>
      <c r="D847" s="2" t="s">
        <v>1029</v>
      </c>
      <c r="E847" t="s">
        <v>1057</v>
      </c>
      <c r="F847" s="1">
        <v>45572</v>
      </c>
      <c r="G847" s="1">
        <v>45590</v>
      </c>
      <c r="H847" s="2">
        <v>12</v>
      </c>
      <c r="I847" s="2">
        <v>120000</v>
      </c>
      <c r="J847" s="2" t="s">
        <v>1027</v>
      </c>
      <c r="K847" t="s">
        <v>1033</v>
      </c>
      <c r="L847" t="s">
        <v>1037</v>
      </c>
      <c r="M847" s="2" t="s">
        <v>1019</v>
      </c>
      <c r="N847">
        <v>3.6</v>
      </c>
    </row>
    <row r="848" spans="1:14" x14ac:dyDescent="0.3">
      <c r="A848" t="s">
        <v>860</v>
      </c>
      <c r="B848">
        <v>32</v>
      </c>
      <c r="C848" t="s">
        <v>1014</v>
      </c>
      <c r="D848" s="2" t="s">
        <v>1029</v>
      </c>
      <c r="E848" t="s">
        <v>1057</v>
      </c>
      <c r="F848" s="1">
        <v>45573</v>
      </c>
      <c r="G848" s="1">
        <v>45591</v>
      </c>
      <c r="H848" s="2">
        <v>12</v>
      </c>
      <c r="I848" s="2">
        <v>120000</v>
      </c>
      <c r="J848" s="2" t="s">
        <v>1027</v>
      </c>
      <c r="K848" t="s">
        <v>1033</v>
      </c>
      <c r="L848" t="s">
        <v>1018</v>
      </c>
      <c r="M848" s="2" t="s">
        <v>1019</v>
      </c>
      <c r="N848">
        <v>3.6</v>
      </c>
    </row>
    <row r="849" spans="1:14" x14ac:dyDescent="0.3">
      <c r="A849" t="s">
        <v>861</v>
      </c>
      <c r="B849">
        <v>43</v>
      </c>
      <c r="C849" t="s">
        <v>1014</v>
      </c>
      <c r="D849" s="2" t="s">
        <v>1029</v>
      </c>
      <c r="E849" t="s">
        <v>1057</v>
      </c>
      <c r="F849" s="1">
        <v>45574</v>
      </c>
      <c r="G849" s="1">
        <v>45592</v>
      </c>
      <c r="H849" s="2">
        <v>12</v>
      </c>
      <c r="I849" s="2">
        <v>120000</v>
      </c>
      <c r="J849" s="2" t="s">
        <v>1027</v>
      </c>
      <c r="K849" t="s">
        <v>1033</v>
      </c>
      <c r="L849" t="s">
        <v>1037</v>
      </c>
      <c r="M849" s="2" t="s">
        <v>1019</v>
      </c>
      <c r="N849">
        <v>3.6</v>
      </c>
    </row>
    <row r="850" spans="1:14" x14ac:dyDescent="0.3">
      <c r="A850" t="s">
        <v>862</v>
      </c>
      <c r="B850">
        <v>54</v>
      </c>
      <c r="C850" t="s">
        <v>1014</v>
      </c>
      <c r="D850" s="2" t="s">
        <v>1029</v>
      </c>
      <c r="E850" t="s">
        <v>1057</v>
      </c>
      <c r="F850" s="1">
        <v>45575</v>
      </c>
      <c r="G850" s="1">
        <v>45591</v>
      </c>
      <c r="H850" s="2">
        <v>16</v>
      </c>
      <c r="I850" s="2">
        <v>120000</v>
      </c>
      <c r="J850" s="2" t="s">
        <v>1027</v>
      </c>
      <c r="K850" t="s">
        <v>1033</v>
      </c>
      <c r="M850" s="2" t="s">
        <v>1019</v>
      </c>
      <c r="N850">
        <v>3.6</v>
      </c>
    </row>
    <row r="851" spans="1:14" x14ac:dyDescent="0.3">
      <c r="A851" t="s">
        <v>863</v>
      </c>
      <c r="B851">
        <v>65</v>
      </c>
      <c r="C851" t="s">
        <v>1014</v>
      </c>
      <c r="D851" s="2" t="s">
        <v>1029</v>
      </c>
      <c r="E851" t="s">
        <v>1057</v>
      </c>
      <c r="F851" s="1">
        <v>45576</v>
      </c>
      <c r="G851" s="1">
        <v>45592</v>
      </c>
      <c r="H851" s="2">
        <v>16</v>
      </c>
      <c r="I851" s="2">
        <v>120000</v>
      </c>
      <c r="J851" s="2" t="s">
        <v>1027</v>
      </c>
      <c r="K851" t="s">
        <v>1033</v>
      </c>
      <c r="L851" t="s">
        <v>1018</v>
      </c>
      <c r="M851" s="2" t="s">
        <v>1019</v>
      </c>
      <c r="N851">
        <v>3.6</v>
      </c>
    </row>
    <row r="852" spans="1:14" x14ac:dyDescent="0.3">
      <c r="A852" t="s">
        <v>864</v>
      </c>
      <c r="B852">
        <v>76</v>
      </c>
      <c r="C852" t="s">
        <v>1014</v>
      </c>
      <c r="D852" s="2" t="s">
        <v>1029</v>
      </c>
      <c r="E852" t="s">
        <v>1057</v>
      </c>
      <c r="F852" s="1">
        <v>45577</v>
      </c>
      <c r="G852" s="1">
        <v>45593</v>
      </c>
      <c r="H852" s="2">
        <v>16</v>
      </c>
      <c r="I852" s="2">
        <v>120000</v>
      </c>
      <c r="J852" s="2" t="s">
        <v>1027</v>
      </c>
      <c r="K852" t="s">
        <v>1033</v>
      </c>
      <c r="L852" t="s">
        <v>1018</v>
      </c>
      <c r="M852" s="2" t="s">
        <v>1019</v>
      </c>
      <c r="N852">
        <v>3.6</v>
      </c>
    </row>
    <row r="853" spans="1:14" x14ac:dyDescent="0.3">
      <c r="A853" t="s">
        <v>865</v>
      </c>
      <c r="B853">
        <v>87</v>
      </c>
      <c r="C853" t="s">
        <v>1014</v>
      </c>
      <c r="D853" s="2" t="s">
        <v>1029</v>
      </c>
      <c r="E853" t="s">
        <v>1057</v>
      </c>
      <c r="F853" s="1">
        <v>45578</v>
      </c>
      <c r="G853" s="1">
        <v>45594</v>
      </c>
      <c r="H853" s="2">
        <v>16</v>
      </c>
      <c r="I853" s="2">
        <v>120000</v>
      </c>
      <c r="J853" s="2" t="s">
        <v>1027</v>
      </c>
      <c r="K853" t="s">
        <v>1033</v>
      </c>
      <c r="L853" t="s">
        <v>1037</v>
      </c>
      <c r="M853" s="2" t="s">
        <v>1019</v>
      </c>
      <c r="N853">
        <v>3.6</v>
      </c>
    </row>
    <row r="854" spans="1:14" x14ac:dyDescent="0.3">
      <c r="A854" t="s">
        <v>866</v>
      </c>
      <c r="B854">
        <v>98</v>
      </c>
      <c r="C854" t="s">
        <v>1014</v>
      </c>
      <c r="D854" s="2" t="s">
        <v>1029</v>
      </c>
      <c r="E854" t="s">
        <v>1057</v>
      </c>
      <c r="F854" s="1">
        <v>45579</v>
      </c>
      <c r="G854" s="1">
        <v>45595</v>
      </c>
      <c r="H854" s="2">
        <v>16</v>
      </c>
      <c r="I854" s="2">
        <v>120000</v>
      </c>
      <c r="J854" s="2" t="s">
        <v>1027</v>
      </c>
      <c r="K854" t="s">
        <v>1033</v>
      </c>
      <c r="L854" t="s">
        <v>1018</v>
      </c>
      <c r="M854" s="2" t="s">
        <v>1019</v>
      </c>
      <c r="N854">
        <v>3.6</v>
      </c>
    </row>
    <row r="855" spans="1:14" x14ac:dyDescent="0.3">
      <c r="A855" t="s">
        <v>867</v>
      </c>
      <c r="B855">
        <v>9</v>
      </c>
      <c r="C855" t="s">
        <v>1014</v>
      </c>
      <c r="D855" s="2" t="s">
        <v>1029</v>
      </c>
      <c r="E855" t="s">
        <v>1057</v>
      </c>
      <c r="F855" s="1">
        <v>45580</v>
      </c>
      <c r="G855" s="1">
        <v>45596</v>
      </c>
      <c r="H855" s="2">
        <v>16</v>
      </c>
      <c r="I855" s="2">
        <v>120000</v>
      </c>
      <c r="J855" s="2" t="s">
        <v>1027</v>
      </c>
      <c r="K855" t="s">
        <v>1033</v>
      </c>
      <c r="L855" t="s">
        <v>1037</v>
      </c>
      <c r="M855" s="2" t="s">
        <v>1019</v>
      </c>
      <c r="N855">
        <v>3.6</v>
      </c>
    </row>
    <row r="856" spans="1:14" x14ac:dyDescent="0.3">
      <c r="A856" t="s">
        <v>868</v>
      </c>
      <c r="B856">
        <v>12</v>
      </c>
      <c r="C856" t="s">
        <v>1014</v>
      </c>
      <c r="D856" s="2" t="s">
        <v>1029</v>
      </c>
      <c r="E856" t="s">
        <v>1057</v>
      </c>
      <c r="F856" s="1">
        <v>45581</v>
      </c>
      <c r="G856" s="1">
        <v>45597</v>
      </c>
      <c r="H856" s="2">
        <v>16</v>
      </c>
      <c r="I856" s="2">
        <v>120000</v>
      </c>
      <c r="J856" s="2" t="s">
        <v>1027</v>
      </c>
      <c r="K856" t="s">
        <v>1033</v>
      </c>
      <c r="L856" t="s">
        <v>1018</v>
      </c>
      <c r="M856" s="2" t="s">
        <v>1019</v>
      </c>
      <c r="N856">
        <v>3.6</v>
      </c>
    </row>
    <row r="857" spans="1:14" x14ac:dyDescent="0.3">
      <c r="A857" t="s">
        <v>869</v>
      </c>
      <c r="B857">
        <v>34</v>
      </c>
      <c r="C857" t="s">
        <v>1014</v>
      </c>
      <c r="D857" s="2" t="s">
        <v>1029</v>
      </c>
      <c r="E857" t="s">
        <v>1057</v>
      </c>
      <c r="F857" s="1">
        <v>45582</v>
      </c>
      <c r="G857" s="1">
        <v>45598</v>
      </c>
      <c r="H857" s="2">
        <v>16</v>
      </c>
      <c r="I857" s="2">
        <v>120000</v>
      </c>
      <c r="J857" s="2" t="s">
        <v>1027</v>
      </c>
      <c r="K857" t="s">
        <v>1033</v>
      </c>
      <c r="L857" t="s">
        <v>1037</v>
      </c>
      <c r="M857" s="2" t="s">
        <v>1019</v>
      </c>
      <c r="N857">
        <v>3.6</v>
      </c>
    </row>
    <row r="858" spans="1:14" x14ac:dyDescent="0.3">
      <c r="A858" t="s">
        <v>870</v>
      </c>
      <c r="B858">
        <v>32</v>
      </c>
      <c r="C858" t="s">
        <v>1014</v>
      </c>
      <c r="D858" s="2" t="s">
        <v>1029</v>
      </c>
      <c r="E858" t="s">
        <v>1057</v>
      </c>
      <c r="F858" s="1">
        <v>45583</v>
      </c>
      <c r="G858" s="1">
        <v>45599</v>
      </c>
      <c r="H858" s="2">
        <v>16</v>
      </c>
      <c r="I858" s="2">
        <v>120000</v>
      </c>
      <c r="J858" s="2" t="s">
        <v>1027</v>
      </c>
      <c r="K858" t="s">
        <v>1033</v>
      </c>
      <c r="L858" t="s">
        <v>1037</v>
      </c>
      <c r="M858" s="2" t="s">
        <v>1019</v>
      </c>
      <c r="N858">
        <v>3.6</v>
      </c>
    </row>
    <row r="859" spans="1:14" x14ac:dyDescent="0.3">
      <c r="A859" t="s">
        <v>871</v>
      </c>
      <c r="B859">
        <v>43</v>
      </c>
      <c r="C859" t="s">
        <v>1014</v>
      </c>
      <c r="D859" s="2" t="s">
        <v>1029</v>
      </c>
      <c r="E859" t="s">
        <v>1057</v>
      </c>
      <c r="F859" s="1">
        <v>45584</v>
      </c>
      <c r="G859" s="1">
        <v>45600</v>
      </c>
      <c r="H859" s="2">
        <v>16</v>
      </c>
      <c r="I859" s="2">
        <v>120000</v>
      </c>
      <c r="J859" s="2" t="s">
        <v>1027</v>
      </c>
      <c r="K859" t="s">
        <v>1033</v>
      </c>
      <c r="L859" t="s">
        <v>1037</v>
      </c>
      <c r="M859" s="2" t="s">
        <v>1019</v>
      </c>
      <c r="N859">
        <v>3.6</v>
      </c>
    </row>
    <row r="860" spans="1:14" x14ac:dyDescent="0.3">
      <c r="A860" t="s">
        <v>872</v>
      </c>
      <c r="B860">
        <v>32</v>
      </c>
      <c r="C860" t="s">
        <v>1014</v>
      </c>
      <c r="D860" s="2" t="s">
        <v>1029</v>
      </c>
      <c r="E860" t="s">
        <v>1057</v>
      </c>
      <c r="F860" s="1">
        <v>45585</v>
      </c>
      <c r="G860" s="1">
        <v>45601</v>
      </c>
      <c r="H860" s="2">
        <v>16</v>
      </c>
      <c r="I860" s="2">
        <v>120000</v>
      </c>
      <c r="J860" s="2" t="s">
        <v>1027</v>
      </c>
      <c r="K860" t="s">
        <v>1033</v>
      </c>
      <c r="L860" t="s">
        <v>1018</v>
      </c>
      <c r="M860" s="2" t="s">
        <v>1019</v>
      </c>
      <c r="N860">
        <v>3.6</v>
      </c>
    </row>
    <row r="861" spans="1:14" x14ac:dyDescent="0.3">
      <c r="A861" t="s">
        <v>873</v>
      </c>
      <c r="B861">
        <v>31</v>
      </c>
      <c r="C861" t="s">
        <v>1014</v>
      </c>
      <c r="D861" s="2" t="s">
        <v>1029</v>
      </c>
      <c r="E861" t="s">
        <v>1057</v>
      </c>
      <c r="F861" s="1">
        <v>45586</v>
      </c>
      <c r="G861" s="1">
        <v>45602</v>
      </c>
      <c r="H861" s="2">
        <v>16</v>
      </c>
      <c r="I861" s="2">
        <v>120000</v>
      </c>
      <c r="J861" s="2" t="s">
        <v>1027</v>
      </c>
      <c r="K861" t="s">
        <v>1033</v>
      </c>
      <c r="L861" t="s">
        <v>1018</v>
      </c>
      <c r="M861" s="2" t="s">
        <v>1019</v>
      </c>
      <c r="N861">
        <v>3.6</v>
      </c>
    </row>
    <row r="862" spans="1:14" x14ac:dyDescent="0.3">
      <c r="A862" t="s">
        <v>874</v>
      </c>
      <c r="B862">
        <v>25</v>
      </c>
      <c r="C862" t="s">
        <v>1014</v>
      </c>
      <c r="D862" s="2" t="s">
        <v>1029</v>
      </c>
      <c r="E862" t="s">
        <v>1057</v>
      </c>
      <c r="F862" s="1">
        <v>45587</v>
      </c>
      <c r="G862" s="1">
        <v>45603</v>
      </c>
      <c r="H862" s="2">
        <v>16</v>
      </c>
      <c r="I862" s="2">
        <v>120000</v>
      </c>
      <c r="J862" s="2" t="s">
        <v>1027</v>
      </c>
      <c r="K862" t="s">
        <v>1033</v>
      </c>
      <c r="L862" t="s">
        <v>1037</v>
      </c>
      <c r="M862" s="2" t="s">
        <v>1019</v>
      </c>
      <c r="N862">
        <v>3.6</v>
      </c>
    </row>
    <row r="863" spans="1:14" x14ac:dyDescent="0.3">
      <c r="A863" t="s">
        <v>875</v>
      </c>
      <c r="B863">
        <v>26</v>
      </c>
      <c r="C863" t="s">
        <v>1014</v>
      </c>
      <c r="D863" s="2" t="s">
        <v>1029</v>
      </c>
      <c r="E863" t="s">
        <v>1057</v>
      </c>
      <c r="F863" s="1">
        <v>45588</v>
      </c>
      <c r="G863" s="1">
        <v>45604</v>
      </c>
      <c r="H863" s="2">
        <v>16</v>
      </c>
      <c r="I863" s="2">
        <v>120000</v>
      </c>
      <c r="J863" s="2" t="s">
        <v>1027</v>
      </c>
      <c r="K863" t="s">
        <v>1033</v>
      </c>
      <c r="L863" t="s">
        <v>1018</v>
      </c>
      <c r="M863" s="2" t="s">
        <v>1019</v>
      </c>
      <c r="N863">
        <v>3.6</v>
      </c>
    </row>
    <row r="864" spans="1:14" x14ac:dyDescent="0.3">
      <c r="A864" t="s">
        <v>876</v>
      </c>
      <c r="B864">
        <v>27</v>
      </c>
      <c r="C864" t="s">
        <v>1014</v>
      </c>
      <c r="D864" s="2" t="s">
        <v>1029</v>
      </c>
      <c r="E864" t="s">
        <v>1057</v>
      </c>
      <c r="F864" s="1">
        <v>45589</v>
      </c>
      <c r="G864" s="1">
        <v>45605</v>
      </c>
      <c r="H864" s="2">
        <v>16</v>
      </c>
      <c r="I864" s="2">
        <v>120000</v>
      </c>
      <c r="J864" s="2" t="s">
        <v>1027</v>
      </c>
      <c r="K864" t="s">
        <v>1033</v>
      </c>
      <c r="L864" t="s">
        <v>1037</v>
      </c>
      <c r="M864" s="2" t="s">
        <v>1019</v>
      </c>
      <c r="N864">
        <v>3.6</v>
      </c>
    </row>
    <row r="865" spans="1:14" x14ac:dyDescent="0.3">
      <c r="A865" t="s">
        <v>877</v>
      </c>
      <c r="B865">
        <v>28</v>
      </c>
      <c r="C865" t="s">
        <v>1014</v>
      </c>
      <c r="D865" s="2" t="s">
        <v>1029</v>
      </c>
      <c r="E865" t="s">
        <v>1057</v>
      </c>
      <c r="F865" s="1">
        <v>45590</v>
      </c>
      <c r="G865" s="1">
        <v>45606</v>
      </c>
      <c r="H865" s="2">
        <v>16</v>
      </c>
      <c r="I865" s="2">
        <v>120000</v>
      </c>
      <c r="J865" s="2" t="s">
        <v>1027</v>
      </c>
      <c r="K865" t="s">
        <v>1033</v>
      </c>
      <c r="M865" s="2" t="s">
        <v>1019</v>
      </c>
      <c r="N865">
        <v>3.6</v>
      </c>
    </row>
    <row r="866" spans="1:14" x14ac:dyDescent="0.3">
      <c r="A866" t="s">
        <v>878</v>
      </c>
      <c r="B866">
        <v>29</v>
      </c>
      <c r="C866" t="s">
        <v>1014</v>
      </c>
      <c r="D866" s="2" t="s">
        <v>1029</v>
      </c>
      <c r="E866" t="s">
        <v>1057</v>
      </c>
      <c r="F866" s="1">
        <v>45591</v>
      </c>
      <c r="G866" s="1">
        <v>45607</v>
      </c>
      <c r="H866" s="2">
        <v>16</v>
      </c>
      <c r="I866" s="2">
        <v>120000</v>
      </c>
      <c r="J866" s="2" t="s">
        <v>1027</v>
      </c>
      <c r="K866" t="s">
        <v>1033</v>
      </c>
      <c r="L866" t="s">
        <v>1018</v>
      </c>
      <c r="M866" s="2" t="s">
        <v>1019</v>
      </c>
      <c r="N866">
        <v>3.6</v>
      </c>
    </row>
    <row r="867" spans="1:14" x14ac:dyDescent="0.3">
      <c r="A867" t="s">
        <v>879</v>
      </c>
      <c r="B867">
        <v>34</v>
      </c>
      <c r="C867" t="s">
        <v>1014</v>
      </c>
      <c r="D867" s="2" t="s">
        <v>1029</v>
      </c>
      <c r="E867" t="s">
        <v>1057</v>
      </c>
      <c r="F867" s="1">
        <v>45592</v>
      </c>
      <c r="G867" s="1">
        <v>45608</v>
      </c>
      <c r="H867" s="2">
        <v>16</v>
      </c>
      <c r="I867" s="2">
        <v>120000</v>
      </c>
      <c r="J867" s="2" t="s">
        <v>1027</v>
      </c>
      <c r="K867" t="s">
        <v>1033</v>
      </c>
      <c r="L867" t="s">
        <v>1018</v>
      </c>
      <c r="M867" s="2" t="s">
        <v>1019</v>
      </c>
      <c r="N867">
        <v>3.6</v>
      </c>
    </row>
    <row r="868" spans="1:14" x14ac:dyDescent="0.3">
      <c r="A868" t="s">
        <v>880</v>
      </c>
      <c r="B868">
        <v>35</v>
      </c>
      <c r="C868" t="s">
        <v>1014</v>
      </c>
      <c r="D868" s="2" t="s">
        <v>1029</v>
      </c>
      <c r="E868" t="s">
        <v>1057</v>
      </c>
      <c r="F868" s="1">
        <v>45593</v>
      </c>
      <c r="G868" s="1">
        <v>45609</v>
      </c>
      <c r="H868" s="2">
        <v>16</v>
      </c>
      <c r="I868" s="2">
        <v>120000</v>
      </c>
      <c r="J868" s="2" t="s">
        <v>1027</v>
      </c>
      <c r="K868" t="s">
        <v>1033</v>
      </c>
      <c r="L868" t="s">
        <v>1037</v>
      </c>
      <c r="M868" s="2" t="s">
        <v>1019</v>
      </c>
      <c r="N868">
        <v>3.6</v>
      </c>
    </row>
    <row r="869" spans="1:14" x14ac:dyDescent="0.3">
      <c r="A869" t="s">
        <v>881</v>
      </c>
      <c r="B869">
        <v>36</v>
      </c>
      <c r="C869" t="s">
        <v>1014</v>
      </c>
      <c r="D869" s="2" t="s">
        <v>1029</v>
      </c>
      <c r="E869" t="s">
        <v>1057</v>
      </c>
      <c r="F869" s="1">
        <v>45594</v>
      </c>
      <c r="G869" s="1">
        <v>45610</v>
      </c>
      <c r="H869" s="2">
        <v>16</v>
      </c>
      <c r="I869" s="2">
        <v>120000</v>
      </c>
      <c r="J869" s="2" t="s">
        <v>1027</v>
      </c>
      <c r="K869" t="s">
        <v>1033</v>
      </c>
      <c r="L869" t="s">
        <v>1018</v>
      </c>
      <c r="M869" s="2" t="s">
        <v>1019</v>
      </c>
      <c r="N869">
        <v>3.6</v>
      </c>
    </row>
    <row r="870" spans="1:14" x14ac:dyDescent="0.3">
      <c r="A870" t="s">
        <v>882</v>
      </c>
      <c r="B870">
        <v>31</v>
      </c>
      <c r="C870" t="s">
        <v>1014</v>
      </c>
      <c r="D870" s="2" t="s">
        <v>1029</v>
      </c>
      <c r="E870" t="s">
        <v>1057</v>
      </c>
      <c r="F870" s="1">
        <v>45595</v>
      </c>
      <c r="G870" s="1">
        <v>45611</v>
      </c>
      <c r="H870" s="2">
        <v>16</v>
      </c>
      <c r="I870" s="2">
        <v>120000</v>
      </c>
      <c r="J870" s="2" t="s">
        <v>1027</v>
      </c>
      <c r="K870" t="s">
        <v>1033</v>
      </c>
      <c r="L870" t="s">
        <v>1037</v>
      </c>
      <c r="M870" s="2" t="s">
        <v>1019</v>
      </c>
      <c r="N870">
        <v>3.6</v>
      </c>
    </row>
    <row r="871" spans="1:14" x14ac:dyDescent="0.3">
      <c r="A871" t="s">
        <v>883</v>
      </c>
      <c r="B871">
        <v>32</v>
      </c>
      <c r="C871" t="s">
        <v>1014</v>
      </c>
      <c r="D871" s="2" t="s">
        <v>1029</v>
      </c>
      <c r="E871" t="s">
        <v>1057</v>
      </c>
      <c r="F871" s="1">
        <v>45596</v>
      </c>
      <c r="G871" s="1">
        <v>45612</v>
      </c>
      <c r="H871" s="2">
        <v>16</v>
      </c>
      <c r="I871" s="2">
        <v>120000</v>
      </c>
      <c r="J871" s="2" t="s">
        <v>1027</v>
      </c>
      <c r="K871" t="s">
        <v>1033</v>
      </c>
      <c r="L871" t="s">
        <v>1018</v>
      </c>
      <c r="M871" s="2" t="s">
        <v>1019</v>
      </c>
      <c r="N871">
        <v>3.6</v>
      </c>
    </row>
    <row r="872" spans="1:14" x14ac:dyDescent="0.3">
      <c r="A872" t="s">
        <v>884</v>
      </c>
      <c r="B872">
        <v>36</v>
      </c>
      <c r="C872" t="s">
        <v>1014</v>
      </c>
      <c r="D872" s="2" t="s">
        <v>1029</v>
      </c>
      <c r="E872" t="s">
        <v>1057</v>
      </c>
      <c r="F872" s="1">
        <v>45597</v>
      </c>
      <c r="G872" s="1">
        <v>45613</v>
      </c>
      <c r="H872" s="2">
        <v>16</v>
      </c>
      <c r="I872" s="2">
        <v>120000</v>
      </c>
      <c r="J872" s="2" t="s">
        <v>1027</v>
      </c>
      <c r="K872" t="s">
        <v>1033</v>
      </c>
      <c r="L872" t="s">
        <v>1037</v>
      </c>
      <c r="M872" s="2" t="s">
        <v>1019</v>
      </c>
      <c r="N872">
        <v>3.6</v>
      </c>
    </row>
    <row r="873" spans="1:14" x14ac:dyDescent="0.3">
      <c r="A873" t="s">
        <v>885</v>
      </c>
      <c r="B873">
        <v>23</v>
      </c>
      <c r="C873" t="s">
        <v>1014</v>
      </c>
      <c r="D873" s="2" t="s">
        <v>1029</v>
      </c>
      <c r="E873" t="s">
        <v>1057</v>
      </c>
      <c r="F873" s="1">
        <v>45598</v>
      </c>
      <c r="G873" s="1">
        <v>45614</v>
      </c>
      <c r="H873" s="2">
        <v>16</v>
      </c>
      <c r="I873" s="2">
        <v>120000</v>
      </c>
      <c r="J873" s="2" t="s">
        <v>1027</v>
      </c>
      <c r="K873" t="s">
        <v>1033</v>
      </c>
      <c r="L873" t="s">
        <v>1037</v>
      </c>
      <c r="M873" s="2" t="s">
        <v>1019</v>
      </c>
      <c r="N873">
        <v>3.6</v>
      </c>
    </row>
    <row r="874" spans="1:14" x14ac:dyDescent="0.3">
      <c r="A874" t="s">
        <v>886</v>
      </c>
      <c r="B874">
        <v>34</v>
      </c>
      <c r="C874" t="s">
        <v>1014</v>
      </c>
      <c r="D874" s="2" t="s">
        <v>1029</v>
      </c>
      <c r="E874" t="s">
        <v>1057</v>
      </c>
      <c r="F874" s="1">
        <v>45599</v>
      </c>
      <c r="G874" s="1">
        <v>45613</v>
      </c>
      <c r="H874" s="2">
        <v>14</v>
      </c>
      <c r="I874" s="2">
        <v>120000</v>
      </c>
      <c r="J874" s="2" t="s">
        <v>1027</v>
      </c>
      <c r="K874" t="s">
        <v>1033</v>
      </c>
      <c r="L874" t="s">
        <v>1037</v>
      </c>
      <c r="M874" s="2" t="s">
        <v>1019</v>
      </c>
      <c r="N874">
        <v>3.6</v>
      </c>
    </row>
    <row r="875" spans="1:14" x14ac:dyDescent="0.3">
      <c r="A875" t="s">
        <v>887</v>
      </c>
      <c r="B875">
        <v>32</v>
      </c>
      <c r="C875" t="s">
        <v>1014</v>
      </c>
      <c r="D875" s="2" t="s">
        <v>1029</v>
      </c>
      <c r="E875" t="s">
        <v>1057</v>
      </c>
      <c r="F875" s="1">
        <v>45600</v>
      </c>
      <c r="G875" s="1">
        <v>45614</v>
      </c>
      <c r="H875" s="2">
        <v>14</v>
      </c>
      <c r="I875" s="2">
        <v>120000</v>
      </c>
      <c r="J875" s="2" t="s">
        <v>1027</v>
      </c>
      <c r="K875" t="s">
        <v>1033</v>
      </c>
      <c r="L875" t="s">
        <v>1018</v>
      </c>
      <c r="M875" s="2" t="s">
        <v>1019</v>
      </c>
      <c r="N875">
        <v>3.6</v>
      </c>
    </row>
    <row r="876" spans="1:14" x14ac:dyDescent="0.3">
      <c r="A876" t="s">
        <v>888</v>
      </c>
      <c r="B876">
        <v>55</v>
      </c>
      <c r="C876" t="s">
        <v>1014</v>
      </c>
      <c r="D876" s="2" t="s">
        <v>1029</v>
      </c>
      <c r="E876" t="s">
        <v>1057</v>
      </c>
      <c r="F876" s="1">
        <v>45601</v>
      </c>
      <c r="G876" s="1">
        <v>45615</v>
      </c>
      <c r="H876" s="2">
        <v>14</v>
      </c>
      <c r="I876" s="2">
        <v>120000</v>
      </c>
      <c r="J876" s="2" t="s">
        <v>1027</v>
      </c>
      <c r="K876" t="s">
        <v>1033</v>
      </c>
      <c r="L876" t="s">
        <v>1018</v>
      </c>
      <c r="M876" s="2" t="s">
        <v>1019</v>
      </c>
      <c r="N876">
        <v>3.6</v>
      </c>
    </row>
    <row r="877" spans="1:14" x14ac:dyDescent="0.3">
      <c r="A877" t="s">
        <v>889</v>
      </c>
      <c r="B877">
        <v>34</v>
      </c>
      <c r="C877" t="s">
        <v>1014</v>
      </c>
      <c r="D877" s="2" t="s">
        <v>1124</v>
      </c>
      <c r="E877" t="s">
        <v>1135</v>
      </c>
      <c r="F877" s="1">
        <v>45602</v>
      </c>
      <c r="G877" s="1">
        <v>45616</v>
      </c>
      <c r="H877" s="2">
        <v>14</v>
      </c>
      <c r="I877" s="2">
        <v>120000</v>
      </c>
      <c r="J877" s="2" t="s">
        <v>1027</v>
      </c>
      <c r="K877" t="s">
        <v>1044</v>
      </c>
      <c r="L877" t="s">
        <v>1037</v>
      </c>
      <c r="M877" s="2" t="s">
        <v>1019</v>
      </c>
      <c r="N877">
        <v>3.6</v>
      </c>
    </row>
    <row r="878" spans="1:14" x14ac:dyDescent="0.3">
      <c r="A878" t="s">
        <v>890</v>
      </c>
      <c r="B878">
        <v>34</v>
      </c>
      <c r="C878" t="s">
        <v>1014</v>
      </c>
      <c r="D878" s="2" t="s">
        <v>1124</v>
      </c>
      <c r="E878" t="s">
        <v>1135</v>
      </c>
      <c r="F878" s="1">
        <v>45603</v>
      </c>
      <c r="G878" s="1">
        <v>45617</v>
      </c>
      <c r="H878" s="2">
        <v>14</v>
      </c>
      <c r="I878" s="2">
        <v>120000</v>
      </c>
      <c r="J878" s="2" t="s">
        <v>1027</v>
      </c>
      <c r="K878" t="s">
        <v>1044</v>
      </c>
      <c r="L878" t="s">
        <v>1018</v>
      </c>
      <c r="M878" s="2" t="s">
        <v>1019</v>
      </c>
      <c r="N878">
        <v>3.6</v>
      </c>
    </row>
    <row r="879" spans="1:14" x14ac:dyDescent="0.3">
      <c r="A879" t="s">
        <v>891</v>
      </c>
      <c r="B879">
        <v>45</v>
      </c>
      <c r="C879" t="s">
        <v>1014</v>
      </c>
      <c r="D879" s="2" t="s">
        <v>1124</v>
      </c>
      <c r="E879" t="s">
        <v>1135</v>
      </c>
      <c r="F879" s="1">
        <v>45604</v>
      </c>
      <c r="G879" s="1">
        <v>45618</v>
      </c>
      <c r="H879" s="2">
        <v>14</v>
      </c>
      <c r="I879" s="2">
        <v>120000</v>
      </c>
      <c r="J879" s="2" t="s">
        <v>1027</v>
      </c>
      <c r="K879" t="s">
        <v>1044</v>
      </c>
      <c r="L879" t="s">
        <v>1037</v>
      </c>
      <c r="M879" s="2" t="s">
        <v>1019</v>
      </c>
      <c r="N879">
        <v>3.6</v>
      </c>
    </row>
    <row r="880" spans="1:14" x14ac:dyDescent="0.3">
      <c r="A880" t="s">
        <v>892</v>
      </c>
      <c r="B880">
        <v>56</v>
      </c>
      <c r="C880" t="s">
        <v>1014</v>
      </c>
      <c r="D880" s="2" t="s">
        <v>1124</v>
      </c>
      <c r="E880" t="s">
        <v>1135</v>
      </c>
      <c r="F880" s="1">
        <v>45605</v>
      </c>
      <c r="G880" s="1">
        <v>45619</v>
      </c>
      <c r="H880" s="2">
        <v>14</v>
      </c>
      <c r="I880" s="2">
        <v>120000</v>
      </c>
      <c r="J880" s="2" t="s">
        <v>1027</v>
      </c>
      <c r="K880" t="s">
        <v>1044</v>
      </c>
      <c r="M880" s="2" t="s">
        <v>1019</v>
      </c>
      <c r="N880">
        <v>3.6</v>
      </c>
    </row>
    <row r="881" spans="1:14" x14ac:dyDescent="0.3">
      <c r="A881" t="s">
        <v>893</v>
      </c>
      <c r="B881">
        <v>57</v>
      </c>
      <c r="C881" t="s">
        <v>1014</v>
      </c>
      <c r="D881" s="2" t="s">
        <v>1124</v>
      </c>
      <c r="E881" t="s">
        <v>1135</v>
      </c>
      <c r="F881" s="1">
        <v>45606</v>
      </c>
      <c r="G881" s="1">
        <v>45620</v>
      </c>
      <c r="H881" s="2">
        <v>14</v>
      </c>
      <c r="I881" s="2">
        <v>120000</v>
      </c>
      <c r="J881" s="2" t="s">
        <v>1027</v>
      </c>
      <c r="K881" t="s">
        <v>1044</v>
      </c>
      <c r="L881" t="s">
        <v>1018</v>
      </c>
      <c r="M881" s="2" t="s">
        <v>1019</v>
      </c>
      <c r="N881">
        <v>3.6</v>
      </c>
    </row>
    <row r="882" spans="1:14" x14ac:dyDescent="0.3">
      <c r="A882" t="s">
        <v>894</v>
      </c>
      <c r="B882">
        <v>58</v>
      </c>
      <c r="C882" t="s">
        <v>1014</v>
      </c>
      <c r="D882" s="2" t="s">
        <v>1124</v>
      </c>
      <c r="E882" t="s">
        <v>1135</v>
      </c>
      <c r="F882" s="1">
        <v>45607</v>
      </c>
      <c r="G882" s="1">
        <v>45621</v>
      </c>
      <c r="H882" s="2">
        <v>14</v>
      </c>
      <c r="I882" s="2">
        <v>120000</v>
      </c>
      <c r="J882" s="2" t="s">
        <v>1027</v>
      </c>
      <c r="K882" t="s">
        <v>1044</v>
      </c>
      <c r="L882" t="s">
        <v>1018</v>
      </c>
      <c r="M882" s="2" t="s">
        <v>1019</v>
      </c>
      <c r="N882">
        <v>3.6</v>
      </c>
    </row>
    <row r="883" spans="1:14" x14ac:dyDescent="0.3">
      <c r="A883" t="s">
        <v>895</v>
      </c>
      <c r="B883">
        <v>87</v>
      </c>
      <c r="C883" t="s">
        <v>1014</v>
      </c>
      <c r="D883" s="2" t="s">
        <v>1124</v>
      </c>
      <c r="E883" t="s">
        <v>1135</v>
      </c>
      <c r="F883" s="1">
        <v>45608</v>
      </c>
      <c r="G883" s="1">
        <v>45622</v>
      </c>
      <c r="H883" s="2">
        <v>14</v>
      </c>
      <c r="I883" s="2">
        <v>120000</v>
      </c>
      <c r="J883" s="2" t="s">
        <v>1027</v>
      </c>
      <c r="K883" t="s">
        <v>1044</v>
      </c>
      <c r="L883" t="s">
        <v>1037</v>
      </c>
      <c r="M883" s="2" t="s">
        <v>1019</v>
      </c>
      <c r="N883">
        <v>3.6</v>
      </c>
    </row>
    <row r="884" spans="1:14" x14ac:dyDescent="0.3">
      <c r="A884" t="s">
        <v>896</v>
      </c>
      <c r="B884">
        <v>86</v>
      </c>
      <c r="C884" t="s">
        <v>1014</v>
      </c>
      <c r="D884" s="2" t="s">
        <v>1124</v>
      </c>
      <c r="E884" t="s">
        <v>1135</v>
      </c>
      <c r="F884" s="1">
        <v>45609</v>
      </c>
      <c r="G884" s="1">
        <v>45623</v>
      </c>
      <c r="H884" s="2">
        <v>14</v>
      </c>
      <c r="I884" s="2">
        <v>120000</v>
      </c>
      <c r="J884" s="2" t="s">
        <v>1027</v>
      </c>
      <c r="K884" t="s">
        <v>1044</v>
      </c>
      <c r="L884" t="s">
        <v>1018</v>
      </c>
      <c r="M884" s="2" t="s">
        <v>1019</v>
      </c>
      <c r="N884">
        <v>3.6</v>
      </c>
    </row>
    <row r="885" spans="1:14" x14ac:dyDescent="0.3">
      <c r="A885" t="s">
        <v>897</v>
      </c>
      <c r="B885">
        <v>85</v>
      </c>
      <c r="C885" t="s">
        <v>1014</v>
      </c>
      <c r="D885" s="2" t="s">
        <v>1124</v>
      </c>
      <c r="E885" t="s">
        <v>1135</v>
      </c>
      <c r="F885" s="1">
        <v>45610</v>
      </c>
      <c r="G885" s="1">
        <v>45624</v>
      </c>
      <c r="H885" s="2">
        <v>14</v>
      </c>
      <c r="I885" s="2">
        <v>120000</v>
      </c>
      <c r="J885" s="2" t="s">
        <v>1027</v>
      </c>
      <c r="K885" t="s">
        <v>1044</v>
      </c>
      <c r="L885" t="s">
        <v>1037</v>
      </c>
      <c r="M885" s="2" t="s">
        <v>1019</v>
      </c>
      <c r="N885">
        <v>3.6</v>
      </c>
    </row>
    <row r="886" spans="1:14" x14ac:dyDescent="0.3">
      <c r="A886" t="s">
        <v>898</v>
      </c>
      <c r="B886">
        <v>84</v>
      </c>
      <c r="C886" t="s">
        <v>1014</v>
      </c>
      <c r="D886" s="2" t="s">
        <v>1124</v>
      </c>
      <c r="E886" t="s">
        <v>1135</v>
      </c>
      <c r="F886" s="1">
        <v>45611</v>
      </c>
      <c r="G886" s="1">
        <v>45625</v>
      </c>
      <c r="H886" s="2">
        <v>14</v>
      </c>
      <c r="I886" s="2">
        <v>120000</v>
      </c>
      <c r="J886" s="2" t="s">
        <v>1027</v>
      </c>
      <c r="K886" t="s">
        <v>1044</v>
      </c>
      <c r="L886" t="s">
        <v>1018</v>
      </c>
      <c r="M886" s="2" t="s">
        <v>1019</v>
      </c>
      <c r="N886">
        <v>3.6</v>
      </c>
    </row>
    <row r="887" spans="1:14" x14ac:dyDescent="0.3">
      <c r="A887" t="s">
        <v>899</v>
      </c>
      <c r="B887">
        <v>95</v>
      </c>
      <c r="C887" t="s">
        <v>1014</v>
      </c>
      <c r="D887" s="2" t="s">
        <v>1124</v>
      </c>
      <c r="E887" t="s">
        <v>1135</v>
      </c>
      <c r="F887" s="1">
        <v>45612</v>
      </c>
      <c r="G887" s="1">
        <v>45626</v>
      </c>
      <c r="H887" s="2">
        <v>14</v>
      </c>
      <c r="I887" s="2">
        <v>120000</v>
      </c>
      <c r="J887" s="2" t="s">
        <v>1027</v>
      </c>
      <c r="K887" t="s">
        <v>1044</v>
      </c>
      <c r="L887" t="s">
        <v>1037</v>
      </c>
      <c r="M887" s="2" t="s">
        <v>1019</v>
      </c>
      <c r="N887">
        <v>3.6</v>
      </c>
    </row>
    <row r="888" spans="1:14" x14ac:dyDescent="0.3">
      <c r="A888" t="s">
        <v>900</v>
      </c>
      <c r="B888">
        <v>87</v>
      </c>
      <c r="C888" t="s">
        <v>1014</v>
      </c>
      <c r="D888" s="2" t="s">
        <v>1124</v>
      </c>
      <c r="E888" t="s">
        <v>1135</v>
      </c>
      <c r="F888" s="1">
        <v>45613</v>
      </c>
      <c r="G888" s="1">
        <v>45627</v>
      </c>
      <c r="H888" s="2">
        <v>14</v>
      </c>
      <c r="I888" s="2">
        <v>120000</v>
      </c>
      <c r="J888" s="2" t="s">
        <v>1027</v>
      </c>
      <c r="K888" t="s">
        <v>1044</v>
      </c>
      <c r="L888" t="s">
        <v>1037</v>
      </c>
      <c r="M888" s="2" t="s">
        <v>1019</v>
      </c>
      <c r="N888">
        <v>3.6</v>
      </c>
    </row>
    <row r="889" spans="1:14" x14ac:dyDescent="0.3">
      <c r="A889" t="s">
        <v>901</v>
      </c>
      <c r="B889">
        <v>65</v>
      </c>
      <c r="C889" t="s">
        <v>1014</v>
      </c>
      <c r="D889" s="2" t="s">
        <v>1124</v>
      </c>
      <c r="E889" t="s">
        <v>1135</v>
      </c>
      <c r="F889" s="1">
        <v>45614</v>
      </c>
      <c r="G889" s="1">
        <v>45628</v>
      </c>
      <c r="H889" s="2">
        <v>14</v>
      </c>
      <c r="I889" s="2">
        <v>120000</v>
      </c>
      <c r="J889" s="2" t="s">
        <v>1027</v>
      </c>
      <c r="K889" t="s">
        <v>1044</v>
      </c>
      <c r="L889" t="s">
        <v>1037</v>
      </c>
      <c r="M889" s="2" t="s">
        <v>1158</v>
      </c>
      <c r="N889">
        <v>3.6</v>
      </c>
    </row>
    <row r="890" spans="1:14" x14ac:dyDescent="0.3">
      <c r="A890" t="s">
        <v>902</v>
      </c>
      <c r="B890">
        <v>65</v>
      </c>
      <c r="C890" t="s">
        <v>1014</v>
      </c>
      <c r="D890" s="2" t="s">
        <v>1124</v>
      </c>
      <c r="E890" t="s">
        <v>1135</v>
      </c>
      <c r="F890" s="1">
        <v>45615</v>
      </c>
      <c r="G890" s="1">
        <v>45629</v>
      </c>
      <c r="H890" s="2">
        <v>14</v>
      </c>
      <c r="I890" s="2">
        <v>120000</v>
      </c>
      <c r="J890" s="2" t="s">
        <v>1027</v>
      </c>
      <c r="K890" t="s">
        <v>1044</v>
      </c>
      <c r="L890" t="s">
        <v>1018</v>
      </c>
      <c r="M890" s="2" t="s">
        <v>1158</v>
      </c>
      <c r="N890">
        <v>3.6</v>
      </c>
    </row>
    <row r="891" spans="1:14" x14ac:dyDescent="0.3">
      <c r="A891" t="s">
        <v>903</v>
      </c>
      <c r="B891">
        <v>76</v>
      </c>
      <c r="C891" t="s">
        <v>1014</v>
      </c>
      <c r="D891" s="2" t="s">
        <v>1124</v>
      </c>
      <c r="E891" t="s">
        <v>1135</v>
      </c>
      <c r="F891" s="1">
        <v>45616</v>
      </c>
      <c r="G891" s="1">
        <v>45630</v>
      </c>
      <c r="H891" s="2">
        <v>14</v>
      </c>
      <c r="I891" s="2">
        <v>120000</v>
      </c>
      <c r="J891" s="2" t="s">
        <v>1027</v>
      </c>
      <c r="K891" t="s">
        <v>1044</v>
      </c>
      <c r="L891" t="s">
        <v>1018</v>
      </c>
      <c r="M891" s="2" t="s">
        <v>1158</v>
      </c>
      <c r="N891">
        <v>3.6</v>
      </c>
    </row>
    <row r="892" spans="1:14" x14ac:dyDescent="0.3">
      <c r="A892" t="s">
        <v>904</v>
      </c>
      <c r="B892">
        <v>67</v>
      </c>
      <c r="C892" t="s">
        <v>1014</v>
      </c>
      <c r="D892" s="2" t="s">
        <v>1124</v>
      </c>
      <c r="E892" t="s">
        <v>1135</v>
      </c>
      <c r="F892" s="1">
        <v>45617</v>
      </c>
      <c r="G892" s="1">
        <v>45631</v>
      </c>
      <c r="H892" s="2">
        <v>14</v>
      </c>
      <c r="I892" s="2">
        <v>120000</v>
      </c>
      <c r="J892" s="2" t="s">
        <v>1027</v>
      </c>
      <c r="K892" t="s">
        <v>1044</v>
      </c>
      <c r="L892" t="s">
        <v>1037</v>
      </c>
      <c r="M892" s="2" t="s">
        <v>1158</v>
      </c>
      <c r="N892">
        <v>3.6</v>
      </c>
    </row>
    <row r="893" spans="1:14" x14ac:dyDescent="0.3">
      <c r="A893" t="s">
        <v>905</v>
      </c>
      <c r="B893">
        <v>76</v>
      </c>
      <c r="C893" t="s">
        <v>1014</v>
      </c>
      <c r="D893" s="2" t="s">
        <v>1124</v>
      </c>
      <c r="E893" t="s">
        <v>1135</v>
      </c>
      <c r="F893" s="1">
        <v>45618</v>
      </c>
      <c r="G893" s="1">
        <v>45632</v>
      </c>
      <c r="H893" s="2">
        <v>14</v>
      </c>
      <c r="I893" s="2">
        <v>120000</v>
      </c>
      <c r="J893" s="2" t="s">
        <v>1027</v>
      </c>
      <c r="K893" t="s">
        <v>1044</v>
      </c>
      <c r="L893" t="s">
        <v>1018</v>
      </c>
      <c r="M893" s="2" t="s">
        <v>1158</v>
      </c>
      <c r="N893">
        <v>3.6</v>
      </c>
    </row>
    <row r="894" spans="1:14" x14ac:dyDescent="0.3">
      <c r="A894" t="s">
        <v>906</v>
      </c>
      <c r="B894">
        <v>56</v>
      </c>
      <c r="C894" t="s">
        <v>1014</v>
      </c>
      <c r="D894" s="2" t="s">
        <v>1124</v>
      </c>
      <c r="E894" t="s">
        <v>1135</v>
      </c>
      <c r="F894" s="1">
        <v>45619</v>
      </c>
      <c r="G894" s="1">
        <v>45633</v>
      </c>
      <c r="H894" s="2">
        <v>14</v>
      </c>
      <c r="I894" s="2">
        <v>120000</v>
      </c>
      <c r="J894" s="2" t="s">
        <v>1027</v>
      </c>
      <c r="K894" t="s">
        <v>1044</v>
      </c>
      <c r="L894" t="s">
        <v>1037</v>
      </c>
      <c r="M894" s="2" t="s">
        <v>1158</v>
      </c>
      <c r="N894">
        <v>3.6</v>
      </c>
    </row>
    <row r="895" spans="1:14" x14ac:dyDescent="0.3">
      <c r="A895" t="s">
        <v>907</v>
      </c>
      <c r="B895">
        <v>65</v>
      </c>
      <c r="C895" t="s">
        <v>1014</v>
      </c>
      <c r="D895" s="2" t="s">
        <v>1124</v>
      </c>
      <c r="E895" t="s">
        <v>1125</v>
      </c>
      <c r="F895" s="1">
        <v>45620</v>
      </c>
      <c r="G895" s="1">
        <v>45634</v>
      </c>
      <c r="H895" s="2">
        <v>14</v>
      </c>
      <c r="I895" s="2">
        <v>120000</v>
      </c>
      <c r="J895" s="2" t="s">
        <v>1027</v>
      </c>
      <c r="K895" t="s">
        <v>1044</v>
      </c>
      <c r="M895" s="2" t="s">
        <v>1158</v>
      </c>
      <c r="N895">
        <v>3.6</v>
      </c>
    </row>
    <row r="896" spans="1:14" x14ac:dyDescent="0.3">
      <c r="A896" t="s">
        <v>908</v>
      </c>
      <c r="B896">
        <v>87</v>
      </c>
      <c r="C896" t="s">
        <v>1014</v>
      </c>
      <c r="D896" s="2" t="s">
        <v>1124</v>
      </c>
      <c r="E896" t="s">
        <v>1125</v>
      </c>
      <c r="F896" s="1">
        <v>45621</v>
      </c>
      <c r="G896" s="1">
        <v>45635</v>
      </c>
      <c r="H896" s="2">
        <v>14</v>
      </c>
      <c r="I896" s="2">
        <v>120000</v>
      </c>
      <c r="J896" s="2" t="s">
        <v>1027</v>
      </c>
      <c r="K896" t="s">
        <v>1044</v>
      </c>
      <c r="L896" t="s">
        <v>1018</v>
      </c>
      <c r="M896" s="2" t="s">
        <v>1158</v>
      </c>
      <c r="N896">
        <v>3.6</v>
      </c>
    </row>
    <row r="897" spans="1:14" x14ac:dyDescent="0.3">
      <c r="A897" t="s">
        <v>909</v>
      </c>
      <c r="B897">
        <v>78</v>
      </c>
      <c r="C897" t="s">
        <v>1014</v>
      </c>
      <c r="D897" s="2" t="s">
        <v>1124</v>
      </c>
      <c r="E897" t="s">
        <v>1125</v>
      </c>
      <c r="F897" s="1">
        <v>45622</v>
      </c>
      <c r="G897" s="1">
        <v>45636</v>
      </c>
      <c r="H897" s="2">
        <v>14</v>
      </c>
      <c r="I897" s="2">
        <v>120000</v>
      </c>
      <c r="J897" s="2" t="s">
        <v>1027</v>
      </c>
      <c r="K897" t="s">
        <v>1044</v>
      </c>
      <c r="L897" t="s">
        <v>1018</v>
      </c>
      <c r="M897" s="2" t="s">
        <v>1158</v>
      </c>
      <c r="N897">
        <v>3.6</v>
      </c>
    </row>
    <row r="898" spans="1:14" x14ac:dyDescent="0.3">
      <c r="A898" t="s">
        <v>910</v>
      </c>
      <c r="B898">
        <v>76</v>
      </c>
      <c r="C898" t="s">
        <v>1014</v>
      </c>
      <c r="D898" s="2" t="s">
        <v>1124</v>
      </c>
      <c r="E898" t="s">
        <v>1125</v>
      </c>
      <c r="F898" s="1">
        <v>45623</v>
      </c>
      <c r="G898" s="1">
        <v>45637</v>
      </c>
      <c r="H898" s="2">
        <v>14</v>
      </c>
      <c r="I898" s="2">
        <v>120000</v>
      </c>
      <c r="J898" s="2" t="s">
        <v>1027</v>
      </c>
      <c r="K898" t="s">
        <v>1044</v>
      </c>
      <c r="L898" t="s">
        <v>1037</v>
      </c>
      <c r="M898" s="2" t="s">
        <v>1158</v>
      </c>
      <c r="N898">
        <v>3.6</v>
      </c>
    </row>
    <row r="899" spans="1:14" x14ac:dyDescent="0.3">
      <c r="A899" t="s">
        <v>911</v>
      </c>
      <c r="B899">
        <v>76</v>
      </c>
      <c r="C899" t="s">
        <v>1014</v>
      </c>
      <c r="D899" s="2" t="s">
        <v>1124</v>
      </c>
      <c r="E899" t="s">
        <v>1125</v>
      </c>
      <c r="F899" s="1">
        <v>45624</v>
      </c>
      <c r="G899" s="1">
        <v>45638</v>
      </c>
      <c r="H899" s="2">
        <v>14</v>
      </c>
      <c r="I899" s="2">
        <v>120000</v>
      </c>
      <c r="J899" s="2" t="s">
        <v>1027</v>
      </c>
      <c r="K899" t="s">
        <v>1044</v>
      </c>
      <c r="L899" t="s">
        <v>1018</v>
      </c>
      <c r="M899" s="2" t="s">
        <v>1158</v>
      </c>
      <c r="N899">
        <v>3.6</v>
      </c>
    </row>
    <row r="900" spans="1:14" x14ac:dyDescent="0.3">
      <c r="A900" t="s">
        <v>912</v>
      </c>
      <c r="B900">
        <v>56</v>
      </c>
      <c r="C900" t="s">
        <v>1014</v>
      </c>
      <c r="D900" s="2" t="s">
        <v>1124</v>
      </c>
      <c r="E900" t="s">
        <v>1125</v>
      </c>
      <c r="F900" s="1">
        <v>45625</v>
      </c>
      <c r="G900" s="1">
        <v>45639</v>
      </c>
      <c r="H900" s="2">
        <v>14</v>
      </c>
      <c r="I900" s="2">
        <v>120000</v>
      </c>
      <c r="J900" s="2" t="s">
        <v>1027</v>
      </c>
      <c r="K900" t="s">
        <v>1044</v>
      </c>
      <c r="L900" t="s">
        <v>1037</v>
      </c>
      <c r="M900" s="2" t="s">
        <v>1158</v>
      </c>
      <c r="N900">
        <v>3.6</v>
      </c>
    </row>
    <row r="901" spans="1:14" x14ac:dyDescent="0.3">
      <c r="A901" t="s">
        <v>913</v>
      </c>
      <c r="B901">
        <v>45</v>
      </c>
      <c r="C901" t="s">
        <v>1014</v>
      </c>
      <c r="D901" s="2" t="s">
        <v>1124</v>
      </c>
      <c r="E901" t="s">
        <v>1125</v>
      </c>
      <c r="F901" s="1">
        <v>45626</v>
      </c>
      <c r="G901" s="1">
        <v>45640</v>
      </c>
      <c r="H901" s="2">
        <v>14</v>
      </c>
      <c r="I901" s="2">
        <v>120000</v>
      </c>
      <c r="J901" s="2" t="s">
        <v>1027</v>
      </c>
      <c r="K901" t="s">
        <v>1044</v>
      </c>
      <c r="L901" t="s">
        <v>1018</v>
      </c>
      <c r="M901" s="2" t="s">
        <v>1158</v>
      </c>
      <c r="N901">
        <v>3.6</v>
      </c>
    </row>
    <row r="902" spans="1:14" x14ac:dyDescent="0.3">
      <c r="A902" t="s">
        <v>914</v>
      </c>
      <c r="B902">
        <v>54</v>
      </c>
      <c r="C902" t="s">
        <v>1014</v>
      </c>
      <c r="D902" s="2" t="s">
        <v>1124</v>
      </c>
      <c r="E902" t="s">
        <v>1125</v>
      </c>
      <c r="F902" s="1">
        <v>45627</v>
      </c>
      <c r="G902" s="1">
        <v>45641</v>
      </c>
      <c r="H902" s="2">
        <v>14</v>
      </c>
      <c r="I902" s="2">
        <v>120000</v>
      </c>
      <c r="J902" s="2" t="s">
        <v>1027</v>
      </c>
      <c r="K902" t="s">
        <v>1044</v>
      </c>
      <c r="L902" t="s">
        <v>1037</v>
      </c>
      <c r="M902" s="2" t="s">
        <v>1158</v>
      </c>
      <c r="N902">
        <v>3.6</v>
      </c>
    </row>
    <row r="903" spans="1:14" x14ac:dyDescent="0.3">
      <c r="A903" t="s">
        <v>915</v>
      </c>
      <c r="B903">
        <v>87</v>
      </c>
      <c r="C903" t="s">
        <v>1014</v>
      </c>
      <c r="D903" s="2" t="s">
        <v>1124</v>
      </c>
      <c r="E903" t="s">
        <v>1125</v>
      </c>
      <c r="F903" s="1">
        <v>45628</v>
      </c>
      <c r="G903" s="1">
        <v>45642</v>
      </c>
      <c r="H903" s="2">
        <v>14</v>
      </c>
      <c r="I903" s="2">
        <v>120000</v>
      </c>
      <c r="J903" s="2" t="s">
        <v>1027</v>
      </c>
      <c r="K903" t="s">
        <v>1044</v>
      </c>
      <c r="L903" t="s">
        <v>1037</v>
      </c>
      <c r="M903" s="2" t="s">
        <v>1158</v>
      </c>
      <c r="N903">
        <v>3.6</v>
      </c>
    </row>
    <row r="904" spans="1:14" x14ac:dyDescent="0.3">
      <c r="A904" t="s">
        <v>916</v>
      </c>
      <c r="B904">
        <v>76</v>
      </c>
      <c r="C904" t="s">
        <v>1014</v>
      </c>
      <c r="D904" s="2" t="s">
        <v>1124</v>
      </c>
      <c r="E904" t="s">
        <v>1125</v>
      </c>
      <c r="F904" s="1">
        <v>45629</v>
      </c>
      <c r="G904" s="1">
        <v>45643</v>
      </c>
      <c r="H904" s="2">
        <v>14</v>
      </c>
      <c r="I904" s="2">
        <v>120000</v>
      </c>
      <c r="J904" s="2" t="s">
        <v>1027</v>
      </c>
      <c r="K904" t="s">
        <v>1044</v>
      </c>
      <c r="L904" t="s">
        <v>1037</v>
      </c>
      <c r="M904" s="2" t="s">
        <v>1158</v>
      </c>
      <c r="N904">
        <v>3.6</v>
      </c>
    </row>
    <row r="905" spans="1:14" x14ac:dyDescent="0.3">
      <c r="A905" t="s">
        <v>917</v>
      </c>
      <c r="B905">
        <v>67</v>
      </c>
      <c r="C905" t="s">
        <v>1014</v>
      </c>
      <c r="D905" s="2" t="s">
        <v>1124</v>
      </c>
      <c r="E905" t="s">
        <v>1125</v>
      </c>
      <c r="F905" s="1">
        <v>45630</v>
      </c>
      <c r="G905" s="1">
        <v>45644</v>
      </c>
      <c r="H905" s="2">
        <v>14</v>
      </c>
      <c r="I905" s="2">
        <v>120000</v>
      </c>
      <c r="J905" s="2" t="s">
        <v>1027</v>
      </c>
      <c r="K905" t="s">
        <v>1044</v>
      </c>
      <c r="L905" t="s">
        <v>1018</v>
      </c>
      <c r="M905" s="2" t="s">
        <v>1158</v>
      </c>
      <c r="N905">
        <v>3.6</v>
      </c>
    </row>
    <row r="906" spans="1:14" x14ac:dyDescent="0.3">
      <c r="A906" t="s">
        <v>918</v>
      </c>
      <c r="B906">
        <v>76</v>
      </c>
      <c r="C906" t="s">
        <v>1014</v>
      </c>
      <c r="D906" s="2" t="s">
        <v>1124</v>
      </c>
      <c r="E906" t="s">
        <v>1125</v>
      </c>
      <c r="F906" s="1">
        <v>45631</v>
      </c>
      <c r="G906" s="1">
        <v>45645</v>
      </c>
      <c r="H906" s="2">
        <v>14</v>
      </c>
      <c r="I906" s="2">
        <v>120000</v>
      </c>
      <c r="J906" s="2" t="s">
        <v>1027</v>
      </c>
      <c r="K906" t="s">
        <v>1044</v>
      </c>
      <c r="L906" t="s">
        <v>1018</v>
      </c>
      <c r="M906" s="2" t="s">
        <v>1024</v>
      </c>
      <c r="N906">
        <v>3.6</v>
      </c>
    </row>
    <row r="907" spans="1:14" x14ac:dyDescent="0.3">
      <c r="A907" t="s">
        <v>919</v>
      </c>
      <c r="B907">
        <v>56</v>
      </c>
      <c r="C907" t="s">
        <v>1014</v>
      </c>
      <c r="D907" s="2" t="s">
        <v>1124</v>
      </c>
      <c r="E907" t="s">
        <v>1125</v>
      </c>
      <c r="F907" s="1">
        <v>45632</v>
      </c>
      <c r="G907" s="1">
        <v>45646</v>
      </c>
      <c r="H907" s="2">
        <v>14</v>
      </c>
      <c r="I907" s="2">
        <v>120000</v>
      </c>
      <c r="J907" s="2" t="s">
        <v>1027</v>
      </c>
      <c r="K907" t="s">
        <v>1044</v>
      </c>
      <c r="L907" t="s">
        <v>1037</v>
      </c>
      <c r="M907" s="2" t="s">
        <v>1024</v>
      </c>
      <c r="N907">
        <v>3.6</v>
      </c>
    </row>
    <row r="908" spans="1:14" x14ac:dyDescent="0.3">
      <c r="A908" t="s">
        <v>920</v>
      </c>
      <c r="B908">
        <v>54</v>
      </c>
      <c r="C908" t="s">
        <v>1014</v>
      </c>
      <c r="D908" s="2" t="s">
        <v>1124</v>
      </c>
      <c r="E908" t="s">
        <v>1125</v>
      </c>
      <c r="F908" s="1">
        <v>45633</v>
      </c>
      <c r="G908" s="1">
        <v>45647</v>
      </c>
      <c r="H908" s="2">
        <v>14</v>
      </c>
      <c r="I908" s="2">
        <v>120000</v>
      </c>
      <c r="J908" s="2" t="s">
        <v>1027</v>
      </c>
      <c r="K908" t="s">
        <v>1044</v>
      </c>
      <c r="L908" t="s">
        <v>1018</v>
      </c>
      <c r="M908" s="2" t="s">
        <v>1024</v>
      </c>
      <c r="N908">
        <v>3.6</v>
      </c>
    </row>
    <row r="909" spans="1:14" x14ac:dyDescent="0.3">
      <c r="A909" t="s">
        <v>921</v>
      </c>
      <c r="B909">
        <v>55</v>
      </c>
      <c r="C909" t="s">
        <v>1014</v>
      </c>
      <c r="D909" s="2" t="s">
        <v>1124</v>
      </c>
      <c r="E909" t="s">
        <v>1125</v>
      </c>
      <c r="F909" s="1">
        <v>45634</v>
      </c>
      <c r="G909" s="1">
        <v>45648</v>
      </c>
      <c r="H909" s="2">
        <v>14</v>
      </c>
      <c r="I909" s="2">
        <v>120000</v>
      </c>
      <c r="J909" s="2" t="s">
        <v>1027</v>
      </c>
      <c r="K909" t="s">
        <v>1044</v>
      </c>
      <c r="L909" t="s">
        <v>1037</v>
      </c>
      <c r="M909" s="2" t="s">
        <v>1024</v>
      </c>
      <c r="N909">
        <v>3.6</v>
      </c>
    </row>
    <row r="910" spans="1:14" x14ac:dyDescent="0.3">
      <c r="A910" t="s">
        <v>922</v>
      </c>
      <c r="B910">
        <v>55</v>
      </c>
      <c r="C910" t="s">
        <v>1014</v>
      </c>
      <c r="D910" s="2" t="s">
        <v>1124</v>
      </c>
      <c r="E910" t="s">
        <v>1125</v>
      </c>
      <c r="F910" s="1">
        <v>45635</v>
      </c>
      <c r="G910" s="1">
        <v>45649</v>
      </c>
      <c r="H910" s="2">
        <v>14</v>
      </c>
      <c r="I910" s="2">
        <v>120000</v>
      </c>
      <c r="J910" s="2" t="s">
        <v>1027</v>
      </c>
      <c r="K910" t="s">
        <v>1044</v>
      </c>
      <c r="M910" s="2" t="s">
        <v>1024</v>
      </c>
      <c r="N910">
        <v>3.6</v>
      </c>
    </row>
    <row r="911" spans="1:14" x14ac:dyDescent="0.3">
      <c r="A911" t="s">
        <v>923</v>
      </c>
      <c r="B911">
        <v>55</v>
      </c>
      <c r="C911" t="s">
        <v>1014</v>
      </c>
      <c r="D911" s="2" t="s">
        <v>1124</v>
      </c>
      <c r="E911" t="s">
        <v>1125</v>
      </c>
      <c r="F911" s="1">
        <v>45636</v>
      </c>
      <c r="G911" s="1">
        <v>45650</v>
      </c>
      <c r="H911" s="2">
        <v>14</v>
      </c>
      <c r="I911" s="2">
        <v>120000</v>
      </c>
      <c r="J911" s="2" t="s">
        <v>1027</v>
      </c>
      <c r="K911" t="s">
        <v>1044</v>
      </c>
      <c r="L911" t="s">
        <v>1018</v>
      </c>
      <c r="M911" s="2" t="s">
        <v>1024</v>
      </c>
      <c r="N911">
        <v>3.6</v>
      </c>
    </row>
    <row r="912" spans="1:14" x14ac:dyDescent="0.3">
      <c r="A912" t="s">
        <v>924</v>
      </c>
      <c r="B912">
        <v>55</v>
      </c>
      <c r="C912" t="s">
        <v>1014</v>
      </c>
      <c r="D912" s="2" t="s">
        <v>1124</v>
      </c>
      <c r="E912" t="s">
        <v>1125</v>
      </c>
      <c r="F912" s="1">
        <v>45637</v>
      </c>
      <c r="G912" s="1">
        <v>45651</v>
      </c>
      <c r="H912" s="2">
        <v>14</v>
      </c>
      <c r="I912" s="2">
        <v>120000</v>
      </c>
      <c r="J912" s="2" t="s">
        <v>1027</v>
      </c>
      <c r="K912" t="s">
        <v>1044</v>
      </c>
      <c r="L912" t="s">
        <v>1018</v>
      </c>
      <c r="M912" s="2" t="s">
        <v>1024</v>
      </c>
      <c r="N912">
        <v>3.6</v>
      </c>
    </row>
    <row r="913" spans="1:14" x14ac:dyDescent="0.3">
      <c r="A913" t="s">
        <v>925</v>
      </c>
      <c r="B913">
        <v>55</v>
      </c>
      <c r="C913" t="s">
        <v>1014</v>
      </c>
      <c r="D913" s="2" t="s">
        <v>1124</v>
      </c>
      <c r="E913" t="s">
        <v>1125</v>
      </c>
      <c r="F913" s="1">
        <v>45638</v>
      </c>
      <c r="G913" s="1">
        <v>45652</v>
      </c>
      <c r="H913" s="2">
        <v>14</v>
      </c>
      <c r="I913" s="2">
        <v>120000</v>
      </c>
      <c r="J913" s="2" t="s">
        <v>1027</v>
      </c>
      <c r="K913" t="s">
        <v>1044</v>
      </c>
      <c r="L913" t="s">
        <v>1037</v>
      </c>
      <c r="M913" s="2" t="s">
        <v>1024</v>
      </c>
      <c r="N913">
        <v>3.6</v>
      </c>
    </row>
    <row r="914" spans="1:14" x14ac:dyDescent="0.3">
      <c r="A914" t="s">
        <v>926</v>
      </c>
      <c r="B914">
        <v>55</v>
      </c>
      <c r="C914" t="s">
        <v>1014</v>
      </c>
      <c r="D914" s="2" t="s">
        <v>1124</v>
      </c>
      <c r="E914" t="s">
        <v>1168</v>
      </c>
      <c r="F914" s="1">
        <v>45639</v>
      </c>
      <c r="G914" s="1">
        <v>45653</v>
      </c>
      <c r="H914" s="2">
        <v>14</v>
      </c>
      <c r="I914" s="2">
        <v>120000</v>
      </c>
      <c r="J914" s="2" t="s">
        <v>1027</v>
      </c>
      <c r="K914" t="s">
        <v>1044</v>
      </c>
      <c r="L914" t="s">
        <v>1018</v>
      </c>
      <c r="M914" s="2" t="s">
        <v>1024</v>
      </c>
      <c r="N914">
        <v>3.6</v>
      </c>
    </row>
    <row r="915" spans="1:14" x14ac:dyDescent="0.3">
      <c r="A915" t="s">
        <v>927</v>
      </c>
      <c r="B915">
        <v>44</v>
      </c>
      <c r="C915" t="s">
        <v>1014</v>
      </c>
      <c r="D915" s="2" t="s">
        <v>1124</v>
      </c>
      <c r="E915" t="s">
        <v>1168</v>
      </c>
      <c r="F915" s="1">
        <v>45640</v>
      </c>
      <c r="G915" s="1">
        <v>45654</v>
      </c>
      <c r="H915" s="2">
        <v>14</v>
      </c>
      <c r="I915" s="2">
        <v>120000</v>
      </c>
      <c r="J915" s="2" t="s">
        <v>1027</v>
      </c>
      <c r="K915" t="s">
        <v>1044</v>
      </c>
      <c r="L915" t="s">
        <v>1037</v>
      </c>
      <c r="M915" s="2" t="s">
        <v>1024</v>
      </c>
      <c r="N915">
        <v>3.6</v>
      </c>
    </row>
    <row r="916" spans="1:14" x14ac:dyDescent="0.3">
      <c r="A916" t="s">
        <v>928</v>
      </c>
      <c r="B916">
        <v>33</v>
      </c>
      <c r="C916" t="s">
        <v>1014</v>
      </c>
      <c r="D916" s="2" t="s">
        <v>1124</v>
      </c>
      <c r="E916" t="s">
        <v>1168</v>
      </c>
      <c r="F916" s="1">
        <v>45641</v>
      </c>
      <c r="G916" s="1">
        <v>45655</v>
      </c>
      <c r="H916" s="2">
        <v>14</v>
      </c>
      <c r="I916" s="2">
        <v>120000</v>
      </c>
      <c r="J916" s="2" t="s">
        <v>1027</v>
      </c>
      <c r="K916" t="s">
        <v>1044</v>
      </c>
      <c r="L916" t="s">
        <v>1018</v>
      </c>
      <c r="M916" s="2" t="s">
        <v>1024</v>
      </c>
      <c r="N916">
        <v>3.6</v>
      </c>
    </row>
    <row r="917" spans="1:14" x14ac:dyDescent="0.3">
      <c r="A917" t="s">
        <v>929</v>
      </c>
      <c r="B917">
        <v>33</v>
      </c>
      <c r="C917" t="s">
        <v>1014</v>
      </c>
      <c r="D917" s="2" t="s">
        <v>1124</v>
      </c>
      <c r="E917" t="s">
        <v>1168</v>
      </c>
      <c r="F917" s="1">
        <v>45642</v>
      </c>
      <c r="G917" s="1">
        <v>45656</v>
      </c>
      <c r="H917" s="2">
        <v>14</v>
      </c>
      <c r="I917" s="2">
        <v>120000</v>
      </c>
      <c r="J917" s="2" t="s">
        <v>1027</v>
      </c>
      <c r="K917" t="s">
        <v>1044</v>
      </c>
      <c r="L917" t="s">
        <v>1037</v>
      </c>
      <c r="M917" s="2" t="s">
        <v>1024</v>
      </c>
      <c r="N917">
        <v>3.6</v>
      </c>
    </row>
    <row r="918" spans="1:14" x14ac:dyDescent="0.3">
      <c r="A918" t="s">
        <v>930</v>
      </c>
      <c r="B918">
        <v>44</v>
      </c>
      <c r="C918" t="s">
        <v>1014</v>
      </c>
      <c r="D918" s="2" t="s">
        <v>1124</v>
      </c>
      <c r="E918" t="s">
        <v>1168</v>
      </c>
      <c r="F918" s="1">
        <v>45643</v>
      </c>
      <c r="G918" s="1">
        <v>45657</v>
      </c>
      <c r="H918" s="2">
        <v>14</v>
      </c>
      <c r="I918" s="2">
        <v>120000</v>
      </c>
      <c r="J918" s="2" t="s">
        <v>1027</v>
      </c>
      <c r="K918" t="s">
        <v>1044</v>
      </c>
      <c r="L918" t="s">
        <v>1037</v>
      </c>
      <c r="M918" s="2" t="s">
        <v>1024</v>
      </c>
      <c r="N918">
        <v>3.6</v>
      </c>
    </row>
    <row r="919" spans="1:14" x14ac:dyDescent="0.3">
      <c r="A919" t="s">
        <v>931</v>
      </c>
      <c r="B919">
        <v>22</v>
      </c>
      <c r="C919" t="s">
        <v>1014</v>
      </c>
      <c r="D919" s="2" t="s">
        <v>1124</v>
      </c>
      <c r="E919" t="s">
        <v>1168</v>
      </c>
      <c r="F919" s="1">
        <v>45644</v>
      </c>
      <c r="G919" s="1">
        <v>45658</v>
      </c>
      <c r="H919" s="2">
        <v>14</v>
      </c>
      <c r="I919" s="2">
        <v>120000</v>
      </c>
      <c r="J919" s="2" t="s">
        <v>1027</v>
      </c>
      <c r="K919" t="s">
        <v>1044</v>
      </c>
      <c r="L919" t="s">
        <v>1037</v>
      </c>
      <c r="M919" s="2" t="s">
        <v>1024</v>
      </c>
      <c r="N919">
        <v>3.6</v>
      </c>
    </row>
    <row r="920" spans="1:14" x14ac:dyDescent="0.3">
      <c r="A920" t="s">
        <v>932</v>
      </c>
      <c r="B920">
        <v>33</v>
      </c>
      <c r="C920" t="s">
        <v>1014</v>
      </c>
      <c r="D920" s="2" t="s">
        <v>1124</v>
      </c>
      <c r="E920" t="s">
        <v>1168</v>
      </c>
      <c r="F920" s="1">
        <v>45645</v>
      </c>
      <c r="G920" s="1">
        <v>45659</v>
      </c>
      <c r="H920" s="2">
        <v>14</v>
      </c>
      <c r="I920" s="2">
        <v>120000</v>
      </c>
      <c r="J920" s="2" t="s">
        <v>1027</v>
      </c>
      <c r="K920" t="s">
        <v>1044</v>
      </c>
      <c r="L920" t="s">
        <v>1018</v>
      </c>
      <c r="M920" s="2" t="s">
        <v>1024</v>
      </c>
      <c r="N920">
        <v>3.6</v>
      </c>
    </row>
    <row r="921" spans="1:14" x14ac:dyDescent="0.3">
      <c r="A921" t="s">
        <v>933</v>
      </c>
      <c r="B921">
        <v>55</v>
      </c>
      <c r="C921" t="s">
        <v>1014</v>
      </c>
      <c r="D921" s="2" t="s">
        <v>1124</v>
      </c>
      <c r="E921" t="s">
        <v>1168</v>
      </c>
      <c r="F921" s="1">
        <v>45646</v>
      </c>
      <c r="G921" s="1">
        <v>45660</v>
      </c>
      <c r="H921" s="2">
        <v>14</v>
      </c>
      <c r="I921" s="2">
        <v>120000</v>
      </c>
      <c r="J921" s="2" t="s">
        <v>1027</v>
      </c>
      <c r="K921" t="s">
        <v>1044</v>
      </c>
      <c r="L921" t="s">
        <v>1018</v>
      </c>
      <c r="M921" s="2" t="s">
        <v>1024</v>
      </c>
      <c r="N921">
        <v>3.6</v>
      </c>
    </row>
    <row r="922" spans="1:14" x14ac:dyDescent="0.3">
      <c r="A922" t="s">
        <v>934</v>
      </c>
      <c r="B922">
        <v>66</v>
      </c>
      <c r="C922" t="s">
        <v>1014</v>
      </c>
      <c r="D922" s="2" t="s">
        <v>1124</v>
      </c>
      <c r="E922" t="s">
        <v>1168</v>
      </c>
      <c r="F922" s="1">
        <v>45647</v>
      </c>
      <c r="G922" s="1">
        <v>45661</v>
      </c>
      <c r="H922" s="2">
        <v>14</v>
      </c>
      <c r="I922" s="2">
        <v>120000</v>
      </c>
      <c r="J922" s="2" t="s">
        <v>1027</v>
      </c>
      <c r="K922" t="s">
        <v>1044</v>
      </c>
      <c r="L922" t="s">
        <v>1037</v>
      </c>
      <c r="M922" s="2" t="s">
        <v>1024</v>
      </c>
      <c r="N922">
        <v>3.6</v>
      </c>
    </row>
    <row r="923" spans="1:14" x14ac:dyDescent="0.3">
      <c r="A923" t="s">
        <v>935</v>
      </c>
      <c r="B923">
        <v>65</v>
      </c>
      <c r="C923" t="s">
        <v>1014</v>
      </c>
      <c r="D923" s="2" t="s">
        <v>1124</v>
      </c>
      <c r="E923" t="s">
        <v>1168</v>
      </c>
      <c r="F923" s="1">
        <v>45648</v>
      </c>
      <c r="G923" s="1">
        <v>45662</v>
      </c>
      <c r="H923" s="2">
        <v>14</v>
      </c>
      <c r="I923" s="2">
        <v>120000</v>
      </c>
      <c r="J923" s="2" t="s">
        <v>1027</v>
      </c>
      <c r="K923" t="s">
        <v>1044</v>
      </c>
      <c r="L923" t="s">
        <v>1018</v>
      </c>
      <c r="M923" s="2" t="s">
        <v>1024</v>
      </c>
      <c r="N923">
        <v>3.6</v>
      </c>
    </row>
    <row r="924" spans="1:14" x14ac:dyDescent="0.3">
      <c r="A924" t="s">
        <v>936</v>
      </c>
      <c r="B924">
        <v>67</v>
      </c>
      <c r="C924" t="s">
        <v>1014</v>
      </c>
      <c r="D924" s="2" t="s">
        <v>1124</v>
      </c>
      <c r="E924" t="s">
        <v>1168</v>
      </c>
      <c r="F924" s="1">
        <v>45649</v>
      </c>
      <c r="G924" s="1">
        <v>45663</v>
      </c>
      <c r="H924" s="2">
        <v>14</v>
      </c>
      <c r="I924" s="2">
        <v>120000</v>
      </c>
      <c r="J924" s="2" t="s">
        <v>1027</v>
      </c>
      <c r="K924" t="s">
        <v>1044</v>
      </c>
      <c r="L924" t="s">
        <v>1037</v>
      </c>
      <c r="M924" s="2" t="s">
        <v>1024</v>
      </c>
      <c r="N924">
        <v>3.6</v>
      </c>
    </row>
    <row r="925" spans="1:14" x14ac:dyDescent="0.3">
      <c r="A925" t="s">
        <v>937</v>
      </c>
      <c r="B925">
        <v>67</v>
      </c>
      <c r="C925" t="s">
        <v>1014</v>
      </c>
      <c r="D925" s="2" t="s">
        <v>1124</v>
      </c>
      <c r="E925" t="s">
        <v>1168</v>
      </c>
      <c r="F925" s="1">
        <v>45650</v>
      </c>
      <c r="G925" s="1">
        <v>45664</v>
      </c>
      <c r="H925" s="2">
        <v>14</v>
      </c>
      <c r="I925" s="2">
        <v>120000</v>
      </c>
      <c r="J925" s="2" t="s">
        <v>1027</v>
      </c>
      <c r="K925" t="s">
        <v>1044</v>
      </c>
      <c r="M925" s="2" t="s">
        <v>1024</v>
      </c>
      <c r="N925">
        <v>3.6</v>
      </c>
    </row>
    <row r="926" spans="1:14" x14ac:dyDescent="0.3">
      <c r="A926" t="s">
        <v>938</v>
      </c>
      <c r="B926">
        <v>76</v>
      </c>
      <c r="C926" t="s">
        <v>1014</v>
      </c>
      <c r="D926" s="2" t="s">
        <v>1124</v>
      </c>
      <c r="E926" t="s">
        <v>1168</v>
      </c>
      <c r="F926" s="1">
        <v>45651</v>
      </c>
      <c r="G926" s="1">
        <v>45665</v>
      </c>
      <c r="H926" s="2">
        <v>14</v>
      </c>
      <c r="I926" s="2">
        <v>120000</v>
      </c>
      <c r="J926" s="2" t="s">
        <v>1027</v>
      </c>
      <c r="K926" t="s">
        <v>1044</v>
      </c>
      <c r="L926" t="s">
        <v>1018</v>
      </c>
      <c r="M926" s="2" t="s">
        <v>1024</v>
      </c>
      <c r="N926">
        <v>3.6</v>
      </c>
    </row>
    <row r="927" spans="1:14" x14ac:dyDescent="0.3">
      <c r="A927" t="s">
        <v>939</v>
      </c>
      <c r="B927">
        <v>76</v>
      </c>
      <c r="C927" t="s">
        <v>1014</v>
      </c>
      <c r="D927" s="2" t="s">
        <v>1124</v>
      </c>
      <c r="E927" t="s">
        <v>1168</v>
      </c>
      <c r="F927" s="1">
        <v>45652</v>
      </c>
      <c r="G927" s="1">
        <v>45666</v>
      </c>
      <c r="H927" s="2">
        <v>14</v>
      </c>
      <c r="I927" s="2">
        <v>120000</v>
      </c>
      <c r="J927" s="2" t="s">
        <v>1027</v>
      </c>
      <c r="K927" t="s">
        <v>1044</v>
      </c>
      <c r="L927" t="s">
        <v>1018</v>
      </c>
      <c r="M927" s="2" t="s">
        <v>1024</v>
      </c>
      <c r="N927">
        <v>3.6</v>
      </c>
    </row>
    <row r="928" spans="1:14" x14ac:dyDescent="0.3">
      <c r="A928" t="s">
        <v>940</v>
      </c>
      <c r="B928">
        <v>78</v>
      </c>
      <c r="C928" t="s">
        <v>1014</v>
      </c>
      <c r="D928" s="2" t="s">
        <v>1124</v>
      </c>
      <c r="E928" t="s">
        <v>1168</v>
      </c>
      <c r="F928" s="1">
        <v>45653</v>
      </c>
      <c r="G928" s="1">
        <v>45667</v>
      </c>
      <c r="H928" s="2">
        <v>14</v>
      </c>
      <c r="I928" s="2">
        <v>120000</v>
      </c>
      <c r="J928" s="2" t="s">
        <v>1027</v>
      </c>
      <c r="K928" t="s">
        <v>1044</v>
      </c>
      <c r="L928" t="s">
        <v>1037</v>
      </c>
      <c r="M928" s="2" t="s">
        <v>1024</v>
      </c>
      <c r="N928">
        <v>3.6</v>
      </c>
    </row>
    <row r="929" spans="1:14" x14ac:dyDescent="0.3">
      <c r="A929" t="s">
        <v>941</v>
      </c>
      <c r="B929">
        <v>76</v>
      </c>
      <c r="C929" t="s">
        <v>1014</v>
      </c>
      <c r="D929" s="2" t="s">
        <v>1124</v>
      </c>
      <c r="E929" t="s">
        <v>1168</v>
      </c>
      <c r="F929" s="1">
        <v>45654</v>
      </c>
      <c r="G929" s="1">
        <v>45668</v>
      </c>
      <c r="H929" s="2">
        <v>14</v>
      </c>
      <c r="I929" s="2">
        <v>120000</v>
      </c>
      <c r="J929" s="2" t="s">
        <v>1027</v>
      </c>
      <c r="K929" t="s">
        <v>1044</v>
      </c>
      <c r="L929" t="s">
        <v>1018</v>
      </c>
      <c r="M929" s="2" t="s">
        <v>1024</v>
      </c>
      <c r="N929">
        <v>3.6</v>
      </c>
    </row>
    <row r="930" spans="1:14" x14ac:dyDescent="0.3">
      <c r="A930" t="s">
        <v>942</v>
      </c>
      <c r="B930">
        <v>79</v>
      </c>
      <c r="C930" t="s">
        <v>1014</v>
      </c>
      <c r="D930" s="2" t="s">
        <v>1124</v>
      </c>
      <c r="E930" t="s">
        <v>1168</v>
      </c>
      <c r="F930" s="1">
        <v>45655</v>
      </c>
      <c r="G930" s="1">
        <v>45669</v>
      </c>
      <c r="H930" s="2">
        <v>14</v>
      </c>
      <c r="I930" s="2">
        <v>120000</v>
      </c>
      <c r="J930" s="2" t="s">
        <v>1027</v>
      </c>
      <c r="K930" t="s">
        <v>1044</v>
      </c>
      <c r="L930" t="s">
        <v>1037</v>
      </c>
      <c r="M930" s="2" t="s">
        <v>1024</v>
      </c>
      <c r="N930">
        <v>3.6</v>
      </c>
    </row>
    <row r="931" spans="1:14" x14ac:dyDescent="0.3">
      <c r="A931" t="s">
        <v>943</v>
      </c>
      <c r="B931">
        <v>80</v>
      </c>
      <c r="C931" t="s">
        <v>1014</v>
      </c>
      <c r="D931" s="2" t="s">
        <v>1124</v>
      </c>
      <c r="E931" t="s">
        <v>1168</v>
      </c>
      <c r="F931" s="1">
        <v>45656</v>
      </c>
      <c r="G931" s="1">
        <v>45670</v>
      </c>
      <c r="H931" s="2">
        <v>14</v>
      </c>
      <c r="I931" s="2">
        <v>120000</v>
      </c>
      <c r="J931" s="2" t="s">
        <v>1027</v>
      </c>
      <c r="K931" t="s">
        <v>1044</v>
      </c>
      <c r="L931" t="s">
        <v>1018</v>
      </c>
      <c r="M931" s="2" t="s">
        <v>1024</v>
      </c>
      <c r="N931">
        <v>3.6</v>
      </c>
    </row>
    <row r="932" spans="1:14" x14ac:dyDescent="0.3">
      <c r="A932" t="s">
        <v>944</v>
      </c>
      <c r="B932">
        <v>87</v>
      </c>
      <c r="C932" t="s">
        <v>1014</v>
      </c>
      <c r="D932" s="2" t="s">
        <v>1124</v>
      </c>
      <c r="E932" t="s">
        <v>1168</v>
      </c>
      <c r="F932" s="1">
        <v>45657</v>
      </c>
      <c r="G932" s="1">
        <v>45671</v>
      </c>
      <c r="H932" s="2">
        <v>14</v>
      </c>
      <c r="I932" s="2">
        <v>120000</v>
      </c>
      <c r="J932" s="2" t="s">
        <v>1027</v>
      </c>
      <c r="K932" t="s">
        <v>1044</v>
      </c>
      <c r="L932" t="s">
        <v>1037</v>
      </c>
      <c r="M932" s="2" t="s">
        <v>1024</v>
      </c>
      <c r="N932">
        <v>3.6</v>
      </c>
    </row>
    <row r="933" spans="1:14" x14ac:dyDescent="0.3">
      <c r="A933" t="s">
        <v>945</v>
      </c>
      <c r="B933">
        <v>81</v>
      </c>
      <c r="C933" t="s">
        <v>1014</v>
      </c>
      <c r="D933" s="2" t="s">
        <v>1124</v>
      </c>
      <c r="E933" t="s">
        <v>1168</v>
      </c>
      <c r="F933" s="1">
        <v>44927</v>
      </c>
      <c r="G933" s="1">
        <v>44941</v>
      </c>
      <c r="H933" s="2">
        <v>14</v>
      </c>
      <c r="I933" s="2">
        <v>120000</v>
      </c>
      <c r="J933" s="2" t="s">
        <v>1027</v>
      </c>
      <c r="K933" t="s">
        <v>1044</v>
      </c>
      <c r="L933" t="s">
        <v>1037</v>
      </c>
      <c r="M933" s="2" t="s">
        <v>1024</v>
      </c>
      <c r="N933">
        <v>3.6</v>
      </c>
    </row>
    <row r="934" spans="1:14" x14ac:dyDescent="0.3">
      <c r="A934" t="s">
        <v>946</v>
      </c>
      <c r="B934">
        <v>82</v>
      </c>
      <c r="C934" t="s">
        <v>1014</v>
      </c>
      <c r="D934" s="2" t="s">
        <v>1124</v>
      </c>
      <c r="E934" t="s">
        <v>1168</v>
      </c>
      <c r="F934" s="1">
        <v>44928</v>
      </c>
      <c r="G934" s="1">
        <v>44942</v>
      </c>
      <c r="H934" s="2">
        <v>14</v>
      </c>
      <c r="I934" s="2">
        <v>120000</v>
      </c>
      <c r="J934" s="2" t="s">
        <v>1027</v>
      </c>
      <c r="K934" t="s">
        <v>1044</v>
      </c>
      <c r="L934" t="s">
        <v>1037</v>
      </c>
      <c r="M934" s="2" t="s">
        <v>1024</v>
      </c>
      <c r="N934">
        <v>3.6</v>
      </c>
    </row>
    <row r="935" spans="1:14" x14ac:dyDescent="0.3">
      <c r="A935" t="s">
        <v>947</v>
      </c>
      <c r="B935">
        <v>83</v>
      </c>
      <c r="C935" t="s">
        <v>1014</v>
      </c>
      <c r="D935" s="2" t="s">
        <v>1124</v>
      </c>
      <c r="E935" t="s">
        <v>1168</v>
      </c>
      <c r="F935" s="1">
        <v>44929</v>
      </c>
      <c r="G935" s="1">
        <v>44943</v>
      </c>
      <c r="H935" s="2">
        <v>14</v>
      </c>
      <c r="I935" s="2">
        <v>120000</v>
      </c>
      <c r="J935" s="2" t="s">
        <v>1027</v>
      </c>
      <c r="K935" t="s">
        <v>1044</v>
      </c>
      <c r="L935" t="s">
        <v>1018</v>
      </c>
      <c r="M935" s="2" t="s">
        <v>1024</v>
      </c>
      <c r="N935">
        <v>3.6</v>
      </c>
    </row>
    <row r="936" spans="1:14" x14ac:dyDescent="0.3">
      <c r="A936" t="s">
        <v>948</v>
      </c>
      <c r="B936">
        <v>84</v>
      </c>
      <c r="C936" t="s">
        <v>1014</v>
      </c>
      <c r="D936" s="2" t="s">
        <v>1124</v>
      </c>
      <c r="E936" t="s">
        <v>1168</v>
      </c>
      <c r="F936" s="1">
        <v>44930</v>
      </c>
      <c r="G936" s="1">
        <v>44944</v>
      </c>
      <c r="H936" s="2">
        <v>14</v>
      </c>
      <c r="I936" s="2">
        <v>120000</v>
      </c>
      <c r="J936" s="2" t="s">
        <v>1027</v>
      </c>
      <c r="K936" t="s">
        <v>1044</v>
      </c>
      <c r="L936" t="s">
        <v>1018</v>
      </c>
      <c r="M936" s="2" t="s">
        <v>1024</v>
      </c>
      <c r="N936">
        <v>3.6</v>
      </c>
    </row>
    <row r="937" spans="1:14" x14ac:dyDescent="0.3">
      <c r="A937" t="s">
        <v>949</v>
      </c>
      <c r="B937">
        <v>85</v>
      </c>
      <c r="C937" t="s">
        <v>1014</v>
      </c>
      <c r="D937" s="2" t="s">
        <v>1124</v>
      </c>
      <c r="E937" t="s">
        <v>1168</v>
      </c>
      <c r="F937" s="1">
        <v>44931</v>
      </c>
      <c r="G937" s="1">
        <v>44945</v>
      </c>
      <c r="H937" s="2">
        <v>14</v>
      </c>
      <c r="I937" s="2">
        <v>120000</v>
      </c>
      <c r="J937" s="2" t="s">
        <v>1027</v>
      </c>
      <c r="K937" t="s">
        <v>1044</v>
      </c>
      <c r="L937" t="s">
        <v>1037</v>
      </c>
      <c r="M937" s="2" t="s">
        <v>1024</v>
      </c>
      <c r="N937">
        <v>3.6</v>
      </c>
    </row>
    <row r="938" spans="1:14" x14ac:dyDescent="0.3">
      <c r="A938" t="s">
        <v>950</v>
      </c>
      <c r="B938">
        <v>98</v>
      </c>
      <c r="C938" t="s">
        <v>1014</v>
      </c>
      <c r="D938" s="2" t="s">
        <v>1124</v>
      </c>
      <c r="E938" t="s">
        <v>1168</v>
      </c>
      <c r="F938" s="1">
        <v>44932</v>
      </c>
      <c r="G938" s="1">
        <v>44946</v>
      </c>
      <c r="H938" s="2">
        <v>14</v>
      </c>
      <c r="I938" s="2">
        <v>120000</v>
      </c>
      <c r="J938" s="2" t="s">
        <v>1027</v>
      </c>
      <c r="K938" t="s">
        <v>1044</v>
      </c>
      <c r="L938" t="s">
        <v>1018</v>
      </c>
      <c r="M938" s="2" t="s">
        <v>1024</v>
      </c>
      <c r="N938">
        <v>3.6</v>
      </c>
    </row>
    <row r="939" spans="1:14" x14ac:dyDescent="0.3">
      <c r="A939" t="s">
        <v>951</v>
      </c>
      <c r="B939">
        <v>56</v>
      </c>
      <c r="C939" t="s">
        <v>1014</v>
      </c>
      <c r="D939" s="2" t="s">
        <v>1124</v>
      </c>
      <c r="E939" t="s">
        <v>1168</v>
      </c>
      <c r="F939" s="1">
        <v>44933</v>
      </c>
      <c r="G939" s="1">
        <v>44947</v>
      </c>
      <c r="H939" s="2">
        <v>14</v>
      </c>
      <c r="I939" s="2">
        <v>120000</v>
      </c>
      <c r="J939" s="2" t="s">
        <v>1027</v>
      </c>
      <c r="K939" t="s">
        <v>1044</v>
      </c>
      <c r="L939" t="s">
        <v>1037</v>
      </c>
      <c r="M939" s="2" t="s">
        <v>1024</v>
      </c>
      <c r="N939">
        <v>3.6</v>
      </c>
    </row>
    <row r="940" spans="1:14" x14ac:dyDescent="0.3">
      <c r="A940" t="s">
        <v>952</v>
      </c>
      <c r="B940">
        <v>67</v>
      </c>
      <c r="C940" t="s">
        <v>1014</v>
      </c>
      <c r="D940" s="2" t="s">
        <v>1124</v>
      </c>
      <c r="E940" t="s">
        <v>1168</v>
      </c>
      <c r="F940" s="1">
        <v>44934</v>
      </c>
      <c r="G940" s="1">
        <v>44948</v>
      </c>
      <c r="H940" s="2">
        <v>14</v>
      </c>
      <c r="I940" s="2">
        <v>120000</v>
      </c>
      <c r="J940" s="2" t="s">
        <v>1027</v>
      </c>
      <c r="K940" t="s">
        <v>1044</v>
      </c>
      <c r="M940" s="2" t="s">
        <v>1024</v>
      </c>
      <c r="N940">
        <v>3.6</v>
      </c>
    </row>
    <row r="941" spans="1:14" x14ac:dyDescent="0.3">
      <c r="A941" t="s">
        <v>953</v>
      </c>
      <c r="B941">
        <v>62</v>
      </c>
      <c r="C941" t="s">
        <v>1014</v>
      </c>
      <c r="D941" s="2" t="s">
        <v>1124</v>
      </c>
      <c r="E941" t="s">
        <v>1168</v>
      </c>
      <c r="F941" s="1">
        <v>44935</v>
      </c>
      <c r="G941" s="1">
        <v>44949</v>
      </c>
      <c r="H941" s="2">
        <v>14</v>
      </c>
      <c r="I941" s="2">
        <v>120000</v>
      </c>
      <c r="J941" s="2" t="s">
        <v>1027</v>
      </c>
      <c r="K941" t="s">
        <v>1044</v>
      </c>
      <c r="L941" t="s">
        <v>1018</v>
      </c>
      <c r="M941" s="2" t="s">
        <v>1024</v>
      </c>
      <c r="N941">
        <v>3.6</v>
      </c>
    </row>
    <row r="942" spans="1:14" x14ac:dyDescent="0.3">
      <c r="A942" t="s">
        <v>954</v>
      </c>
      <c r="B942">
        <v>63</v>
      </c>
      <c r="C942" t="s">
        <v>1014</v>
      </c>
      <c r="D942" s="2" t="s">
        <v>1124</v>
      </c>
      <c r="E942" t="s">
        <v>1168</v>
      </c>
      <c r="F942" s="1">
        <v>44936</v>
      </c>
      <c r="G942" s="1">
        <v>44950</v>
      </c>
      <c r="H942" s="2">
        <v>14</v>
      </c>
      <c r="I942" s="2">
        <v>120000</v>
      </c>
      <c r="J942" s="2" t="s">
        <v>1027</v>
      </c>
      <c r="K942" t="s">
        <v>1044</v>
      </c>
      <c r="L942" t="s">
        <v>1018</v>
      </c>
      <c r="M942" s="2" t="s">
        <v>1024</v>
      </c>
      <c r="N942">
        <v>3.6</v>
      </c>
    </row>
    <row r="943" spans="1:14" x14ac:dyDescent="0.3">
      <c r="A943" t="s">
        <v>955</v>
      </c>
      <c r="B943">
        <v>64</v>
      </c>
      <c r="C943" t="s">
        <v>1014</v>
      </c>
      <c r="D943" s="2" t="s">
        <v>1124</v>
      </c>
      <c r="E943" t="s">
        <v>1168</v>
      </c>
      <c r="F943" s="1">
        <v>44937</v>
      </c>
      <c r="G943" s="1">
        <v>44951</v>
      </c>
      <c r="H943" s="2">
        <v>14</v>
      </c>
      <c r="I943" s="2">
        <v>120000</v>
      </c>
      <c r="J943" s="2" t="s">
        <v>1027</v>
      </c>
      <c r="K943" t="s">
        <v>1044</v>
      </c>
      <c r="L943" t="s">
        <v>1037</v>
      </c>
      <c r="M943" s="2" t="s">
        <v>1024</v>
      </c>
      <c r="N943">
        <v>3.6</v>
      </c>
    </row>
    <row r="944" spans="1:14" x14ac:dyDescent="0.3">
      <c r="A944" t="s">
        <v>956</v>
      </c>
      <c r="B944">
        <v>65</v>
      </c>
      <c r="C944" t="s">
        <v>1014</v>
      </c>
      <c r="D944" s="2" t="s">
        <v>1124</v>
      </c>
      <c r="E944" t="s">
        <v>1168</v>
      </c>
      <c r="F944" s="1">
        <v>44938</v>
      </c>
      <c r="G944" s="1">
        <v>44952</v>
      </c>
      <c r="H944" s="2">
        <v>14</v>
      </c>
      <c r="I944" s="2">
        <v>120000</v>
      </c>
      <c r="J944" s="2" t="s">
        <v>1027</v>
      </c>
      <c r="K944" t="s">
        <v>1044</v>
      </c>
      <c r="L944" t="s">
        <v>1018</v>
      </c>
      <c r="M944" s="2" t="s">
        <v>1024</v>
      </c>
      <c r="N944">
        <v>3.6</v>
      </c>
    </row>
    <row r="945" spans="1:14" x14ac:dyDescent="0.3">
      <c r="A945" t="s">
        <v>957</v>
      </c>
      <c r="B945">
        <v>67</v>
      </c>
      <c r="C945" t="s">
        <v>1014</v>
      </c>
      <c r="D945" s="2" t="s">
        <v>1124</v>
      </c>
      <c r="E945" t="s">
        <v>1168</v>
      </c>
      <c r="F945" s="1">
        <v>44939</v>
      </c>
      <c r="G945" s="1">
        <v>44953</v>
      </c>
      <c r="H945" s="2">
        <v>14</v>
      </c>
      <c r="I945" s="2">
        <v>120000</v>
      </c>
      <c r="J945" s="2" t="s">
        <v>1027</v>
      </c>
      <c r="K945" t="s">
        <v>1044</v>
      </c>
      <c r="L945" t="s">
        <v>1037</v>
      </c>
      <c r="M945" s="2" t="s">
        <v>1024</v>
      </c>
      <c r="N945">
        <v>3.6</v>
      </c>
    </row>
    <row r="946" spans="1:14" x14ac:dyDescent="0.3">
      <c r="A946" t="s">
        <v>958</v>
      </c>
      <c r="B946">
        <v>68</v>
      </c>
      <c r="C946" t="s">
        <v>1014</v>
      </c>
      <c r="D946" s="2" t="s">
        <v>1124</v>
      </c>
      <c r="E946" t="s">
        <v>1168</v>
      </c>
      <c r="F946" s="1">
        <v>44940</v>
      </c>
      <c r="G946" s="1">
        <v>44945</v>
      </c>
      <c r="H946" s="2">
        <v>5</v>
      </c>
      <c r="I946" s="2">
        <v>120000</v>
      </c>
      <c r="J946" s="2" t="s">
        <v>1027</v>
      </c>
      <c r="K946" t="s">
        <v>1044</v>
      </c>
      <c r="L946" t="s">
        <v>1018</v>
      </c>
      <c r="M946" s="2" t="s">
        <v>1019</v>
      </c>
      <c r="N946">
        <v>3.6</v>
      </c>
    </row>
    <row r="947" spans="1:14" x14ac:dyDescent="0.3">
      <c r="A947" t="s">
        <v>959</v>
      </c>
      <c r="B947">
        <v>77</v>
      </c>
      <c r="C947" t="s">
        <v>1014</v>
      </c>
      <c r="D947" s="2" t="s">
        <v>1124</v>
      </c>
      <c r="E947" t="s">
        <v>1168</v>
      </c>
      <c r="F947" s="1">
        <v>44941</v>
      </c>
      <c r="G947" s="1">
        <v>44946</v>
      </c>
      <c r="H947" s="2">
        <v>5</v>
      </c>
      <c r="I947" s="2">
        <v>119000</v>
      </c>
      <c r="J947" s="2" t="s">
        <v>1027</v>
      </c>
      <c r="K947" t="s">
        <v>1044</v>
      </c>
      <c r="L947" t="s">
        <v>1037</v>
      </c>
      <c r="M947" s="2" t="s">
        <v>1019</v>
      </c>
      <c r="N947">
        <v>3.6</v>
      </c>
    </row>
    <row r="948" spans="1:14" x14ac:dyDescent="0.3">
      <c r="A948" t="s">
        <v>960</v>
      </c>
      <c r="B948">
        <v>66</v>
      </c>
      <c r="C948" t="s">
        <v>1014</v>
      </c>
      <c r="D948" s="2" t="s">
        <v>1124</v>
      </c>
      <c r="E948" t="s">
        <v>1168</v>
      </c>
      <c r="F948" s="1">
        <v>44942</v>
      </c>
      <c r="G948" s="1">
        <v>44947</v>
      </c>
      <c r="H948" s="2">
        <v>5</v>
      </c>
      <c r="I948" s="2">
        <v>119000</v>
      </c>
      <c r="J948" s="2" t="s">
        <v>1027</v>
      </c>
      <c r="K948" t="s">
        <v>1044</v>
      </c>
      <c r="L948" t="s">
        <v>1037</v>
      </c>
      <c r="M948" s="2" t="s">
        <v>1019</v>
      </c>
      <c r="N948">
        <v>3.6</v>
      </c>
    </row>
    <row r="949" spans="1:14" x14ac:dyDescent="0.3">
      <c r="A949" t="s">
        <v>961</v>
      </c>
      <c r="B949">
        <v>88</v>
      </c>
      <c r="C949" t="s">
        <v>1014</v>
      </c>
      <c r="D949" s="2" t="s">
        <v>1124</v>
      </c>
      <c r="E949" t="s">
        <v>1168</v>
      </c>
      <c r="F949" s="1">
        <v>44943</v>
      </c>
      <c r="G949" s="1">
        <v>44948</v>
      </c>
      <c r="H949" s="2">
        <v>5</v>
      </c>
      <c r="I949" s="2">
        <v>119000</v>
      </c>
      <c r="J949" s="2" t="s">
        <v>1027</v>
      </c>
      <c r="K949" t="s">
        <v>1044</v>
      </c>
      <c r="L949" t="s">
        <v>1037</v>
      </c>
      <c r="M949" s="2" t="s">
        <v>1019</v>
      </c>
      <c r="N949">
        <v>3.6</v>
      </c>
    </row>
    <row r="950" spans="1:14" x14ac:dyDescent="0.3">
      <c r="A950" t="s">
        <v>962</v>
      </c>
      <c r="B950">
        <v>77</v>
      </c>
      <c r="C950" t="s">
        <v>1014</v>
      </c>
      <c r="D950" s="2" t="s">
        <v>1124</v>
      </c>
      <c r="E950" t="s">
        <v>1168</v>
      </c>
      <c r="F950" s="1">
        <v>44944</v>
      </c>
      <c r="G950" s="1">
        <v>44949</v>
      </c>
      <c r="H950" s="2">
        <v>5</v>
      </c>
      <c r="I950" s="2">
        <v>119000</v>
      </c>
      <c r="J950" s="2" t="s">
        <v>1027</v>
      </c>
      <c r="K950" t="s">
        <v>1044</v>
      </c>
      <c r="L950" t="s">
        <v>1018</v>
      </c>
      <c r="M950" s="2" t="s">
        <v>1019</v>
      </c>
      <c r="N950">
        <v>3.6</v>
      </c>
    </row>
    <row r="951" spans="1:14" x14ac:dyDescent="0.3">
      <c r="A951" t="s">
        <v>963</v>
      </c>
      <c r="B951">
        <v>71</v>
      </c>
      <c r="C951" t="s">
        <v>1014</v>
      </c>
      <c r="D951" s="2" t="s">
        <v>1124</v>
      </c>
      <c r="E951" t="s">
        <v>1168</v>
      </c>
      <c r="F951" s="1">
        <v>44945</v>
      </c>
      <c r="G951" s="1">
        <v>44950</v>
      </c>
      <c r="H951" s="2">
        <v>5</v>
      </c>
      <c r="I951" s="2">
        <v>119000</v>
      </c>
      <c r="J951" s="2" t="s">
        <v>1027</v>
      </c>
      <c r="K951" t="s">
        <v>1044</v>
      </c>
      <c r="L951" t="s">
        <v>1018</v>
      </c>
      <c r="M951" s="2" t="s">
        <v>1019</v>
      </c>
      <c r="N951">
        <v>3.6</v>
      </c>
    </row>
    <row r="952" spans="1:14" x14ac:dyDescent="0.3">
      <c r="A952" t="s">
        <v>964</v>
      </c>
      <c r="B952">
        <v>72</v>
      </c>
      <c r="C952" t="s">
        <v>1014</v>
      </c>
      <c r="D952" s="2" t="s">
        <v>1124</v>
      </c>
      <c r="E952" t="s">
        <v>1168</v>
      </c>
      <c r="F952" s="1">
        <v>44946</v>
      </c>
      <c r="G952" s="1">
        <v>44951</v>
      </c>
      <c r="H952" s="2">
        <v>5</v>
      </c>
      <c r="I952" s="2">
        <v>119000</v>
      </c>
      <c r="J952" s="2" t="s">
        <v>1027</v>
      </c>
      <c r="K952" t="s">
        <v>1044</v>
      </c>
      <c r="L952" t="s">
        <v>1037</v>
      </c>
      <c r="M952" s="2" t="s">
        <v>1019</v>
      </c>
      <c r="N952">
        <v>3.6</v>
      </c>
    </row>
    <row r="953" spans="1:14" x14ac:dyDescent="0.3">
      <c r="A953" t="s">
        <v>965</v>
      </c>
      <c r="B953">
        <v>73</v>
      </c>
      <c r="C953" t="s">
        <v>1014</v>
      </c>
      <c r="D953" s="2" t="s">
        <v>1124</v>
      </c>
      <c r="E953" t="s">
        <v>1168</v>
      </c>
      <c r="F953" s="1">
        <v>44947</v>
      </c>
      <c r="G953" s="1">
        <v>44952</v>
      </c>
      <c r="H953" s="2">
        <v>5</v>
      </c>
      <c r="I953" s="2">
        <v>119000</v>
      </c>
      <c r="J953" s="2" t="s">
        <v>1027</v>
      </c>
      <c r="K953" t="s">
        <v>1044</v>
      </c>
      <c r="L953" t="s">
        <v>1018</v>
      </c>
      <c r="M953" s="2" t="s">
        <v>1019</v>
      </c>
      <c r="N953">
        <v>3.6</v>
      </c>
    </row>
    <row r="954" spans="1:14" x14ac:dyDescent="0.3">
      <c r="A954" t="s">
        <v>966</v>
      </c>
      <c r="B954">
        <v>74</v>
      </c>
      <c r="C954" t="s">
        <v>1014</v>
      </c>
      <c r="D954" s="2" t="s">
        <v>1124</v>
      </c>
      <c r="E954" t="s">
        <v>1168</v>
      </c>
      <c r="F954" s="1">
        <v>44948</v>
      </c>
      <c r="G954" s="1">
        <v>44953</v>
      </c>
      <c r="H954" s="2">
        <v>5</v>
      </c>
      <c r="I954" s="2">
        <v>119000</v>
      </c>
      <c r="J954" s="2" t="s">
        <v>1027</v>
      </c>
      <c r="K954" t="s">
        <v>1044</v>
      </c>
      <c r="L954" t="s">
        <v>1037</v>
      </c>
      <c r="M954" s="2" t="s">
        <v>1019</v>
      </c>
      <c r="N954">
        <v>3.6</v>
      </c>
    </row>
    <row r="955" spans="1:14" x14ac:dyDescent="0.3">
      <c r="A955" t="s">
        <v>967</v>
      </c>
      <c r="B955">
        <v>75</v>
      </c>
      <c r="C955" t="s">
        <v>1014</v>
      </c>
      <c r="D955" s="2" t="s">
        <v>1124</v>
      </c>
      <c r="E955" t="s">
        <v>1168</v>
      </c>
      <c r="F955" s="1">
        <v>44949</v>
      </c>
      <c r="G955" s="1">
        <v>44954</v>
      </c>
      <c r="H955" s="2">
        <v>5</v>
      </c>
      <c r="I955" s="2">
        <v>119000</v>
      </c>
      <c r="J955" s="2" t="s">
        <v>1027</v>
      </c>
      <c r="K955" t="s">
        <v>1044</v>
      </c>
      <c r="M955" s="2" t="s">
        <v>1019</v>
      </c>
      <c r="N955">
        <v>3.6</v>
      </c>
    </row>
    <row r="956" spans="1:14" x14ac:dyDescent="0.3">
      <c r="A956" t="s">
        <v>968</v>
      </c>
      <c r="B956">
        <v>76</v>
      </c>
      <c r="C956" t="s">
        <v>1014</v>
      </c>
      <c r="D956" s="2" t="s">
        <v>1124</v>
      </c>
      <c r="E956" t="s">
        <v>1168</v>
      </c>
      <c r="F956" s="1">
        <v>44950</v>
      </c>
      <c r="G956" s="1">
        <v>44955</v>
      </c>
      <c r="H956" s="2">
        <v>5</v>
      </c>
      <c r="I956" s="2">
        <v>119000</v>
      </c>
      <c r="J956" s="2" t="s">
        <v>1027</v>
      </c>
      <c r="K956" t="s">
        <v>1044</v>
      </c>
      <c r="L956" t="s">
        <v>1018</v>
      </c>
      <c r="M956" s="2" t="s">
        <v>1019</v>
      </c>
      <c r="N956">
        <v>3.6</v>
      </c>
    </row>
    <row r="957" spans="1:14" x14ac:dyDescent="0.3">
      <c r="A957" t="s">
        <v>969</v>
      </c>
      <c r="B957">
        <v>78</v>
      </c>
      <c r="C957" t="s">
        <v>1014</v>
      </c>
      <c r="D957" s="2" t="s">
        <v>1124</v>
      </c>
      <c r="E957" t="s">
        <v>1168</v>
      </c>
      <c r="F957" s="1">
        <v>44951</v>
      </c>
      <c r="G957" s="1">
        <v>44956</v>
      </c>
      <c r="H957" s="2">
        <v>5</v>
      </c>
      <c r="I957" s="2">
        <v>119000</v>
      </c>
      <c r="J957" s="2" t="s">
        <v>1027</v>
      </c>
      <c r="K957" t="s">
        <v>1044</v>
      </c>
      <c r="L957" t="s">
        <v>1018</v>
      </c>
      <c r="M957" s="2" t="s">
        <v>1019</v>
      </c>
      <c r="N957">
        <v>3.6</v>
      </c>
    </row>
    <row r="958" spans="1:14" x14ac:dyDescent="0.3">
      <c r="A958" t="s">
        <v>970</v>
      </c>
      <c r="B958">
        <v>78</v>
      </c>
      <c r="C958" t="s">
        <v>1014</v>
      </c>
      <c r="D958" s="2" t="s">
        <v>1124</v>
      </c>
      <c r="E958" t="s">
        <v>1168</v>
      </c>
      <c r="F958" s="1">
        <v>44952</v>
      </c>
      <c r="G958" s="1">
        <v>44957</v>
      </c>
      <c r="H958" s="2">
        <v>5</v>
      </c>
      <c r="I958" s="2">
        <v>119000</v>
      </c>
      <c r="J958" s="2" t="s">
        <v>1027</v>
      </c>
      <c r="K958" t="s">
        <v>1044</v>
      </c>
      <c r="L958" t="s">
        <v>1037</v>
      </c>
      <c r="M958" s="2" t="s">
        <v>1019</v>
      </c>
      <c r="N958">
        <v>3.6</v>
      </c>
    </row>
    <row r="959" spans="1:14" x14ac:dyDescent="0.3">
      <c r="A959" t="s">
        <v>971</v>
      </c>
      <c r="B959">
        <v>78</v>
      </c>
      <c r="C959" t="s">
        <v>1014</v>
      </c>
      <c r="D959" s="2" t="s">
        <v>1124</v>
      </c>
      <c r="E959" t="s">
        <v>1168</v>
      </c>
      <c r="F959" s="1">
        <v>44953</v>
      </c>
      <c r="G959" s="1">
        <v>44965</v>
      </c>
      <c r="H959" s="2">
        <v>12</v>
      </c>
      <c r="I959" s="2">
        <v>119000</v>
      </c>
      <c r="J959" s="2" t="s">
        <v>1027</v>
      </c>
      <c r="K959" t="s">
        <v>1044</v>
      </c>
      <c r="L959" t="s">
        <v>1018</v>
      </c>
      <c r="M959" s="2" t="s">
        <v>1019</v>
      </c>
      <c r="N959">
        <v>3.6</v>
      </c>
    </row>
    <row r="960" spans="1:14" x14ac:dyDescent="0.3">
      <c r="A960" t="s">
        <v>972</v>
      </c>
      <c r="B960">
        <v>76</v>
      </c>
      <c r="C960" t="s">
        <v>1014</v>
      </c>
      <c r="D960" s="2" t="s">
        <v>1124</v>
      </c>
      <c r="E960" t="s">
        <v>1168</v>
      </c>
      <c r="F960" s="1">
        <v>44954</v>
      </c>
      <c r="G960" s="1">
        <v>44966</v>
      </c>
      <c r="H960" s="2">
        <v>12</v>
      </c>
      <c r="I960" s="2">
        <v>119000</v>
      </c>
      <c r="J960" s="2" t="s">
        <v>1027</v>
      </c>
      <c r="K960" t="s">
        <v>1044</v>
      </c>
      <c r="L960" t="s">
        <v>1037</v>
      </c>
      <c r="M960" s="2" t="s">
        <v>1019</v>
      </c>
      <c r="N960">
        <v>3.6</v>
      </c>
    </row>
    <row r="961" spans="1:14" x14ac:dyDescent="0.3">
      <c r="A961" t="s">
        <v>973</v>
      </c>
      <c r="B961">
        <v>55</v>
      </c>
      <c r="C961" t="s">
        <v>1014</v>
      </c>
      <c r="D961" s="2" t="s">
        <v>1124</v>
      </c>
      <c r="E961" t="s">
        <v>1168</v>
      </c>
      <c r="F961" s="1">
        <v>44955</v>
      </c>
      <c r="G961" s="1">
        <v>44967</v>
      </c>
      <c r="H961" s="2">
        <v>12</v>
      </c>
      <c r="I961" s="2">
        <v>119000</v>
      </c>
      <c r="J961" s="2" t="s">
        <v>1027</v>
      </c>
      <c r="K961" t="s">
        <v>1044</v>
      </c>
      <c r="L961" t="s">
        <v>1018</v>
      </c>
      <c r="M961" s="2" t="s">
        <v>1019</v>
      </c>
      <c r="N961">
        <v>3.6</v>
      </c>
    </row>
    <row r="962" spans="1:14" x14ac:dyDescent="0.3">
      <c r="A962" t="s">
        <v>974</v>
      </c>
      <c r="B962">
        <v>66</v>
      </c>
      <c r="C962" t="s">
        <v>1014</v>
      </c>
      <c r="D962" s="2" t="s">
        <v>1124</v>
      </c>
      <c r="E962" t="s">
        <v>1168</v>
      </c>
      <c r="F962" s="1">
        <v>44956</v>
      </c>
      <c r="G962" s="1">
        <v>44968</v>
      </c>
      <c r="H962" s="2">
        <v>12</v>
      </c>
      <c r="I962" s="2">
        <v>119000</v>
      </c>
      <c r="J962" s="2" t="s">
        <v>1027</v>
      </c>
      <c r="K962" t="s">
        <v>1044</v>
      </c>
      <c r="L962" t="s">
        <v>1037</v>
      </c>
      <c r="M962" s="2" t="s">
        <v>1019</v>
      </c>
      <c r="N962">
        <v>3.6</v>
      </c>
    </row>
    <row r="963" spans="1:14" x14ac:dyDescent="0.3">
      <c r="A963" t="s">
        <v>975</v>
      </c>
      <c r="B963">
        <v>77</v>
      </c>
      <c r="C963" t="s">
        <v>1014</v>
      </c>
      <c r="D963" s="2" t="s">
        <v>1124</v>
      </c>
      <c r="E963" t="s">
        <v>1168</v>
      </c>
      <c r="F963" s="1">
        <v>44957</v>
      </c>
      <c r="G963" s="1">
        <v>44969</v>
      </c>
      <c r="H963" s="2">
        <v>12</v>
      </c>
      <c r="I963" s="2">
        <v>119000</v>
      </c>
      <c r="J963" s="2" t="s">
        <v>1027</v>
      </c>
      <c r="K963" t="s">
        <v>1044</v>
      </c>
      <c r="L963" t="s">
        <v>1037</v>
      </c>
      <c r="M963" s="2" t="s">
        <v>1019</v>
      </c>
      <c r="N963">
        <v>3.6</v>
      </c>
    </row>
    <row r="964" spans="1:14" x14ac:dyDescent="0.3">
      <c r="A964" t="s">
        <v>976</v>
      </c>
      <c r="B964">
        <v>55</v>
      </c>
      <c r="C964" t="s">
        <v>1014</v>
      </c>
      <c r="D964" s="2" t="s">
        <v>1124</v>
      </c>
      <c r="E964" t="s">
        <v>1168</v>
      </c>
      <c r="F964" s="1">
        <v>44958</v>
      </c>
      <c r="G964" s="1">
        <v>44970</v>
      </c>
      <c r="H964" s="2">
        <v>12</v>
      </c>
      <c r="I964" s="2">
        <v>119000</v>
      </c>
      <c r="J964" s="2" t="s">
        <v>1027</v>
      </c>
      <c r="K964" t="s">
        <v>1044</v>
      </c>
      <c r="L964" t="s">
        <v>1037</v>
      </c>
      <c r="M964" s="2" t="s">
        <v>1019</v>
      </c>
      <c r="N964">
        <v>3.6</v>
      </c>
    </row>
    <row r="965" spans="1:14" x14ac:dyDescent="0.3">
      <c r="A965" t="s">
        <v>977</v>
      </c>
      <c r="B965">
        <v>66</v>
      </c>
      <c r="C965" t="s">
        <v>1014</v>
      </c>
      <c r="D965" s="2" t="s">
        <v>1124</v>
      </c>
      <c r="E965" t="s">
        <v>1168</v>
      </c>
      <c r="F965" s="1">
        <v>44959</v>
      </c>
      <c r="G965" s="1">
        <v>44971</v>
      </c>
      <c r="H965" s="2">
        <v>12</v>
      </c>
      <c r="I965" s="2">
        <v>119000</v>
      </c>
      <c r="J965" s="2" t="s">
        <v>1027</v>
      </c>
      <c r="K965" t="s">
        <v>1044</v>
      </c>
      <c r="L965" t="s">
        <v>1018</v>
      </c>
      <c r="M965" s="2" t="s">
        <v>1019</v>
      </c>
      <c r="N965">
        <v>3.6</v>
      </c>
    </row>
    <row r="966" spans="1:14" x14ac:dyDescent="0.3">
      <c r="A966" t="s">
        <v>978</v>
      </c>
      <c r="B966">
        <v>44</v>
      </c>
      <c r="C966" t="s">
        <v>1014</v>
      </c>
      <c r="D966" s="2" t="s">
        <v>1124</v>
      </c>
      <c r="E966" t="s">
        <v>1168</v>
      </c>
      <c r="F966" s="1">
        <v>44960</v>
      </c>
      <c r="G966" s="1">
        <v>44972</v>
      </c>
      <c r="H966" s="2">
        <v>12</v>
      </c>
      <c r="I966" s="2">
        <v>119000</v>
      </c>
      <c r="J966" s="2" t="s">
        <v>1027</v>
      </c>
      <c r="K966" t="s">
        <v>1044</v>
      </c>
      <c r="L966" t="s">
        <v>1018</v>
      </c>
      <c r="M966" s="2" t="s">
        <v>1019</v>
      </c>
      <c r="N966">
        <v>3.6</v>
      </c>
    </row>
    <row r="967" spans="1:14" x14ac:dyDescent="0.3">
      <c r="A967" t="s">
        <v>979</v>
      </c>
      <c r="B967">
        <v>88</v>
      </c>
      <c r="C967" t="s">
        <v>1014</v>
      </c>
      <c r="D967" s="2" t="s">
        <v>1124</v>
      </c>
      <c r="E967" t="s">
        <v>1168</v>
      </c>
      <c r="F967" s="1">
        <v>44961</v>
      </c>
      <c r="G967" s="1">
        <v>44973</v>
      </c>
      <c r="H967" s="2">
        <v>12</v>
      </c>
      <c r="I967" s="2">
        <v>119000</v>
      </c>
      <c r="J967" s="2" t="s">
        <v>1027</v>
      </c>
      <c r="K967" t="s">
        <v>1044</v>
      </c>
      <c r="L967" t="s">
        <v>1037</v>
      </c>
      <c r="M967" s="2" t="s">
        <v>1019</v>
      </c>
      <c r="N967">
        <v>3.6</v>
      </c>
    </row>
    <row r="968" spans="1:14" x14ac:dyDescent="0.3">
      <c r="A968" t="s">
        <v>980</v>
      </c>
      <c r="B968">
        <v>56</v>
      </c>
      <c r="C968" t="s">
        <v>1014</v>
      </c>
      <c r="D968" s="2" t="s">
        <v>1124</v>
      </c>
      <c r="E968" t="s">
        <v>1168</v>
      </c>
      <c r="F968" s="1">
        <v>44962</v>
      </c>
      <c r="G968" s="1">
        <v>44974</v>
      </c>
      <c r="H968" s="2">
        <v>12</v>
      </c>
      <c r="I968" s="2">
        <v>119000</v>
      </c>
      <c r="J968" s="2" t="s">
        <v>1027</v>
      </c>
      <c r="K968" t="s">
        <v>1044</v>
      </c>
      <c r="L968" t="s">
        <v>1018</v>
      </c>
      <c r="M968" s="2" t="s">
        <v>1019</v>
      </c>
      <c r="N968">
        <v>3.6</v>
      </c>
    </row>
    <row r="969" spans="1:14" x14ac:dyDescent="0.3">
      <c r="A969" t="s">
        <v>981</v>
      </c>
      <c r="B969">
        <v>65</v>
      </c>
      <c r="C969" t="s">
        <v>1014</v>
      </c>
      <c r="D969" s="2" t="s">
        <v>1031</v>
      </c>
      <c r="E969" t="s">
        <v>1032</v>
      </c>
      <c r="F969" s="1">
        <v>44963</v>
      </c>
      <c r="G969" s="1">
        <v>44975</v>
      </c>
      <c r="H969" s="2">
        <v>12</v>
      </c>
      <c r="I969" s="2">
        <v>119000</v>
      </c>
      <c r="J969" s="2" t="s">
        <v>1027</v>
      </c>
      <c r="K969" t="s">
        <v>1161</v>
      </c>
      <c r="L969" t="s">
        <v>1037</v>
      </c>
      <c r="M969" s="2" t="s">
        <v>1019</v>
      </c>
      <c r="N969">
        <v>3.6</v>
      </c>
    </row>
    <row r="970" spans="1:14" x14ac:dyDescent="0.3">
      <c r="A970" t="s">
        <v>982</v>
      </c>
      <c r="B970">
        <v>67</v>
      </c>
      <c r="C970" t="s">
        <v>1014</v>
      </c>
      <c r="D970" s="2" t="s">
        <v>1031</v>
      </c>
      <c r="E970" t="s">
        <v>1032</v>
      </c>
      <c r="F970" s="1">
        <v>44964</v>
      </c>
      <c r="G970" s="1">
        <v>44976</v>
      </c>
      <c r="H970" s="2">
        <v>12</v>
      </c>
      <c r="I970" s="2">
        <v>119000</v>
      </c>
      <c r="J970" s="2" t="s">
        <v>1027</v>
      </c>
      <c r="K970" t="s">
        <v>1161</v>
      </c>
      <c r="M970" s="2" t="s">
        <v>1019</v>
      </c>
      <c r="N970">
        <v>3.6</v>
      </c>
    </row>
    <row r="971" spans="1:14" x14ac:dyDescent="0.3">
      <c r="A971" t="s">
        <v>983</v>
      </c>
      <c r="B971">
        <v>78</v>
      </c>
      <c r="C971" t="s">
        <v>1014</v>
      </c>
      <c r="D971" s="2" t="s">
        <v>1031</v>
      </c>
      <c r="E971" t="s">
        <v>1032</v>
      </c>
      <c r="F971" s="1">
        <v>44965</v>
      </c>
      <c r="G971" s="1">
        <v>44977</v>
      </c>
      <c r="H971" s="2">
        <v>12</v>
      </c>
      <c r="I971" s="2">
        <v>119000</v>
      </c>
      <c r="J971" s="2" t="s">
        <v>1027</v>
      </c>
      <c r="K971" t="s">
        <v>1161</v>
      </c>
      <c r="L971" t="s">
        <v>1018</v>
      </c>
      <c r="M971" s="2" t="s">
        <v>1019</v>
      </c>
      <c r="N971">
        <v>3.6</v>
      </c>
    </row>
    <row r="972" spans="1:14" x14ac:dyDescent="0.3">
      <c r="A972" t="s">
        <v>984</v>
      </c>
      <c r="B972">
        <v>76</v>
      </c>
      <c r="C972" t="s">
        <v>1014</v>
      </c>
      <c r="D972" s="2" t="s">
        <v>1031</v>
      </c>
      <c r="E972" t="s">
        <v>1032</v>
      </c>
      <c r="F972" s="1">
        <v>44966</v>
      </c>
      <c r="G972" s="1">
        <v>44978</v>
      </c>
      <c r="H972" s="2">
        <v>12</v>
      </c>
      <c r="I972" s="2">
        <v>119000</v>
      </c>
      <c r="J972" s="2" t="s">
        <v>1027</v>
      </c>
      <c r="K972" t="s">
        <v>1161</v>
      </c>
      <c r="L972" t="s">
        <v>1018</v>
      </c>
      <c r="M972" s="2" t="s">
        <v>1019</v>
      </c>
      <c r="N972">
        <v>3.6</v>
      </c>
    </row>
    <row r="973" spans="1:14" x14ac:dyDescent="0.3">
      <c r="A973" t="s">
        <v>985</v>
      </c>
      <c r="B973">
        <v>65</v>
      </c>
      <c r="C973" t="s">
        <v>1014</v>
      </c>
      <c r="D973" s="2" t="s">
        <v>1031</v>
      </c>
      <c r="E973" t="s">
        <v>1032</v>
      </c>
      <c r="F973" s="1">
        <v>44967</v>
      </c>
      <c r="G973" s="1">
        <v>44979</v>
      </c>
      <c r="H973" s="2">
        <v>12</v>
      </c>
      <c r="I973" s="2">
        <v>119000</v>
      </c>
      <c r="J973" s="2" t="s">
        <v>1027</v>
      </c>
      <c r="K973" t="s">
        <v>1161</v>
      </c>
      <c r="L973" t="s">
        <v>1037</v>
      </c>
      <c r="M973" s="2" t="s">
        <v>1019</v>
      </c>
      <c r="N973">
        <v>3.6</v>
      </c>
    </row>
    <row r="974" spans="1:14" x14ac:dyDescent="0.3">
      <c r="A974" t="s">
        <v>986</v>
      </c>
      <c r="B974">
        <v>54</v>
      </c>
      <c r="C974" t="s">
        <v>1014</v>
      </c>
      <c r="D974" s="2" t="s">
        <v>1031</v>
      </c>
      <c r="E974" t="s">
        <v>1032</v>
      </c>
      <c r="F974" s="1">
        <v>44968</v>
      </c>
      <c r="G974" s="1">
        <v>44980</v>
      </c>
      <c r="H974" s="2">
        <v>12</v>
      </c>
      <c r="I974" s="2">
        <v>119000</v>
      </c>
      <c r="J974" s="2" t="s">
        <v>1027</v>
      </c>
      <c r="K974" t="s">
        <v>1161</v>
      </c>
      <c r="L974" t="s">
        <v>1018</v>
      </c>
      <c r="M974" s="2" t="s">
        <v>1019</v>
      </c>
      <c r="N974">
        <v>3.6</v>
      </c>
    </row>
    <row r="975" spans="1:14" x14ac:dyDescent="0.3">
      <c r="A975" t="s">
        <v>987</v>
      </c>
      <c r="B975">
        <v>53</v>
      </c>
      <c r="C975" t="s">
        <v>1020</v>
      </c>
      <c r="D975" s="2" t="s">
        <v>1031</v>
      </c>
      <c r="E975" t="s">
        <v>1032</v>
      </c>
      <c r="F975" s="1">
        <v>44969</v>
      </c>
      <c r="G975" s="1">
        <v>44981</v>
      </c>
      <c r="H975" s="2">
        <v>12</v>
      </c>
      <c r="I975" s="2">
        <v>119000</v>
      </c>
      <c r="J975" s="2" t="s">
        <v>1027</v>
      </c>
      <c r="K975" t="s">
        <v>1161</v>
      </c>
      <c r="L975" t="s">
        <v>1037</v>
      </c>
      <c r="M975" s="2" t="s">
        <v>1019</v>
      </c>
      <c r="N975">
        <v>3.6</v>
      </c>
    </row>
    <row r="976" spans="1:14" x14ac:dyDescent="0.3">
      <c r="A976" t="s">
        <v>988</v>
      </c>
      <c r="B976">
        <v>54</v>
      </c>
      <c r="C976" t="s">
        <v>1020</v>
      </c>
      <c r="D976" s="2" t="s">
        <v>1031</v>
      </c>
      <c r="E976" t="s">
        <v>1032</v>
      </c>
      <c r="F976" s="1">
        <v>44970</v>
      </c>
      <c r="G976" s="1">
        <v>44982</v>
      </c>
      <c r="H976" s="2">
        <v>12</v>
      </c>
      <c r="I976" s="2">
        <v>119000</v>
      </c>
      <c r="J976" s="2" t="s">
        <v>1027</v>
      </c>
      <c r="K976" t="s">
        <v>1161</v>
      </c>
      <c r="L976" t="s">
        <v>1018</v>
      </c>
      <c r="M976" s="2" t="s">
        <v>1158</v>
      </c>
      <c r="N976">
        <v>3.6</v>
      </c>
    </row>
    <row r="977" spans="1:14" x14ac:dyDescent="0.3">
      <c r="A977" t="s">
        <v>989</v>
      </c>
      <c r="B977">
        <v>54</v>
      </c>
      <c r="C977" t="s">
        <v>1020</v>
      </c>
      <c r="D977" s="2" t="s">
        <v>1031</v>
      </c>
      <c r="E977" t="s">
        <v>1032</v>
      </c>
      <c r="F977" s="1">
        <v>44971</v>
      </c>
      <c r="G977" s="1">
        <v>44983</v>
      </c>
      <c r="H977" s="2">
        <v>12</v>
      </c>
      <c r="I977" s="2">
        <v>119000</v>
      </c>
      <c r="J977" s="2" t="s">
        <v>1027</v>
      </c>
      <c r="K977" t="s">
        <v>1161</v>
      </c>
      <c r="L977" t="s">
        <v>1037</v>
      </c>
      <c r="M977" s="2" t="s">
        <v>1158</v>
      </c>
      <c r="N977">
        <v>3.6</v>
      </c>
    </row>
    <row r="978" spans="1:14" x14ac:dyDescent="0.3">
      <c r="A978" t="s">
        <v>990</v>
      </c>
      <c r="B978">
        <v>56</v>
      </c>
      <c r="C978" t="s">
        <v>1020</v>
      </c>
      <c r="D978" s="2" t="s">
        <v>1031</v>
      </c>
      <c r="E978" t="s">
        <v>1032</v>
      </c>
      <c r="F978" s="1">
        <v>44972</v>
      </c>
      <c r="G978" s="1">
        <v>44984</v>
      </c>
      <c r="H978" s="2">
        <v>12</v>
      </c>
      <c r="I978" s="2">
        <v>119000</v>
      </c>
      <c r="J978" s="2" t="s">
        <v>1027</v>
      </c>
      <c r="K978" t="s">
        <v>1161</v>
      </c>
      <c r="L978" t="s">
        <v>1037</v>
      </c>
      <c r="M978" s="2" t="s">
        <v>1158</v>
      </c>
      <c r="N978">
        <v>3.6</v>
      </c>
    </row>
    <row r="979" spans="1:14" x14ac:dyDescent="0.3">
      <c r="A979" t="s">
        <v>991</v>
      </c>
      <c r="B979">
        <v>67</v>
      </c>
      <c r="C979" t="s">
        <v>1020</v>
      </c>
      <c r="D979" s="2" t="s">
        <v>1031</v>
      </c>
      <c r="E979" t="s">
        <v>1034</v>
      </c>
      <c r="F979" s="1">
        <v>44973</v>
      </c>
      <c r="G979" s="1">
        <v>44985</v>
      </c>
      <c r="H979" s="2">
        <v>12</v>
      </c>
      <c r="I979" s="2">
        <v>119000</v>
      </c>
      <c r="J979" s="2" t="s">
        <v>1027</v>
      </c>
      <c r="K979" t="s">
        <v>1161</v>
      </c>
      <c r="L979" t="s">
        <v>1037</v>
      </c>
      <c r="M979" s="2" t="s">
        <v>1158</v>
      </c>
      <c r="N979">
        <v>3.6</v>
      </c>
    </row>
    <row r="980" spans="1:14" x14ac:dyDescent="0.3">
      <c r="A980" t="s">
        <v>992</v>
      </c>
      <c r="B980">
        <v>78</v>
      </c>
      <c r="C980" t="s">
        <v>1020</v>
      </c>
      <c r="D980" s="2" t="s">
        <v>1031</v>
      </c>
      <c r="E980" t="s">
        <v>1034</v>
      </c>
      <c r="F980" s="1">
        <v>44974</v>
      </c>
      <c r="G980" s="1">
        <v>44986</v>
      </c>
      <c r="H980" s="2">
        <v>12</v>
      </c>
      <c r="I980" s="2">
        <v>119000</v>
      </c>
      <c r="J980" s="2" t="s">
        <v>1027</v>
      </c>
      <c r="K980" t="s">
        <v>1161</v>
      </c>
      <c r="L980" t="s">
        <v>1018</v>
      </c>
      <c r="M980" s="2" t="s">
        <v>1158</v>
      </c>
      <c r="N980">
        <v>3.6</v>
      </c>
    </row>
    <row r="981" spans="1:14" x14ac:dyDescent="0.3">
      <c r="A981" t="s">
        <v>993</v>
      </c>
      <c r="B981">
        <v>56</v>
      </c>
      <c r="C981" t="s">
        <v>1020</v>
      </c>
      <c r="D981" s="2" t="s">
        <v>1031</v>
      </c>
      <c r="E981" t="s">
        <v>1034</v>
      </c>
      <c r="F981" s="1">
        <v>44975</v>
      </c>
      <c r="G981" s="1">
        <v>44987</v>
      </c>
      <c r="H981" s="2">
        <v>12</v>
      </c>
      <c r="I981" s="2">
        <v>119000</v>
      </c>
      <c r="J981" s="2" t="s">
        <v>1027</v>
      </c>
      <c r="K981" t="s">
        <v>1161</v>
      </c>
      <c r="L981" t="s">
        <v>1018</v>
      </c>
      <c r="M981" s="2" t="s">
        <v>1158</v>
      </c>
      <c r="N981">
        <v>3.6</v>
      </c>
    </row>
    <row r="982" spans="1:14" x14ac:dyDescent="0.3">
      <c r="A982" t="s">
        <v>994</v>
      </c>
      <c r="B982">
        <v>67</v>
      </c>
      <c r="C982" t="s">
        <v>1020</v>
      </c>
      <c r="D982" s="2" t="s">
        <v>1031</v>
      </c>
      <c r="E982" t="s">
        <v>1034</v>
      </c>
      <c r="F982" s="1">
        <v>44976</v>
      </c>
      <c r="G982" s="1">
        <v>45015</v>
      </c>
      <c r="H982" s="2">
        <v>11</v>
      </c>
      <c r="I982" s="2">
        <v>119000</v>
      </c>
      <c r="J982" s="2" t="s">
        <v>1027</v>
      </c>
      <c r="K982" t="s">
        <v>1161</v>
      </c>
      <c r="L982" t="s">
        <v>1037</v>
      </c>
      <c r="M982" s="2" t="s">
        <v>1158</v>
      </c>
      <c r="N982">
        <v>3.6</v>
      </c>
    </row>
    <row r="983" spans="1:14" x14ac:dyDescent="0.3">
      <c r="A983" t="s">
        <v>995</v>
      </c>
      <c r="B983">
        <v>65</v>
      </c>
      <c r="C983" t="s">
        <v>1020</v>
      </c>
      <c r="D983" s="2" t="s">
        <v>1031</v>
      </c>
      <c r="E983" t="s">
        <v>1034</v>
      </c>
      <c r="F983" s="1">
        <v>44977</v>
      </c>
      <c r="G983" s="1">
        <v>45016</v>
      </c>
      <c r="H983" s="2">
        <v>11</v>
      </c>
      <c r="I983" s="2">
        <v>119000</v>
      </c>
      <c r="J983" s="2" t="s">
        <v>1027</v>
      </c>
      <c r="K983" t="s">
        <v>1161</v>
      </c>
      <c r="L983" t="s">
        <v>1018</v>
      </c>
      <c r="M983" s="2" t="s">
        <v>1158</v>
      </c>
      <c r="N983">
        <v>3.6</v>
      </c>
    </row>
    <row r="984" spans="1:14" x14ac:dyDescent="0.3">
      <c r="A984" t="s">
        <v>996</v>
      </c>
      <c r="B984">
        <v>67</v>
      </c>
      <c r="C984" t="s">
        <v>1020</v>
      </c>
      <c r="D984" s="2" t="s">
        <v>1031</v>
      </c>
      <c r="E984" t="s">
        <v>1034</v>
      </c>
      <c r="F984" s="1">
        <v>44978</v>
      </c>
      <c r="G984" s="1">
        <v>45017</v>
      </c>
      <c r="H984" s="2">
        <v>11</v>
      </c>
      <c r="I984" s="2">
        <v>119000</v>
      </c>
      <c r="J984" s="2" t="s">
        <v>1027</v>
      </c>
      <c r="K984" t="s">
        <v>1161</v>
      </c>
      <c r="L984" t="s">
        <v>1037</v>
      </c>
      <c r="M984" s="2" t="s">
        <v>1158</v>
      </c>
      <c r="N984">
        <v>3.6</v>
      </c>
    </row>
    <row r="985" spans="1:14" x14ac:dyDescent="0.3">
      <c r="A985" t="s">
        <v>997</v>
      </c>
      <c r="B985">
        <v>78</v>
      </c>
      <c r="C985" t="s">
        <v>1020</v>
      </c>
      <c r="D985" s="2" t="s">
        <v>1031</v>
      </c>
      <c r="E985" t="s">
        <v>1034</v>
      </c>
      <c r="F985" s="1">
        <v>44979</v>
      </c>
      <c r="G985" s="1">
        <v>45018</v>
      </c>
      <c r="H985" s="2">
        <v>11</v>
      </c>
      <c r="I985" s="2">
        <v>119000</v>
      </c>
      <c r="J985" s="2" t="s">
        <v>1027</v>
      </c>
      <c r="K985" t="s">
        <v>1161</v>
      </c>
      <c r="M985" s="2" t="s">
        <v>1158</v>
      </c>
      <c r="N985">
        <v>3.6</v>
      </c>
    </row>
    <row r="986" spans="1:14" x14ac:dyDescent="0.3">
      <c r="A986" t="s">
        <v>998</v>
      </c>
      <c r="B986">
        <v>76</v>
      </c>
      <c r="C986" t="s">
        <v>1020</v>
      </c>
      <c r="D986" s="2" t="s">
        <v>1031</v>
      </c>
      <c r="E986" t="s">
        <v>1034</v>
      </c>
      <c r="F986" s="1">
        <v>44980</v>
      </c>
      <c r="G986" s="1">
        <v>45019</v>
      </c>
      <c r="H986" s="2">
        <v>11</v>
      </c>
      <c r="I986" s="2">
        <v>119000</v>
      </c>
      <c r="J986" s="2" t="s">
        <v>1027</v>
      </c>
      <c r="K986" t="s">
        <v>1161</v>
      </c>
      <c r="L986" t="s">
        <v>1018</v>
      </c>
      <c r="M986" s="2" t="s">
        <v>1158</v>
      </c>
      <c r="N986">
        <v>3.6</v>
      </c>
    </row>
    <row r="987" spans="1:14" x14ac:dyDescent="0.3">
      <c r="A987" t="s">
        <v>999</v>
      </c>
      <c r="B987">
        <v>78</v>
      </c>
      <c r="C987" t="s">
        <v>1020</v>
      </c>
      <c r="D987" s="2" t="s">
        <v>1124</v>
      </c>
      <c r="E987" t="s">
        <v>1168</v>
      </c>
      <c r="F987" s="1">
        <v>44981</v>
      </c>
      <c r="G987" s="1">
        <v>45020</v>
      </c>
      <c r="H987" s="2">
        <v>11</v>
      </c>
      <c r="I987" s="2">
        <v>119000</v>
      </c>
      <c r="J987" s="2" t="s">
        <v>1027</v>
      </c>
      <c r="K987" t="s">
        <v>1044</v>
      </c>
      <c r="L987" t="s">
        <v>1018</v>
      </c>
      <c r="M987" s="2" t="s">
        <v>1158</v>
      </c>
      <c r="N987">
        <v>3.6</v>
      </c>
    </row>
    <row r="988" spans="1:14" x14ac:dyDescent="0.3">
      <c r="A988" t="s">
        <v>1000</v>
      </c>
      <c r="B988">
        <v>78</v>
      </c>
      <c r="C988" t="s">
        <v>1020</v>
      </c>
      <c r="D988" s="2" t="s">
        <v>1124</v>
      </c>
      <c r="E988" t="s">
        <v>1168</v>
      </c>
      <c r="F988" s="1">
        <v>44982</v>
      </c>
      <c r="G988" s="1">
        <v>45021</v>
      </c>
      <c r="H988" s="2">
        <v>11</v>
      </c>
      <c r="I988" s="2">
        <v>119000</v>
      </c>
      <c r="J988" s="2" t="s">
        <v>1027</v>
      </c>
      <c r="K988" t="s">
        <v>1044</v>
      </c>
      <c r="L988" t="s">
        <v>1037</v>
      </c>
      <c r="M988" s="2" t="s">
        <v>1158</v>
      </c>
      <c r="N988">
        <v>3.6</v>
      </c>
    </row>
    <row r="989" spans="1:14" x14ac:dyDescent="0.3">
      <c r="A989" t="s">
        <v>1001</v>
      </c>
      <c r="B989">
        <v>76</v>
      </c>
      <c r="C989" t="s">
        <v>1020</v>
      </c>
      <c r="D989" s="2" t="s">
        <v>1041</v>
      </c>
      <c r="E989" t="s">
        <v>1042</v>
      </c>
      <c r="F989" s="1">
        <v>44983</v>
      </c>
      <c r="G989" s="1">
        <v>45022</v>
      </c>
      <c r="H989" s="2">
        <v>11</v>
      </c>
      <c r="I989" s="2">
        <v>119000</v>
      </c>
      <c r="J989" s="2" t="s">
        <v>1027</v>
      </c>
      <c r="K989" t="s">
        <v>1128</v>
      </c>
      <c r="L989" t="s">
        <v>1018</v>
      </c>
      <c r="M989" s="2" t="s">
        <v>1158</v>
      </c>
      <c r="N989">
        <v>3.6</v>
      </c>
    </row>
    <row r="990" spans="1:14" x14ac:dyDescent="0.3">
      <c r="A990" t="s">
        <v>1002</v>
      </c>
      <c r="B990">
        <v>78</v>
      </c>
      <c r="C990" t="s">
        <v>1020</v>
      </c>
      <c r="D990" s="2" t="s">
        <v>1041</v>
      </c>
      <c r="E990" t="s">
        <v>1042</v>
      </c>
      <c r="F990" s="1">
        <v>44984</v>
      </c>
      <c r="G990" s="1">
        <v>45023</v>
      </c>
      <c r="H990" s="2">
        <v>11</v>
      </c>
      <c r="I990" s="2">
        <v>119000</v>
      </c>
      <c r="J990" s="2" t="s">
        <v>1027</v>
      </c>
      <c r="K990" t="s">
        <v>1128</v>
      </c>
      <c r="L990" t="s">
        <v>1037</v>
      </c>
      <c r="M990" s="2" t="s">
        <v>1158</v>
      </c>
      <c r="N990">
        <v>3.6</v>
      </c>
    </row>
    <row r="991" spans="1:14" x14ac:dyDescent="0.3">
      <c r="A991" t="s">
        <v>1003</v>
      </c>
      <c r="B991">
        <v>89</v>
      </c>
      <c r="C991" t="s">
        <v>1020</v>
      </c>
      <c r="D991" s="2" t="s">
        <v>1041</v>
      </c>
      <c r="E991" t="s">
        <v>1042</v>
      </c>
      <c r="F991" s="1">
        <v>44985</v>
      </c>
      <c r="G991" s="1">
        <v>45024</v>
      </c>
      <c r="H991" s="2">
        <v>11</v>
      </c>
      <c r="I991" s="2">
        <v>119000</v>
      </c>
      <c r="J991" s="2" t="s">
        <v>1027</v>
      </c>
      <c r="K991" t="s">
        <v>1128</v>
      </c>
      <c r="L991" t="s">
        <v>1018</v>
      </c>
      <c r="M991" s="2" t="s">
        <v>1158</v>
      </c>
      <c r="N991">
        <v>3.6</v>
      </c>
    </row>
    <row r="992" spans="1:14" x14ac:dyDescent="0.3">
      <c r="A992" t="s">
        <v>1004</v>
      </c>
      <c r="B992">
        <v>87</v>
      </c>
      <c r="C992" t="s">
        <v>1020</v>
      </c>
      <c r="D992" s="2" t="s">
        <v>1041</v>
      </c>
      <c r="E992" t="s">
        <v>1042</v>
      </c>
      <c r="F992" s="1">
        <v>44986</v>
      </c>
      <c r="G992" s="1">
        <v>45025</v>
      </c>
      <c r="H992" s="2">
        <v>11</v>
      </c>
      <c r="I992" s="2">
        <v>119000</v>
      </c>
      <c r="J992" s="2" t="s">
        <v>1027</v>
      </c>
      <c r="K992" t="s">
        <v>1128</v>
      </c>
      <c r="L992" t="s">
        <v>1037</v>
      </c>
      <c r="M992" s="2" t="s">
        <v>1158</v>
      </c>
      <c r="N992">
        <v>3.6</v>
      </c>
    </row>
    <row r="993" spans="1:14" x14ac:dyDescent="0.3">
      <c r="A993" t="s">
        <v>1005</v>
      </c>
      <c r="B993">
        <v>98</v>
      </c>
      <c r="C993" t="s">
        <v>1020</v>
      </c>
      <c r="D993" s="2" t="s">
        <v>1041</v>
      </c>
      <c r="E993" t="s">
        <v>1042</v>
      </c>
      <c r="F993" s="1">
        <v>44987</v>
      </c>
      <c r="G993" s="1">
        <v>45026</v>
      </c>
      <c r="H993" s="2">
        <v>11</v>
      </c>
      <c r="I993" s="2">
        <v>119000</v>
      </c>
      <c r="J993" s="2" t="s">
        <v>1027</v>
      </c>
      <c r="K993" t="s">
        <v>1128</v>
      </c>
      <c r="L993" t="s">
        <v>1037</v>
      </c>
      <c r="M993" s="2" t="s">
        <v>1158</v>
      </c>
      <c r="N993">
        <v>3.6</v>
      </c>
    </row>
    <row r="994" spans="1:14" x14ac:dyDescent="0.3">
      <c r="A994" t="s">
        <v>1006</v>
      </c>
      <c r="B994">
        <v>87</v>
      </c>
      <c r="C994" t="s">
        <v>1020</v>
      </c>
      <c r="D994" s="2" t="s">
        <v>1041</v>
      </c>
      <c r="E994" t="s">
        <v>1042</v>
      </c>
      <c r="F994" s="1">
        <v>44988</v>
      </c>
      <c r="G994" s="1">
        <v>45027</v>
      </c>
      <c r="H994" s="2">
        <v>11</v>
      </c>
      <c r="I994" s="2">
        <v>119000</v>
      </c>
      <c r="J994" s="2" t="s">
        <v>1027</v>
      </c>
      <c r="K994" t="s">
        <v>1128</v>
      </c>
      <c r="L994" t="s">
        <v>1037</v>
      </c>
      <c r="M994" s="2" t="s">
        <v>1158</v>
      </c>
      <c r="N994">
        <v>3.6</v>
      </c>
    </row>
    <row r="995" spans="1:14" x14ac:dyDescent="0.3">
      <c r="A995" t="s">
        <v>1007</v>
      </c>
      <c r="B995">
        <v>67</v>
      </c>
      <c r="C995" t="s">
        <v>1020</v>
      </c>
      <c r="D995" s="2" t="s">
        <v>1041</v>
      </c>
      <c r="E995" t="s">
        <v>1042</v>
      </c>
      <c r="F995" s="1">
        <v>44989</v>
      </c>
      <c r="G995" s="1">
        <v>45028</v>
      </c>
      <c r="H995" s="2">
        <v>11</v>
      </c>
      <c r="I995" s="2">
        <v>119000</v>
      </c>
      <c r="J995" s="2" t="s">
        <v>1027</v>
      </c>
      <c r="K995" t="s">
        <v>1128</v>
      </c>
      <c r="L995" t="s">
        <v>1018</v>
      </c>
      <c r="M995" s="2" t="s">
        <v>1158</v>
      </c>
      <c r="N995">
        <v>3.6</v>
      </c>
    </row>
    <row r="996" spans="1:14" x14ac:dyDescent="0.3">
      <c r="A996" t="s">
        <v>1008</v>
      </c>
      <c r="B996">
        <v>23</v>
      </c>
      <c r="C996" t="s">
        <v>1020</v>
      </c>
      <c r="D996" s="2" t="s">
        <v>1160</v>
      </c>
      <c r="E996" t="s">
        <v>1063</v>
      </c>
      <c r="F996" s="1">
        <v>44990</v>
      </c>
      <c r="G996" s="1">
        <v>45029</v>
      </c>
      <c r="H996" s="2">
        <v>11</v>
      </c>
      <c r="I996" s="2">
        <v>119000</v>
      </c>
      <c r="J996" s="2" t="s">
        <v>1027</v>
      </c>
      <c r="K996" t="s">
        <v>1028</v>
      </c>
      <c r="L996" t="s">
        <v>1018</v>
      </c>
      <c r="M996" s="2" t="s">
        <v>1158</v>
      </c>
      <c r="N996">
        <v>3.6</v>
      </c>
    </row>
    <row r="997" spans="1:14" x14ac:dyDescent="0.3">
      <c r="A997" t="s">
        <v>1009</v>
      </c>
      <c r="B997">
        <v>34</v>
      </c>
      <c r="C997" t="s">
        <v>1020</v>
      </c>
      <c r="D997" s="2" t="s">
        <v>1160</v>
      </c>
      <c r="E997" t="s">
        <v>1063</v>
      </c>
      <c r="F997" s="1">
        <v>44991</v>
      </c>
      <c r="G997" s="1">
        <v>45030</v>
      </c>
      <c r="H997" s="2">
        <v>11</v>
      </c>
      <c r="I997" s="2">
        <v>119000</v>
      </c>
      <c r="J997" s="2" t="s">
        <v>1027</v>
      </c>
      <c r="K997" t="s">
        <v>1028</v>
      </c>
      <c r="L997" t="s">
        <v>1037</v>
      </c>
      <c r="M997" s="2" t="s">
        <v>1158</v>
      </c>
      <c r="N997">
        <v>3.6</v>
      </c>
    </row>
    <row r="998" spans="1:14" x14ac:dyDescent="0.3">
      <c r="A998" t="s">
        <v>1010</v>
      </c>
      <c r="B998">
        <v>45</v>
      </c>
      <c r="C998" t="s">
        <v>1020</v>
      </c>
      <c r="D998" s="2" t="s">
        <v>1160</v>
      </c>
      <c r="E998" t="s">
        <v>1063</v>
      </c>
      <c r="F998" s="1">
        <v>44992</v>
      </c>
      <c r="G998" s="1">
        <v>45031</v>
      </c>
      <c r="H998" s="2">
        <v>11</v>
      </c>
      <c r="I998" s="2">
        <v>119000</v>
      </c>
      <c r="J998" s="2" t="s">
        <v>1027</v>
      </c>
      <c r="K998" t="s">
        <v>1028</v>
      </c>
      <c r="L998" t="s">
        <v>1018</v>
      </c>
      <c r="M998" s="2" t="s">
        <v>1158</v>
      </c>
      <c r="N998">
        <v>3.6</v>
      </c>
    </row>
    <row r="999" spans="1:14" x14ac:dyDescent="0.3">
      <c r="A999" t="s">
        <v>1011</v>
      </c>
      <c r="B999">
        <v>56</v>
      </c>
      <c r="C999" t="s">
        <v>1020</v>
      </c>
      <c r="D999" s="2" t="s">
        <v>1160</v>
      </c>
      <c r="E999" t="s">
        <v>1063</v>
      </c>
      <c r="F999" s="1">
        <v>44993</v>
      </c>
      <c r="G999" s="1">
        <v>45032</v>
      </c>
      <c r="H999" s="2">
        <v>11</v>
      </c>
      <c r="I999" s="2">
        <v>119000</v>
      </c>
      <c r="J999" s="2" t="s">
        <v>1027</v>
      </c>
      <c r="K999" t="s">
        <v>1028</v>
      </c>
      <c r="L999" t="s">
        <v>1037</v>
      </c>
      <c r="M999" s="2" t="s">
        <v>1158</v>
      </c>
      <c r="N999">
        <v>3.6</v>
      </c>
    </row>
    <row r="1000" spans="1:14" x14ac:dyDescent="0.3">
      <c r="A1000" t="s">
        <v>1012</v>
      </c>
      <c r="B1000">
        <v>54</v>
      </c>
      <c r="C1000" t="s">
        <v>1020</v>
      </c>
      <c r="D1000" s="2" t="s">
        <v>1160</v>
      </c>
      <c r="E1000" t="s">
        <v>1063</v>
      </c>
      <c r="F1000" s="1">
        <v>44994</v>
      </c>
      <c r="G1000" s="1">
        <v>45033</v>
      </c>
      <c r="H1000" s="2">
        <v>11</v>
      </c>
      <c r="I1000" s="2">
        <v>119000</v>
      </c>
      <c r="J1000" s="2" t="s">
        <v>1027</v>
      </c>
      <c r="K1000" t="s">
        <v>1028</v>
      </c>
      <c r="M1000" s="2" t="s">
        <v>1158</v>
      </c>
      <c r="N1000">
        <v>3.6</v>
      </c>
    </row>
    <row r="1001" spans="1:14" x14ac:dyDescent="0.3">
      <c r="A1001" t="s">
        <v>1013</v>
      </c>
      <c r="B1001">
        <v>43</v>
      </c>
      <c r="C1001" t="s">
        <v>1020</v>
      </c>
      <c r="D1001" s="2" t="s">
        <v>1160</v>
      </c>
      <c r="E1001" t="s">
        <v>1063</v>
      </c>
      <c r="F1001" s="1">
        <v>44995</v>
      </c>
      <c r="G1001" s="1">
        <v>45034</v>
      </c>
      <c r="H1001" s="2">
        <v>11</v>
      </c>
      <c r="I1001" s="2">
        <v>119000</v>
      </c>
      <c r="J1001" s="2" t="s">
        <v>1027</v>
      </c>
      <c r="K1001" t="s">
        <v>1028</v>
      </c>
      <c r="L1001" t="s">
        <v>1018</v>
      </c>
      <c r="M1001" s="2" t="s">
        <v>1158</v>
      </c>
      <c r="N1001">
        <v>3.6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B03FE-B825-4935-9FA7-19FFA523139B}">
  <dimension ref="A1:P1001"/>
  <sheetViews>
    <sheetView topLeftCell="A2" zoomScale="108" workbookViewId="0">
      <selection activeCell="F12" sqref="F12"/>
    </sheetView>
  </sheetViews>
  <sheetFormatPr defaultRowHeight="14.4" x14ac:dyDescent="0.3"/>
  <cols>
    <col min="1" max="1" width="12.33203125" customWidth="1"/>
    <col min="3" max="3" width="9.77734375" customWidth="1"/>
    <col min="4" max="4" width="16" customWidth="1"/>
    <col min="5" max="5" width="20.77734375" customWidth="1"/>
    <col min="6" max="6" width="17.77734375" customWidth="1"/>
    <col min="7" max="7" width="17.44140625" customWidth="1"/>
    <col min="8" max="8" width="16.88671875" customWidth="1"/>
    <col min="9" max="9" width="18.21875" customWidth="1"/>
    <col min="10" max="10" width="17.44140625" customWidth="1"/>
    <col min="11" max="11" width="12.5546875" customWidth="1"/>
    <col min="12" max="12" width="15" customWidth="1"/>
    <col min="13" max="13" width="11.77734375" customWidth="1"/>
    <col min="14" max="14" width="15.109375" customWidth="1"/>
    <col min="16" max="16" width="14.21875" customWidth="1"/>
  </cols>
  <sheetData>
    <row r="1" spans="1:16" x14ac:dyDescent="0.3">
      <c r="A1" t="s">
        <v>0</v>
      </c>
      <c r="B1" t="s">
        <v>1</v>
      </c>
      <c r="C1" t="s">
        <v>2</v>
      </c>
      <c r="D1" t="s">
        <v>3</v>
      </c>
      <c r="E1" t="s">
        <v>4</v>
      </c>
      <c r="F1" t="s">
        <v>5</v>
      </c>
      <c r="G1" t="s">
        <v>6</v>
      </c>
      <c r="H1" t="s">
        <v>7</v>
      </c>
      <c r="I1" t="s">
        <v>8</v>
      </c>
      <c r="J1" t="s">
        <v>9</v>
      </c>
      <c r="K1" t="s">
        <v>10</v>
      </c>
      <c r="L1" t="s">
        <v>11</v>
      </c>
      <c r="M1" t="s">
        <v>12</v>
      </c>
      <c r="N1" t="s">
        <v>13</v>
      </c>
    </row>
    <row r="2" spans="1:16" x14ac:dyDescent="0.3">
      <c r="A2" t="s">
        <v>945</v>
      </c>
      <c r="B2">
        <v>81</v>
      </c>
      <c r="C2" t="s">
        <v>1014</v>
      </c>
      <c r="D2" s="2" t="s">
        <v>1124</v>
      </c>
      <c r="E2" t="s">
        <v>1168</v>
      </c>
      <c r="F2" s="1">
        <v>44927</v>
      </c>
      <c r="G2" s="1">
        <v>44941</v>
      </c>
      <c r="H2" s="2">
        <v>14</v>
      </c>
      <c r="I2" s="2">
        <v>120000</v>
      </c>
      <c r="J2" s="2" t="s">
        <v>1027</v>
      </c>
      <c r="K2" t="s">
        <v>1044</v>
      </c>
      <c r="L2" t="s">
        <v>1037</v>
      </c>
      <c r="M2" s="2" t="s">
        <v>1024</v>
      </c>
      <c r="N2">
        <v>3.6</v>
      </c>
      <c r="P2">
        <f>COUNTA(A2:A1001)</f>
        <v>1000</v>
      </c>
    </row>
    <row r="3" spans="1:16" x14ac:dyDescent="0.3">
      <c r="A3" t="s">
        <v>946</v>
      </c>
      <c r="B3">
        <v>82</v>
      </c>
      <c r="C3" t="s">
        <v>1014</v>
      </c>
      <c r="D3" s="2" t="s">
        <v>1124</v>
      </c>
      <c r="E3" t="s">
        <v>1168</v>
      </c>
      <c r="F3" s="1">
        <v>44928</v>
      </c>
      <c r="G3" s="1">
        <v>44942</v>
      </c>
      <c r="H3" s="2">
        <v>14</v>
      </c>
      <c r="I3" s="2">
        <v>120000</v>
      </c>
      <c r="J3" s="2" t="s">
        <v>1027</v>
      </c>
      <c r="K3" t="s">
        <v>1044</v>
      </c>
      <c r="L3" t="s">
        <v>1037</v>
      </c>
      <c r="M3" s="2" t="s">
        <v>1024</v>
      </c>
      <c r="N3">
        <v>3.6</v>
      </c>
    </row>
    <row r="4" spans="1:16" x14ac:dyDescent="0.3">
      <c r="A4" t="s">
        <v>947</v>
      </c>
      <c r="B4">
        <v>83</v>
      </c>
      <c r="C4" t="s">
        <v>1014</v>
      </c>
      <c r="D4" s="2" t="s">
        <v>1124</v>
      </c>
      <c r="E4" t="s">
        <v>1168</v>
      </c>
      <c r="F4" s="1">
        <v>44929</v>
      </c>
      <c r="G4" s="1">
        <v>44943</v>
      </c>
      <c r="H4" s="2">
        <v>14</v>
      </c>
      <c r="I4" s="2">
        <v>120000</v>
      </c>
      <c r="J4" s="2" t="s">
        <v>1027</v>
      </c>
      <c r="K4" t="s">
        <v>1044</v>
      </c>
      <c r="L4" t="s">
        <v>1018</v>
      </c>
      <c r="M4" s="2" t="s">
        <v>1024</v>
      </c>
      <c r="N4">
        <v>3.6</v>
      </c>
    </row>
    <row r="5" spans="1:16" x14ac:dyDescent="0.3">
      <c r="A5" t="s">
        <v>948</v>
      </c>
      <c r="B5">
        <v>84</v>
      </c>
      <c r="C5" t="s">
        <v>1014</v>
      </c>
      <c r="D5" s="2" t="s">
        <v>1124</v>
      </c>
      <c r="E5" t="s">
        <v>1168</v>
      </c>
      <c r="F5" s="1">
        <v>44930</v>
      </c>
      <c r="G5" s="1">
        <v>44944</v>
      </c>
      <c r="H5" s="2">
        <v>14</v>
      </c>
      <c r="I5" s="2">
        <v>120000</v>
      </c>
      <c r="J5" s="2" t="s">
        <v>1027</v>
      </c>
      <c r="K5" t="s">
        <v>1044</v>
      </c>
      <c r="L5" t="s">
        <v>1018</v>
      </c>
      <c r="M5" s="2" t="s">
        <v>1024</v>
      </c>
      <c r="N5">
        <v>3.6</v>
      </c>
    </row>
    <row r="6" spans="1:16" x14ac:dyDescent="0.3">
      <c r="A6" t="s">
        <v>949</v>
      </c>
      <c r="B6">
        <v>85</v>
      </c>
      <c r="C6" t="s">
        <v>1014</v>
      </c>
      <c r="D6" s="2" t="s">
        <v>1124</v>
      </c>
      <c r="E6" t="s">
        <v>1168</v>
      </c>
      <c r="F6" s="1">
        <v>44931</v>
      </c>
      <c r="G6" s="1">
        <v>44945</v>
      </c>
      <c r="H6" s="2">
        <v>14</v>
      </c>
      <c r="I6" s="2">
        <v>120000</v>
      </c>
      <c r="J6" s="2" t="s">
        <v>1027</v>
      </c>
      <c r="K6" t="s">
        <v>1044</v>
      </c>
      <c r="L6" t="s">
        <v>1037</v>
      </c>
      <c r="M6" s="2" t="s">
        <v>1024</v>
      </c>
      <c r="N6">
        <v>3.6</v>
      </c>
    </row>
    <row r="7" spans="1:16" x14ac:dyDescent="0.3">
      <c r="A7" t="s">
        <v>950</v>
      </c>
      <c r="B7">
        <v>98</v>
      </c>
      <c r="C7" t="s">
        <v>1014</v>
      </c>
      <c r="D7" s="2" t="s">
        <v>1124</v>
      </c>
      <c r="E7" t="s">
        <v>1168</v>
      </c>
      <c r="F7" s="1">
        <v>44932</v>
      </c>
      <c r="G7" s="1">
        <v>44946</v>
      </c>
      <c r="H7" s="2">
        <v>14</v>
      </c>
      <c r="I7" s="2">
        <v>120000</v>
      </c>
      <c r="J7" s="2" t="s">
        <v>1027</v>
      </c>
      <c r="K7" t="s">
        <v>1044</v>
      </c>
      <c r="L7" t="s">
        <v>1018</v>
      </c>
      <c r="M7" s="2" t="s">
        <v>1024</v>
      </c>
      <c r="N7">
        <v>3.6</v>
      </c>
    </row>
    <row r="8" spans="1:16" x14ac:dyDescent="0.3">
      <c r="A8" t="s">
        <v>951</v>
      </c>
      <c r="B8">
        <v>56</v>
      </c>
      <c r="C8" t="s">
        <v>1014</v>
      </c>
      <c r="D8" s="2" t="s">
        <v>1124</v>
      </c>
      <c r="E8" t="s">
        <v>1168</v>
      </c>
      <c r="F8" s="1">
        <v>44933</v>
      </c>
      <c r="G8" s="1">
        <v>44947</v>
      </c>
      <c r="H8" s="2">
        <v>14</v>
      </c>
      <c r="I8" s="2">
        <v>120000</v>
      </c>
      <c r="J8" s="2" t="s">
        <v>1027</v>
      </c>
      <c r="K8" t="s">
        <v>1044</v>
      </c>
      <c r="L8" t="s">
        <v>1037</v>
      </c>
      <c r="M8" s="2" t="s">
        <v>1024</v>
      </c>
      <c r="N8">
        <v>3.6</v>
      </c>
    </row>
    <row r="9" spans="1:16" x14ac:dyDescent="0.3">
      <c r="A9" t="s">
        <v>952</v>
      </c>
      <c r="B9">
        <v>67</v>
      </c>
      <c r="C9" t="s">
        <v>1014</v>
      </c>
      <c r="D9" s="2" t="s">
        <v>1124</v>
      </c>
      <c r="E9" t="s">
        <v>1168</v>
      </c>
      <c r="F9" s="1">
        <v>44934</v>
      </c>
      <c r="G9" s="1">
        <v>44948</v>
      </c>
      <c r="H9" s="2">
        <v>14</v>
      </c>
      <c r="I9" s="2">
        <v>120000</v>
      </c>
      <c r="J9" s="2" t="s">
        <v>1027</v>
      </c>
      <c r="K9" t="s">
        <v>1044</v>
      </c>
      <c r="M9" s="2" t="s">
        <v>1024</v>
      </c>
      <c r="N9">
        <v>3.6</v>
      </c>
    </row>
    <row r="10" spans="1:16" x14ac:dyDescent="0.3">
      <c r="A10" t="s">
        <v>953</v>
      </c>
      <c r="B10">
        <v>62</v>
      </c>
      <c r="C10" t="s">
        <v>1014</v>
      </c>
      <c r="D10" s="2" t="s">
        <v>1124</v>
      </c>
      <c r="E10" t="s">
        <v>1168</v>
      </c>
      <c r="F10" s="1">
        <v>44935</v>
      </c>
      <c r="G10" s="1">
        <v>44949</v>
      </c>
      <c r="H10" s="2">
        <v>14</v>
      </c>
      <c r="I10" s="2">
        <v>120000</v>
      </c>
      <c r="J10" s="2" t="s">
        <v>1027</v>
      </c>
      <c r="K10" t="s">
        <v>1044</v>
      </c>
      <c r="L10" t="s">
        <v>1018</v>
      </c>
      <c r="M10" s="2" t="s">
        <v>1024</v>
      </c>
      <c r="N10">
        <v>3.6</v>
      </c>
    </row>
    <row r="11" spans="1:16" x14ac:dyDescent="0.3">
      <c r="A11" t="s">
        <v>954</v>
      </c>
      <c r="B11">
        <v>63</v>
      </c>
      <c r="C11" t="s">
        <v>1014</v>
      </c>
      <c r="D11" s="2" t="s">
        <v>1124</v>
      </c>
      <c r="E11" t="s">
        <v>1168</v>
      </c>
      <c r="F11" s="1">
        <v>44936</v>
      </c>
      <c r="G11" s="1">
        <v>44950</v>
      </c>
      <c r="H11" s="2">
        <v>14</v>
      </c>
      <c r="I11" s="2">
        <v>120000</v>
      </c>
      <c r="J11" s="2" t="s">
        <v>1027</v>
      </c>
      <c r="K11" t="s">
        <v>1044</v>
      </c>
      <c r="L11" t="s">
        <v>1018</v>
      </c>
      <c r="M11" s="2" t="s">
        <v>1024</v>
      </c>
      <c r="N11">
        <v>3.6</v>
      </c>
    </row>
    <row r="12" spans="1:16" x14ac:dyDescent="0.3">
      <c r="A12" t="s">
        <v>955</v>
      </c>
      <c r="B12">
        <v>64</v>
      </c>
      <c r="C12" t="s">
        <v>1014</v>
      </c>
      <c r="D12" s="2" t="s">
        <v>1124</v>
      </c>
      <c r="E12" t="s">
        <v>1168</v>
      </c>
      <c r="F12" s="1">
        <v>44937</v>
      </c>
      <c r="G12" s="1">
        <v>44951</v>
      </c>
      <c r="H12" s="2">
        <v>14</v>
      </c>
      <c r="I12" s="2">
        <v>120000</v>
      </c>
      <c r="J12" s="2" t="s">
        <v>1027</v>
      </c>
      <c r="K12" t="s">
        <v>1044</v>
      </c>
      <c r="L12" t="s">
        <v>1037</v>
      </c>
      <c r="M12" s="2" t="s">
        <v>1024</v>
      </c>
      <c r="N12">
        <v>3.6</v>
      </c>
    </row>
    <row r="13" spans="1:16" x14ac:dyDescent="0.3">
      <c r="A13" t="s">
        <v>956</v>
      </c>
      <c r="B13">
        <v>65</v>
      </c>
      <c r="C13" t="s">
        <v>1014</v>
      </c>
      <c r="D13" s="2" t="s">
        <v>1124</v>
      </c>
      <c r="E13" t="s">
        <v>1168</v>
      </c>
      <c r="F13" s="1">
        <v>44938</v>
      </c>
      <c r="G13" s="1">
        <v>44952</v>
      </c>
      <c r="H13" s="2">
        <v>14</v>
      </c>
      <c r="I13" s="2">
        <v>120000</v>
      </c>
      <c r="J13" s="2" t="s">
        <v>1027</v>
      </c>
      <c r="K13" t="s">
        <v>1044</v>
      </c>
      <c r="L13" t="s">
        <v>1018</v>
      </c>
      <c r="M13" s="2" t="s">
        <v>1024</v>
      </c>
      <c r="N13">
        <v>3.6</v>
      </c>
    </row>
    <row r="14" spans="1:16" x14ac:dyDescent="0.3">
      <c r="A14" t="s">
        <v>957</v>
      </c>
      <c r="B14">
        <v>67</v>
      </c>
      <c r="C14" t="s">
        <v>1014</v>
      </c>
      <c r="D14" s="2" t="s">
        <v>1124</v>
      </c>
      <c r="E14" t="s">
        <v>1168</v>
      </c>
      <c r="F14" s="1">
        <v>44939</v>
      </c>
      <c r="G14" s="1">
        <v>44953</v>
      </c>
      <c r="H14" s="2">
        <v>14</v>
      </c>
      <c r="I14" s="2">
        <v>120000</v>
      </c>
      <c r="J14" s="2" t="s">
        <v>1027</v>
      </c>
      <c r="K14" t="s">
        <v>1044</v>
      </c>
      <c r="L14" t="s">
        <v>1037</v>
      </c>
      <c r="M14" s="2" t="s">
        <v>1024</v>
      </c>
      <c r="N14">
        <v>3.6</v>
      </c>
    </row>
    <row r="15" spans="1:16" x14ac:dyDescent="0.3">
      <c r="A15" t="s">
        <v>581</v>
      </c>
      <c r="B15">
        <v>32</v>
      </c>
      <c r="C15" t="s">
        <v>1020</v>
      </c>
      <c r="D15" s="2" t="s">
        <v>1039</v>
      </c>
      <c r="E15" t="s">
        <v>1165</v>
      </c>
      <c r="F15" s="1">
        <v>45294</v>
      </c>
      <c r="G15" s="1">
        <v>45304</v>
      </c>
      <c r="H15" s="2">
        <v>10</v>
      </c>
      <c r="I15" s="2">
        <v>67000</v>
      </c>
      <c r="J15" s="2" t="s">
        <v>1023</v>
      </c>
      <c r="K15" t="s">
        <v>1059</v>
      </c>
      <c r="L15" t="s">
        <v>1018</v>
      </c>
      <c r="M15" s="2" t="s">
        <v>1024</v>
      </c>
      <c r="N15">
        <v>4</v>
      </c>
    </row>
    <row r="16" spans="1:16" x14ac:dyDescent="0.3">
      <c r="A16" t="s">
        <v>582</v>
      </c>
      <c r="B16">
        <v>32</v>
      </c>
      <c r="C16" t="s">
        <v>1020</v>
      </c>
      <c r="D16" s="2" t="s">
        <v>1039</v>
      </c>
      <c r="E16" t="s">
        <v>1165</v>
      </c>
      <c r="F16" s="1">
        <v>45295</v>
      </c>
      <c r="G16" s="1">
        <v>45305</v>
      </c>
      <c r="H16" s="2">
        <v>10</v>
      </c>
      <c r="I16" s="2">
        <v>76000</v>
      </c>
      <c r="J16" s="2" t="s">
        <v>1023</v>
      </c>
      <c r="K16" t="s">
        <v>1059</v>
      </c>
      <c r="L16" t="s">
        <v>1037</v>
      </c>
      <c r="M16" t="s">
        <v>1024</v>
      </c>
      <c r="N16">
        <v>4</v>
      </c>
    </row>
    <row r="17" spans="1:14" x14ac:dyDescent="0.3">
      <c r="A17" t="s">
        <v>583</v>
      </c>
      <c r="B17">
        <v>43</v>
      </c>
      <c r="C17" t="s">
        <v>1020</v>
      </c>
      <c r="D17" s="2" t="s">
        <v>1039</v>
      </c>
      <c r="E17" t="s">
        <v>1165</v>
      </c>
      <c r="F17" s="1">
        <v>45296</v>
      </c>
      <c r="G17" s="1">
        <v>45306</v>
      </c>
      <c r="H17" s="2">
        <v>10</v>
      </c>
      <c r="I17" s="2">
        <v>90000</v>
      </c>
      <c r="J17" s="2" t="s">
        <v>1023</v>
      </c>
      <c r="K17" t="s">
        <v>1059</v>
      </c>
      <c r="L17" t="s">
        <v>1018</v>
      </c>
      <c r="M17" s="2" t="s">
        <v>1024</v>
      </c>
      <c r="N17">
        <v>5</v>
      </c>
    </row>
    <row r="18" spans="1:14" x14ac:dyDescent="0.3">
      <c r="A18" t="s">
        <v>584</v>
      </c>
      <c r="B18">
        <v>56</v>
      </c>
      <c r="C18" t="s">
        <v>1020</v>
      </c>
      <c r="D18" s="2" t="s">
        <v>1039</v>
      </c>
      <c r="E18" t="s">
        <v>1165</v>
      </c>
      <c r="F18" s="1">
        <v>45297</v>
      </c>
      <c r="G18" s="1">
        <v>45307</v>
      </c>
      <c r="H18" s="2">
        <v>10</v>
      </c>
      <c r="I18" s="2">
        <v>98000</v>
      </c>
      <c r="J18" s="2" t="s">
        <v>1023</v>
      </c>
      <c r="K18" t="s">
        <v>1059</v>
      </c>
      <c r="L18" t="s">
        <v>1037</v>
      </c>
      <c r="M18" t="s">
        <v>1024</v>
      </c>
      <c r="N18">
        <v>5</v>
      </c>
    </row>
    <row r="19" spans="1:14" x14ac:dyDescent="0.3">
      <c r="A19" t="s">
        <v>585</v>
      </c>
      <c r="B19">
        <v>78</v>
      </c>
      <c r="C19" t="s">
        <v>1020</v>
      </c>
      <c r="D19" s="2" t="s">
        <v>1039</v>
      </c>
      <c r="E19" t="s">
        <v>1165</v>
      </c>
      <c r="F19" s="1">
        <v>45298</v>
      </c>
      <c r="G19" s="1">
        <v>45308</v>
      </c>
      <c r="H19" s="2">
        <v>10</v>
      </c>
      <c r="I19" s="2">
        <v>67700</v>
      </c>
      <c r="J19" s="2" t="s">
        <v>1023</v>
      </c>
      <c r="K19" t="s">
        <v>1059</v>
      </c>
      <c r="L19" t="s">
        <v>1037</v>
      </c>
      <c r="M19" s="2" t="s">
        <v>1024</v>
      </c>
      <c r="N19">
        <v>5</v>
      </c>
    </row>
    <row r="20" spans="1:14" x14ac:dyDescent="0.3">
      <c r="A20" t="s">
        <v>628</v>
      </c>
      <c r="B20">
        <v>23</v>
      </c>
      <c r="C20" t="s">
        <v>1014</v>
      </c>
      <c r="D20" s="2" t="s">
        <v>1039</v>
      </c>
      <c r="E20" t="s">
        <v>1164</v>
      </c>
      <c r="F20" s="1">
        <v>45341</v>
      </c>
      <c r="G20" s="1">
        <v>45351</v>
      </c>
      <c r="H20" s="2">
        <v>10</v>
      </c>
      <c r="I20" s="2">
        <v>56000</v>
      </c>
      <c r="J20" s="2" t="s">
        <v>1017</v>
      </c>
      <c r="K20" t="s">
        <v>1059</v>
      </c>
      <c r="L20" t="s">
        <v>1018</v>
      </c>
      <c r="M20" s="2" t="s">
        <v>1024</v>
      </c>
      <c r="N20">
        <v>5</v>
      </c>
    </row>
    <row r="21" spans="1:14" x14ac:dyDescent="0.3">
      <c r="A21" t="s">
        <v>629</v>
      </c>
      <c r="B21">
        <v>23</v>
      </c>
      <c r="C21" t="s">
        <v>1014</v>
      </c>
      <c r="D21" s="2" t="s">
        <v>1039</v>
      </c>
      <c r="E21" t="s">
        <v>1164</v>
      </c>
      <c r="F21" s="1">
        <v>45342</v>
      </c>
      <c r="G21" s="1">
        <v>45352</v>
      </c>
      <c r="H21" s="2">
        <v>10</v>
      </c>
      <c r="I21" s="2">
        <v>78000</v>
      </c>
      <c r="J21" s="2" t="s">
        <v>1017</v>
      </c>
      <c r="K21" t="s">
        <v>1059</v>
      </c>
      <c r="L21" t="s">
        <v>1037</v>
      </c>
      <c r="M21" t="s">
        <v>1024</v>
      </c>
      <c r="N21">
        <v>5</v>
      </c>
    </row>
    <row r="22" spans="1:14" x14ac:dyDescent="0.3">
      <c r="A22" t="s">
        <v>666</v>
      </c>
      <c r="B22">
        <v>12</v>
      </c>
      <c r="C22" t="s">
        <v>1014</v>
      </c>
      <c r="D22" s="2" t="s">
        <v>1039</v>
      </c>
      <c r="E22" t="s">
        <v>1137</v>
      </c>
      <c r="F22" s="1">
        <v>45379</v>
      </c>
      <c r="G22" s="1">
        <v>45389</v>
      </c>
      <c r="H22" s="2">
        <v>10</v>
      </c>
      <c r="I22" s="2">
        <v>56000</v>
      </c>
      <c r="J22" s="2" t="s">
        <v>1023</v>
      </c>
      <c r="K22" t="s">
        <v>1059</v>
      </c>
      <c r="L22" t="s">
        <v>1037</v>
      </c>
      <c r="M22" s="2" t="s">
        <v>1024</v>
      </c>
      <c r="N22">
        <v>5</v>
      </c>
    </row>
    <row r="23" spans="1:14" x14ac:dyDescent="0.3">
      <c r="A23" t="s">
        <v>667</v>
      </c>
      <c r="B23">
        <v>34</v>
      </c>
      <c r="C23" t="s">
        <v>1014</v>
      </c>
      <c r="D23" s="2" t="s">
        <v>1039</v>
      </c>
      <c r="E23" t="s">
        <v>1137</v>
      </c>
      <c r="F23" s="1">
        <v>45380</v>
      </c>
      <c r="G23" s="1">
        <v>45390</v>
      </c>
      <c r="H23" s="2">
        <v>10</v>
      </c>
      <c r="I23" s="2">
        <v>77000</v>
      </c>
      <c r="J23" s="2" t="s">
        <v>1023</v>
      </c>
      <c r="K23" t="s">
        <v>1059</v>
      </c>
      <c r="L23" t="s">
        <v>1018</v>
      </c>
      <c r="M23" s="2" t="s">
        <v>1024</v>
      </c>
      <c r="N23">
        <v>5</v>
      </c>
    </row>
    <row r="24" spans="1:14" x14ac:dyDescent="0.3">
      <c r="A24" t="s">
        <v>668</v>
      </c>
      <c r="B24">
        <v>56</v>
      </c>
      <c r="C24" t="s">
        <v>1014</v>
      </c>
      <c r="D24" s="2" t="s">
        <v>1039</v>
      </c>
      <c r="E24" t="s">
        <v>1137</v>
      </c>
      <c r="F24" s="1">
        <v>45381</v>
      </c>
      <c r="G24" s="1">
        <v>45391</v>
      </c>
      <c r="H24" s="2">
        <v>10</v>
      </c>
      <c r="I24" s="2">
        <v>12345</v>
      </c>
      <c r="J24" s="2" t="s">
        <v>1023</v>
      </c>
      <c r="K24" t="s">
        <v>1059</v>
      </c>
      <c r="L24" t="s">
        <v>1018</v>
      </c>
      <c r="M24" s="2" t="s">
        <v>1024</v>
      </c>
      <c r="N24">
        <v>5</v>
      </c>
    </row>
    <row r="25" spans="1:14" x14ac:dyDescent="0.3">
      <c r="A25" t="s">
        <v>669</v>
      </c>
      <c r="B25">
        <v>34</v>
      </c>
      <c r="C25" t="s">
        <v>1014</v>
      </c>
      <c r="D25" s="2" t="s">
        <v>1039</v>
      </c>
      <c r="E25" t="s">
        <v>1137</v>
      </c>
      <c r="F25" s="1">
        <v>45382</v>
      </c>
      <c r="G25" s="1">
        <v>45392</v>
      </c>
      <c r="H25" s="2">
        <v>10</v>
      </c>
      <c r="I25" s="2">
        <v>23456</v>
      </c>
      <c r="J25" s="2" t="s">
        <v>1023</v>
      </c>
      <c r="K25" t="s">
        <v>1059</v>
      </c>
      <c r="L25" t="s">
        <v>1018</v>
      </c>
      <c r="M25" s="2" t="s">
        <v>1024</v>
      </c>
      <c r="N25">
        <v>5</v>
      </c>
    </row>
    <row r="26" spans="1:14" x14ac:dyDescent="0.3">
      <c r="A26" t="s">
        <v>670</v>
      </c>
      <c r="B26">
        <v>12</v>
      </c>
      <c r="C26" t="s">
        <v>1014</v>
      </c>
      <c r="D26" s="2" t="s">
        <v>1039</v>
      </c>
      <c r="E26" t="s">
        <v>1137</v>
      </c>
      <c r="F26" s="1">
        <v>45383</v>
      </c>
      <c r="G26" s="1">
        <v>45393</v>
      </c>
      <c r="H26" s="2">
        <v>10</v>
      </c>
      <c r="I26" s="2">
        <v>34567</v>
      </c>
      <c r="J26" s="2" t="s">
        <v>1023</v>
      </c>
      <c r="K26" t="s">
        <v>1059</v>
      </c>
      <c r="L26" t="s">
        <v>1037</v>
      </c>
      <c r="M26" s="2" t="s">
        <v>1024</v>
      </c>
      <c r="N26">
        <v>5</v>
      </c>
    </row>
    <row r="27" spans="1:14" x14ac:dyDescent="0.3">
      <c r="A27" t="s">
        <v>671</v>
      </c>
      <c r="B27">
        <v>34</v>
      </c>
      <c r="C27" t="s">
        <v>1014</v>
      </c>
      <c r="D27" s="2" t="s">
        <v>1039</v>
      </c>
      <c r="E27" t="s">
        <v>1137</v>
      </c>
      <c r="F27" s="1">
        <v>45384</v>
      </c>
      <c r="G27" s="1">
        <v>45394</v>
      </c>
      <c r="H27" s="2">
        <v>10</v>
      </c>
      <c r="I27" s="2">
        <v>45678</v>
      </c>
      <c r="J27" s="2" t="s">
        <v>1023</v>
      </c>
      <c r="K27" t="s">
        <v>1059</v>
      </c>
      <c r="L27" t="s">
        <v>1018</v>
      </c>
      <c r="M27" s="2" t="s">
        <v>1024</v>
      </c>
      <c r="N27">
        <v>5</v>
      </c>
    </row>
    <row r="28" spans="1:14" x14ac:dyDescent="0.3">
      <c r="A28" t="s">
        <v>672</v>
      </c>
      <c r="B28">
        <v>12</v>
      </c>
      <c r="C28" t="s">
        <v>1014</v>
      </c>
      <c r="D28" s="2" t="s">
        <v>1039</v>
      </c>
      <c r="E28" t="s">
        <v>1137</v>
      </c>
      <c r="F28" s="1">
        <v>45385</v>
      </c>
      <c r="G28" s="1">
        <v>45395</v>
      </c>
      <c r="H28" s="2">
        <v>10</v>
      </c>
      <c r="I28" s="2">
        <v>56789</v>
      </c>
      <c r="J28" s="2" t="s">
        <v>1023</v>
      </c>
      <c r="K28" t="s">
        <v>1059</v>
      </c>
      <c r="L28" t="s">
        <v>1037</v>
      </c>
      <c r="M28" s="2" t="s">
        <v>1024</v>
      </c>
      <c r="N28">
        <v>5</v>
      </c>
    </row>
    <row r="29" spans="1:14" x14ac:dyDescent="0.3">
      <c r="A29" t="s">
        <v>673</v>
      </c>
      <c r="B29">
        <v>34</v>
      </c>
      <c r="C29" t="s">
        <v>1014</v>
      </c>
      <c r="D29" s="2" t="s">
        <v>1039</v>
      </c>
      <c r="E29" t="s">
        <v>1137</v>
      </c>
      <c r="F29" s="1">
        <v>45386</v>
      </c>
      <c r="G29" s="1">
        <v>45396</v>
      </c>
      <c r="H29" s="2">
        <v>10</v>
      </c>
      <c r="I29" s="2">
        <v>67890</v>
      </c>
      <c r="J29" s="2" t="s">
        <v>1023</v>
      </c>
      <c r="K29" t="s">
        <v>1059</v>
      </c>
      <c r="L29" t="s">
        <v>1018</v>
      </c>
      <c r="M29" s="2" t="s">
        <v>1024</v>
      </c>
      <c r="N29">
        <v>5</v>
      </c>
    </row>
    <row r="30" spans="1:14" x14ac:dyDescent="0.3">
      <c r="A30" t="s">
        <v>674</v>
      </c>
      <c r="B30">
        <v>45</v>
      </c>
      <c r="C30" t="s">
        <v>1014</v>
      </c>
      <c r="D30" s="2" t="s">
        <v>1039</v>
      </c>
      <c r="E30" t="s">
        <v>1137</v>
      </c>
      <c r="F30" s="1">
        <v>45387</v>
      </c>
      <c r="G30" s="1">
        <v>45397</v>
      </c>
      <c r="H30" s="2">
        <v>10</v>
      </c>
      <c r="I30" s="2">
        <v>98765</v>
      </c>
      <c r="J30" s="2" t="s">
        <v>1023</v>
      </c>
      <c r="K30" t="s">
        <v>1059</v>
      </c>
      <c r="L30" t="s">
        <v>1037</v>
      </c>
      <c r="M30" s="2" t="s">
        <v>1024</v>
      </c>
      <c r="N30">
        <v>5</v>
      </c>
    </row>
    <row r="31" spans="1:14" x14ac:dyDescent="0.3">
      <c r="A31" t="s">
        <v>675</v>
      </c>
      <c r="B31">
        <v>67</v>
      </c>
      <c r="C31" t="s">
        <v>1014</v>
      </c>
      <c r="D31" s="2" t="s">
        <v>1039</v>
      </c>
      <c r="E31" t="s">
        <v>1137</v>
      </c>
      <c r="F31" s="1">
        <v>45388</v>
      </c>
      <c r="G31" s="1">
        <v>45398</v>
      </c>
      <c r="H31" s="2">
        <v>10</v>
      </c>
      <c r="I31" s="2">
        <v>87654</v>
      </c>
      <c r="J31" s="2" t="s">
        <v>1023</v>
      </c>
      <c r="K31" t="s">
        <v>1059</v>
      </c>
      <c r="L31" t="s">
        <v>1037</v>
      </c>
      <c r="M31" s="2" t="s">
        <v>1024</v>
      </c>
      <c r="N31">
        <v>5</v>
      </c>
    </row>
    <row r="32" spans="1:14" x14ac:dyDescent="0.3">
      <c r="A32" t="s">
        <v>676</v>
      </c>
      <c r="B32">
        <v>78</v>
      </c>
      <c r="C32" t="s">
        <v>1014</v>
      </c>
      <c r="D32" s="2" t="s">
        <v>1039</v>
      </c>
      <c r="E32" t="s">
        <v>1137</v>
      </c>
      <c r="F32" s="1">
        <v>45389</v>
      </c>
      <c r="G32" s="1">
        <v>45399</v>
      </c>
      <c r="H32" s="2">
        <v>10</v>
      </c>
      <c r="I32" s="2">
        <v>76543</v>
      </c>
      <c r="J32" s="2" t="s">
        <v>1023</v>
      </c>
      <c r="K32" t="s">
        <v>1059</v>
      </c>
      <c r="L32" t="s">
        <v>1037</v>
      </c>
      <c r="M32" s="2" t="s">
        <v>1024</v>
      </c>
      <c r="N32">
        <v>5</v>
      </c>
    </row>
    <row r="33" spans="1:14" x14ac:dyDescent="0.3">
      <c r="A33" t="s">
        <v>677</v>
      </c>
      <c r="B33">
        <v>87</v>
      </c>
      <c r="C33" t="s">
        <v>1014</v>
      </c>
      <c r="D33" s="2" t="s">
        <v>1039</v>
      </c>
      <c r="E33" t="s">
        <v>1137</v>
      </c>
      <c r="F33" s="1">
        <v>45390</v>
      </c>
      <c r="G33" s="1">
        <v>45400</v>
      </c>
      <c r="H33" s="2">
        <v>10</v>
      </c>
      <c r="I33" s="2">
        <v>76890</v>
      </c>
      <c r="J33" s="2" t="s">
        <v>1023</v>
      </c>
      <c r="K33" t="s">
        <v>1059</v>
      </c>
      <c r="L33" t="s">
        <v>1018</v>
      </c>
      <c r="M33" s="2" t="s">
        <v>1024</v>
      </c>
      <c r="N33">
        <v>5</v>
      </c>
    </row>
    <row r="34" spans="1:14" x14ac:dyDescent="0.3">
      <c r="A34" t="s">
        <v>678</v>
      </c>
      <c r="B34">
        <v>23</v>
      </c>
      <c r="C34" t="s">
        <v>1014</v>
      </c>
      <c r="D34" s="2" t="s">
        <v>1039</v>
      </c>
      <c r="E34" t="s">
        <v>1137</v>
      </c>
      <c r="F34" s="1">
        <v>45391</v>
      </c>
      <c r="G34" s="1">
        <v>45401</v>
      </c>
      <c r="H34" s="2">
        <v>10</v>
      </c>
      <c r="I34" s="2">
        <v>98000</v>
      </c>
      <c r="J34" s="2" t="s">
        <v>1023</v>
      </c>
      <c r="K34" t="s">
        <v>1059</v>
      </c>
      <c r="L34" t="s">
        <v>1018</v>
      </c>
      <c r="M34" s="2" t="s">
        <v>1024</v>
      </c>
      <c r="N34">
        <v>5</v>
      </c>
    </row>
    <row r="35" spans="1:14" x14ac:dyDescent="0.3">
      <c r="A35" t="s">
        <v>679</v>
      </c>
      <c r="B35">
        <v>45</v>
      </c>
      <c r="C35" t="s">
        <v>1014</v>
      </c>
      <c r="D35" s="2" t="s">
        <v>1039</v>
      </c>
      <c r="E35" t="s">
        <v>1137</v>
      </c>
      <c r="F35" s="1">
        <v>45392</v>
      </c>
      <c r="G35" s="1">
        <v>45402</v>
      </c>
      <c r="H35" s="2">
        <v>10</v>
      </c>
      <c r="I35" s="2">
        <v>78000</v>
      </c>
      <c r="J35" s="2" t="s">
        <v>1023</v>
      </c>
      <c r="K35" t="s">
        <v>1059</v>
      </c>
      <c r="L35" t="s">
        <v>1037</v>
      </c>
      <c r="M35" s="2" t="s">
        <v>1024</v>
      </c>
      <c r="N35">
        <v>5</v>
      </c>
    </row>
    <row r="36" spans="1:14" x14ac:dyDescent="0.3">
      <c r="A36" t="s">
        <v>680</v>
      </c>
      <c r="B36">
        <v>12</v>
      </c>
      <c r="C36" t="s">
        <v>1014</v>
      </c>
      <c r="D36" s="2" t="s">
        <v>1039</v>
      </c>
      <c r="E36" t="s">
        <v>1137</v>
      </c>
      <c r="F36" s="1">
        <v>45393</v>
      </c>
      <c r="G36" s="1">
        <v>45397</v>
      </c>
      <c r="H36" s="2">
        <v>4</v>
      </c>
      <c r="I36" s="2">
        <v>67800</v>
      </c>
      <c r="J36" s="2" t="s">
        <v>1023</v>
      </c>
      <c r="K36" t="s">
        <v>1059</v>
      </c>
      <c r="L36" t="s">
        <v>1018</v>
      </c>
      <c r="M36" s="2" t="s">
        <v>1024</v>
      </c>
      <c r="N36">
        <v>5</v>
      </c>
    </row>
    <row r="37" spans="1:14" x14ac:dyDescent="0.3">
      <c r="A37" t="s">
        <v>681</v>
      </c>
      <c r="B37">
        <v>23</v>
      </c>
      <c r="C37" t="s">
        <v>1020</v>
      </c>
      <c r="D37" s="2" t="s">
        <v>1039</v>
      </c>
      <c r="E37" t="s">
        <v>1102</v>
      </c>
      <c r="F37" s="1">
        <v>45394</v>
      </c>
      <c r="G37" s="1">
        <v>45398</v>
      </c>
      <c r="H37" s="2">
        <v>4</v>
      </c>
      <c r="I37" s="2">
        <v>78000</v>
      </c>
      <c r="J37" s="2" t="s">
        <v>1023</v>
      </c>
      <c r="K37" t="s">
        <v>1059</v>
      </c>
      <c r="L37" t="s">
        <v>1037</v>
      </c>
      <c r="M37" s="2" t="s">
        <v>1024</v>
      </c>
      <c r="N37">
        <v>3.6</v>
      </c>
    </row>
    <row r="38" spans="1:14" x14ac:dyDescent="0.3">
      <c r="A38" t="s">
        <v>682</v>
      </c>
      <c r="B38">
        <v>45</v>
      </c>
      <c r="C38" t="s">
        <v>1020</v>
      </c>
      <c r="D38" s="2" t="s">
        <v>1039</v>
      </c>
      <c r="E38" t="s">
        <v>1102</v>
      </c>
      <c r="F38" s="1">
        <v>45395</v>
      </c>
      <c r="G38" s="1">
        <v>45399</v>
      </c>
      <c r="H38" s="2">
        <v>4</v>
      </c>
      <c r="I38" s="2">
        <v>98000</v>
      </c>
      <c r="J38" s="2" t="s">
        <v>1023</v>
      </c>
      <c r="K38" t="s">
        <v>1059</v>
      </c>
      <c r="L38" t="s">
        <v>1018</v>
      </c>
      <c r="M38" s="2" t="s">
        <v>1024</v>
      </c>
      <c r="N38">
        <v>3.6</v>
      </c>
    </row>
    <row r="39" spans="1:14" x14ac:dyDescent="0.3">
      <c r="A39" t="s">
        <v>683</v>
      </c>
      <c r="B39">
        <v>32</v>
      </c>
      <c r="C39" t="s">
        <v>1020</v>
      </c>
      <c r="D39" s="2" t="s">
        <v>1039</v>
      </c>
      <c r="E39" t="s">
        <v>1102</v>
      </c>
      <c r="F39" s="1">
        <v>45396</v>
      </c>
      <c r="G39" s="1">
        <v>45400</v>
      </c>
      <c r="H39" s="2">
        <v>4</v>
      </c>
      <c r="I39" s="2">
        <v>12000</v>
      </c>
      <c r="J39" s="2" t="s">
        <v>1023</v>
      </c>
      <c r="K39" t="s">
        <v>1059</v>
      </c>
      <c r="L39" t="s">
        <v>1018</v>
      </c>
      <c r="M39" s="2" t="s">
        <v>1024</v>
      </c>
      <c r="N39">
        <v>3.6</v>
      </c>
    </row>
    <row r="40" spans="1:14" x14ac:dyDescent="0.3">
      <c r="A40" t="s">
        <v>684</v>
      </c>
      <c r="B40">
        <v>45</v>
      </c>
      <c r="C40" t="s">
        <v>1020</v>
      </c>
      <c r="D40" s="2" t="s">
        <v>1039</v>
      </c>
      <c r="E40" t="s">
        <v>1102</v>
      </c>
      <c r="F40" s="1">
        <v>45397</v>
      </c>
      <c r="G40" s="1">
        <v>45401</v>
      </c>
      <c r="H40" s="2">
        <v>4</v>
      </c>
      <c r="I40" s="2">
        <v>34000</v>
      </c>
      <c r="J40" s="2" t="s">
        <v>1023</v>
      </c>
      <c r="K40" t="s">
        <v>1059</v>
      </c>
      <c r="L40" t="s">
        <v>1018</v>
      </c>
      <c r="M40" s="2" t="s">
        <v>1024</v>
      </c>
      <c r="N40">
        <v>3.6</v>
      </c>
    </row>
    <row r="41" spans="1:14" x14ac:dyDescent="0.3">
      <c r="A41" t="s">
        <v>685</v>
      </c>
      <c r="B41">
        <v>32</v>
      </c>
      <c r="C41" t="s">
        <v>1020</v>
      </c>
      <c r="D41" s="2" t="s">
        <v>1039</v>
      </c>
      <c r="E41" t="s">
        <v>1102</v>
      </c>
      <c r="F41" s="1">
        <v>45398</v>
      </c>
      <c r="G41" s="1">
        <v>45402</v>
      </c>
      <c r="H41" s="2">
        <v>4</v>
      </c>
      <c r="I41" s="2">
        <v>45000</v>
      </c>
      <c r="J41" s="2" t="s">
        <v>1023</v>
      </c>
      <c r="K41" t="s">
        <v>1059</v>
      </c>
      <c r="L41" t="s">
        <v>1037</v>
      </c>
      <c r="M41" s="2" t="s">
        <v>1024</v>
      </c>
      <c r="N41">
        <v>3.6</v>
      </c>
    </row>
    <row r="42" spans="1:14" x14ac:dyDescent="0.3">
      <c r="A42" t="s">
        <v>686</v>
      </c>
      <c r="B42">
        <v>45</v>
      </c>
      <c r="C42" t="s">
        <v>1020</v>
      </c>
      <c r="D42" s="2" t="s">
        <v>1039</v>
      </c>
      <c r="E42" t="s">
        <v>1102</v>
      </c>
      <c r="F42" s="1">
        <v>45399</v>
      </c>
      <c r="G42" s="1">
        <v>45403</v>
      </c>
      <c r="H42" s="2">
        <v>4</v>
      </c>
      <c r="I42" s="2">
        <v>56000</v>
      </c>
      <c r="J42" s="2" t="s">
        <v>1023</v>
      </c>
      <c r="K42" t="s">
        <v>1059</v>
      </c>
      <c r="L42" t="s">
        <v>1018</v>
      </c>
      <c r="M42" s="2" t="s">
        <v>1024</v>
      </c>
      <c r="N42">
        <v>3.6</v>
      </c>
    </row>
    <row r="43" spans="1:14" x14ac:dyDescent="0.3">
      <c r="A43" t="s">
        <v>687</v>
      </c>
      <c r="B43">
        <v>67</v>
      </c>
      <c r="C43" t="s">
        <v>1020</v>
      </c>
      <c r="D43" s="2" t="s">
        <v>1039</v>
      </c>
      <c r="E43" t="s">
        <v>1102</v>
      </c>
      <c r="F43" s="1">
        <v>45400</v>
      </c>
      <c r="G43" s="1">
        <v>45404</v>
      </c>
      <c r="H43" s="2">
        <v>4</v>
      </c>
      <c r="I43" s="2">
        <v>12000</v>
      </c>
      <c r="J43" s="2" t="s">
        <v>1023</v>
      </c>
      <c r="K43" t="s">
        <v>1059</v>
      </c>
      <c r="L43" t="s">
        <v>1037</v>
      </c>
      <c r="M43" s="2" t="s">
        <v>1024</v>
      </c>
      <c r="N43">
        <v>3.6</v>
      </c>
    </row>
    <row r="44" spans="1:14" x14ac:dyDescent="0.3">
      <c r="A44" t="s">
        <v>688</v>
      </c>
      <c r="B44">
        <v>65</v>
      </c>
      <c r="C44" t="s">
        <v>1020</v>
      </c>
      <c r="D44" s="2" t="s">
        <v>1039</v>
      </c>
      <c r="E44" t="s">
        <v>1102</v>
      </c>
      <c r="F44" s="1">
        <v>45401</v>
      </c>
      <c r="G44" s="1">
        <v>45405</v>
      </c>
      <c r="H44" s="2">
        <v>4</v>
      </c>
      <c r="I44" s="2">
        <v>45000</v>
      </c>
      <c r="J44" s="2" t="s">
        <v>1023</v>
      </c>
      <c r="K44" t="s">
        <v>1059</v>
      </c>
      <c r="L44" t="s">
        <v>1018</v>
      </c>
      <c r="M44" s="2" t="s">
        <v>1024</v>
      </c>
      <c r="N44">
        <v>3.6</v>
      </c>
    </row>
    <row r="45" spans="1:14" x14ac:dyDescent="0.3">
      <c r="A45" t="s">
        <v>689</v>
      </c>
      <c r="B45">
        <v>45</v>
      </c>
      <c r="C45" t="s">
        <v>1020</v>
      </c>
      <c r="D45" s="2" t="s">
        <v>1039</v>
      </c>
      <c r="E45" t="s">
        <v>1102</v>
      </c>
      <c r="F45" s="1">
        <v>45402</v>
      </c>
      <c r="G45" s="1">
        <v>45406</v>
      </c>
      <c r="H45" s="2">
        <v>4</v>
      </c>
      <c r="I45" s="2">
        <v>56000</v>
      </c>
      <c r="J45" s="2" t="s">
        <v>1023</v>
      </c>
      <c r="K45" t="s">
        <v>1059</v>
      </c>
      <c r="L45" t="s">
        <v>1037</v>
      </c>
      <c r="M45" s="2" t="s">
        <v>1024</v>
      </c>
      <c r="N45">
        <v>3.6</v>
      </c>
    </row>
    <row r="46" spans="1:14" x14ac:dyDescent="0.3">
      <c r="A46" t="s">
        <v>690</v>
      </c>
      <c r="B46">
        <v>34</v>
      </c>
      <c r="C46" t="s">
        <v>1020</v>
      </c>
      <c r="D46" s="2" t="s">
        <v>1039</v>
      </c>
      <c r="E46" t="s">
        <v>1102</v>
      </c>
      <c r="F46" s="1">
        <v>45403</v>
      </c>
      <c r="G46" s="1">
        <v>45408</v>
      </c>
      <c r="H46" s="2">
        <v>5</v>
      </c>
      <c r="I46" s="2">
        <v>67000</v>
      </c>
      <c r="J46" s="2" t="s">
        <v>1023</v>
      </c>
      <c r="K46" t="s">
        <v>1059</v>
      </c>
      <c r="L46" t="s">
        <v>1037</v>
      </c>
      <c r="M46" s="2" t="s">
        <v>1024</v>
      </c>
      <c r="N46">
        <v>3.6</v>
      </c>
    </row>
    <row r="47" spans="1:14" x14ac:dyDescent="0.3">
      <c r="A47" t="s">
        <v>691</v>
      </c>
      <c r="B47">
        <v>32</v>
      </c>
      <c r="C47" t="s">
        <v>1020</v>
      </c>
      <c r="D47" s="2" t="s">
        <v>1025</v>
      </c>
      <c r="E47" t="s">
        <v>1055</v>
      </c>
      <c r="F47" s="1">
        <v>45404</v>
      </c>
      <c r="G47" s="1">
        <v>45409</v>
      </c>
      <c r="H47" s="2">
        <v>5</v>
      </c>
      <c r="I47" s="2">
        <v>78000</v>
      </c>
      <c r="J47" s="2" t="s">
        <v>1023</v>
      </c>
      <c r="K47" t="s">
        <v>1046</v>
      </c>
      <c r="L47" t="s">
        <v>1037</v>
      </c>
      <c r="M47" s="2" t="s">
        <v>1024</v>
      </c>
      <c r="N47">
        <v>3.6</v>
      </c>
    </row>
    <row r="48" spans="1:14" x14ac:dyDescent="0.3">
      <c r="A48" t="s">
        <v>692</v>
      </c>
      <c r="B48">
        <v>31</v>
      </c>
      <c r="C48" t="s">
        <v>1020</v>
      </c>
      <c r="D48" s="2" t="s">
        <v>1025</v>
      </c>
      <c r="E48" t="s">
        <v>1055</v>
      </c>
      <c r="F48" s="1">
        <v>45405</v>
      </c>
      <c r="G48" s="1">
        <v>45410</v>
      </c>
      <c r="H48" s="2">
        <v>5</v>
      </c>
      <c r="I48" s="2">
        <v>45690</v>
      </c>
      <c r="J48" s="2" t="s">
        <v>1023</v>
      </c>
      <c r="K48" t="s">
        <v>1046</v>
      </c>
      <c r="L48" t="s">
        <v>1018</v>
      </c>
      <c r="M48" s="2" t="s">
        <v>1024</v>
      </c>
      <c r="N48">
        <v>3.6</v>
      </c>
    </row>
    <row r="49" spans="1:14" x14ac:dyDescent="0.3">
      <c r="A49" t="s">
        <v>693</v>
      </c>
      <c r="B49">
        <v>45</v>
      </c>
      <c r="C49" t="s">
        <v>1020</v>
      </c>
      <c r="D49" s="2" t="s">
        <v>1025</v>
      </c>
      <c r="E49" t="s">
        <v>1055</v>
      </c>
      <c r="F49" s="1">
        <v>45406</v>
      </c>
      <c r="G49" s="1">
        <v>45411</v>
      </c>
      <c r="H49" s="2">
        <v>5</v>
      </c>
      <c r="I49" s="2">
        <v>56789</v>
      </c>
      <c r="J49" s="2" t="s">
        <v>1027</v>
      </c>
      <c r="K49" t="s">
        <v>1046</v>
      </c>
      <c r="L49" t="s">
        <v>1018</v>
      </c>
      <c r="M49" s="2" t="s">
        <v>1024</v>
      </c>
      <c r="N49">
        <v>3.6</v>
      </c>
    </row>
    <row r="50" spans="1:14" x14ac:dyDescent="0.3">
      <c r="A50" t="s">
        <v>694</v>
      </c>
      <c r="B50">
        <v>43</v>
      </c>
      <c r="C50" t="s">
        <v>1020</v>
      </c>
      <c r="D50" s="2" t="s">
        <v>1025</v>
      </c>
      <c r="E50" t="s">
        <v>1055</v>
      </c>
      <c r="F50" s="1">
        <v>45407</v>
      </c>
      <c r="G50" s="1">
        <v>45412</v>
      </c>
      <c r="H50" s="2">
        <v>5</v>
      </c>
      <c r="I50" s="2">
        <v>98760</v>
      </c>
      <c r="J50" s="2" t="s">
        <v>1027</v>
      </c>
      <c r="K50" t="s">
        <v>1046</v>
      </c>
      <c r="L50" t="s">
        <v>1037</v>
      </c>
      <c r="M50" s="2" t="s">
        <v>1024</v>
      </c>
      <c r="N50">
        <v>3.6</v>
      </c>
    </row>
    <row r="51" spans="1:14" x14ac:dyDescent="0.3">
      <c r="A51" t="s">
        <v>695</v>
      </c>
      <c r="B51">
        <v>21</v>
      </c>
      <c r="C51" t="s">
        <v>1020</v>
      </c>
      <c r="D51" s="2" t="s">
        <v>1025</v>
      </c>
      <c r="E51" t="s">
        <v>1055</v>
      </c>
      <c r="F51" s="1">
        <v>45408</v>
      </c>
      <c r="G51" s="1">
        <v>45413</v>
      </c>
      <c r="H51" s="2">
        <v>5</v>
      </c>
      <c r="I51" s="2">
        <v>88888</v>
      </c>
      <c r="J51" s="2" t="s">
        <v>1027</v>
      </c>
      <c r="K51" t="s">
        <v>1046</v>
      </c>
      <c r="L51" t="s">
        <v>1018</v>
      </c>
      <c r="M51" s="2" t="s">
        <v>1024</v>
      </c>
      <c r="N51">
        <v>3.6</v>
      </c>
    </row>
    <row r="52" spans="1:14" x14ac:dyDescent="0.3">
      <c r="A52" t="s">
        <v>696</v>
      </c>
      <c r="B52">
        <v>45</v>
      </c>
      <c r="C52" t="s">
        <v>1020</v>
      </c>
      <c r="D52" s="2" t="s">
        <v>1025</v>
      </c>
      <c r="E52" t="s">
        <v>1055</v>
      </c>
      <c r="F52" s="1">
        <v>45409</v>
      </c>
      <c r="G52" s="1">
        <v>45414</v>
      </c>
      <c r="H52" s="2">
        <v>5</v>
      </c>
      <c r="I52" s="2">
        <v>99999</v>
      </c>
      <c r="J52" s="2" t="s">
        <v>1027</v>
      </c>
      <c r="K52" t="s">
        <v>1046</v>
      </c>
      <c r="L52" t="s">
        <v>1037</v>
      </c>
      <c r="M52" s="2" t="s">
        <v>1024</v>
      </c>
      <c r="N52">
        <v>3.6</v>
      </c>
    </row>
    <row r="53" spans="1:14" x14ac:dyDescent="0.3">
      <c r="A53" t="s">
        <v>697</v>
      </c>
      <c r="B53">
        <v>12</v>
      </c>
      <c r="C53" t="s">
        <v>1020</v>
      </c>
      <c r="D53" s="2" t="s">
        <v>1025</v>
      </c>
      <c r="E53" t="s">
        <v>1055</v>
      </c>
      <c r="F53" s="1">
        <v>45410</v>
      </c>
      <c r="G53" s="1">
        <v>45415</v>
      </c>
      <c r="H53" s="2">
        <v>5</v>
      </c>
      <c r="I53" s="2">
        <v>77777</v>
      </c>
      <c r="J53" s="2" t="s">
        <v>1027</v>
      </c>
      <c r="K53" t="s">
        <v>1046</v>
      </c>
      <c r="L53" t="s">
        <v>1018</v>
      </c>
      <c r="M53" s="2" t="s">
        <v>1024</v>
      </c>
      <c r="N53">
        <v>3.6</v>
      </c>
    </row>
    <row r="54" spans="1:14" x14ac:dyDescent="0.3">
      <c r="A54" t="s">
        <v>698</v>
      </c>
      <c r="B54">
        <v>13</v>
      </c>
      <c r="C54" t="s">
        <v>1020</v>
      </c>
      <c r="D54" s="2" t="s">
        <v>1025</v>
      </c>
      <c r="E54" t="s">
        <v>1055</v>
      </c>
      <c r="F54" s="1">
        <v>45411</v>
      </c>
      <c r="G54" s="1">
        <v>45416</v>
      </c>
      <c r="H54" s="2">
        <v>5</v>
      </c>
      <c r="I54" s="2">
        <v>66666</v>
      </c>
      <c r="J54" s="2" t="s">
        <v>1027</v>
      </c>
      <c r="K54" t="s">
        <v>1046</v>
      </c>
      <c r="L54" t="s">
        <v>1018</v>
      </c>
      <c r="M54" s="2" t="s">
        <v>1024</v>
      </c>
      <c r="N54">
        <v>3.6</v>
      </c>
    </row>
    <row r="55" spans="1:14" x14ac:dyDescent="0.3">
      <c r="A55" t="s">
        <v>699</v>
      </c>
      <c r="B55">
        <v>14</v>
      </c>
      <c r="C55" t="s">
        <v>1020</v>
      </c>
      <c r="D55" s="2" t="s">
        <v>1025</v>
      </c>
      <c r="E55" t="s">
        <v>1055</v>
      </c>
      <c r="F55" s="1">
        <v>45412</v>
      </c>
      <c r="G55" s="1">
        <v>45417</v>
      </c>
      <c r="H55" s="2">
        <v>5</v>
      </c>
      <c r="I55" s="2">
        <v>55555</v>
      </c>
      <c r="J55" s="2" t="s">
        <v>1027</v>
      </c>
      <c r="K55" t="s">
        <v>1046</v>
      </c>
      <c r="L55" t="s">
        <v>1018</v>
      </c>
      <c r="M55" s="2" t="s">
        <v>1024</v>
      </c>
      <c r="N55">
        <v>3.6</v>
      </c>
    </row>
    <row r="56" spans="1:14" x14ac:dyDescent="0.3">
      <c r="A56" t="s">
        <v>700</v>
      </c>
      <c r="B56">
        <v>15</v>
      </c>
      <c r="C56" t="s">
        <v>1020</v>
      </c>
      <c r="D56" s="2" t="s">
        <v>1025</v>
      </c>
      <c r="E56" t="s">
        <v>1055</v>
      </c>
      <c r="F56" s="1">
        <v>45413</v>
      </c>
      <c r="G56" s="1">
        <v>45418</v>
      </c>
      <c r="H56" s="2">
        <v>5</v>
      </c>
      <c r="I56" s="2">
        <v>56788</v>
      </c>
      <c r="J56" s="2" t="s">
        <v>1027</v>
      </c>
      <c r="K56" t="s">
        <v>1046</v>
      </c>
      <c r="L56" t="s">
        <v>1037</v>
      </c>
      <c r="M56" s="2" t="s">
        <v>1024</v>
      </c>
      <c r="N56">
        <v>3.6</v>
      </c>
    </row>
    <row r="57" spans="1:14" x14ac:dyDescent="0.3">
      <c r="A57" t="s">
        <v>701</v>
      </c>
      <c r="B57">
        <v>24</v>
      </c>
      <c r="C57" t="s">
        <v>1020</v>
      </c>
      <c r="D57" s="2" t="s">
        <v>1025</v>
      </c>
      <c r="E57" t="s">
        <v>1055</v>
      </c>
      <c r="F57" s="1">
        <v>45414</v>
      </c>
      <c r="G57" s="1">
        <v>45419</v>
      </c>
      <c r="H57" s="2">
        <v>5</v>
      </c>
      <c r="I57" s="2">
        <v>56790</v>
      </c>
      <c r="J57" s="2" t="s">
        <v>1027</v>
      </c>
      <c r="K57" t="s">
        <v>1046</v>
      </c>
      <c r="L57" t="s">
        <v>1018</v>
      </c>
      <c r="M57" s="2" t="s">
        <v>1024</v>
      </c>
      <c r="N57">
        <v>3.6</v>
      </c>
    </row>
    <row r="58" spans="1:14" x14ac:dyDescent="0.3">
      <c r="A58" t="s">
        <v>702</v>
      </c>
      <c r="B58">
        <v>35</v>
      </c>
      <c r="C58" t="s">
        <v>1020</v>
      </c>
      <c r="D58" s="2" t="s">
        <v>1025</v>
      </c>
      <c r="E58" t="s">
        <v>1055</v>
      </c>
      <c r="F58" s="1">
        <v>45415</v>
      </c>
      <c r="G58" s="1">
        <v>45420</v>
      </c>
      <c r="H58" s="2">
        <v>5</v>
      </c>
      <c r="I58" s="2">
        <v>78900</v>
      </c>
      <c r="J58" s="2" t="s">
        <v>1027</v>
      </c>
      <c r="K58" t="s">
        <v>1046</v>
      </c>
      <c r="L58" t="s">
        <v>1037</v>
      </c>
      <c r="M58" s="2" t="s">
        <v>1024</v>
      </c>
      <c r="N58">
        <v>3.6</v>
      </c>
    </row>
    <row r="59" spans="1:14" x14ac:dyDescent="0.3">
      <c r="A59" t="s">
        <v>703</v>
      </c>
      <c r="B59">
        <v>26</v>
      </c>
      <c r="C59" t="s">
        <v>1020</v>
      </c>
      <c r="D59" s="2" t="s">
        <v>1025</v>
      </c>
      <c r="E59" t="s">
        <v>1055</v>
      </c>
      <c r="F59" s="1">
        <v>45416</v>
      </c>
      <c r="G59" s="1">
        <v>45421</v>
      </c>
      <c r="H59" s="2">
        <v>5</v>
      </c>
      <c r="I59" s="2">
        <v>120000</v>
      </c>
      <c r="J59" s="2" t="s">
        <v>1027</v>
      </c>
      <c r="K59" t="s">
        <v>1046</v>
      </c>
      <c r="L59" t="s">
        <v>1018</v>
      </c>
      <c r="M59" s="2" t="s">
        <v>1024</v>
      </c>
      <c r="N59">
        <v>3.6</v>
      </c>
    </row>
    <row r="60" spans="1:14" x14ac:dyDescent="0.3">
      <c r="A60" t="s">
        <v>704</v>
      </c>
      <c r="B60">
        <v>27</v>
      </c>
      <c r="C60" t="s">
        <v>1020</v>
      </c>
      <c r="D60" s="2" t="s">
        <v>1025</v>
      </c>
      <c r="E60" t="s">
        <v>1055</v>
      </c>
      <c r="F60" s="1">
        <v>45417</v>
      </c>
      <c r="G60" s="1">
        <v>45422</v>
      </c>
      <c r="H60" s="2">
        <v>5</v>
      </c>
      <c r="I60" s="2">
        <v>320000</v>
      </c>
      <c r="J60" s="2" t="s">
        <v>1027</v>
      </c>
      <c r="K60" t="s">
        <v>1046</v>
      </c>
      <c r="L60" t="s">
        <v>1037</v>
      </c>
      <c r="M60" s="2" t="s">
        <v>1024</v>
      </c>
      <c r="N60">
        <v>3.6</v>
      </c>
    </row>
    <row r="61" spans="1:14" x14ac:dyDescent="0.3">
      <c r="A61" t="s">
        <v>705</v>
      </c>
      <c r="B61">
        <v>28</v>
      </c>
      <c r="C61" t="s">
        <v>1020</v>
      </c>
      <c r="D61" s="2" t="s">
        <v>1025</v>
      </c>
      <c r="E61" t="s">
        <v>1055</v>
      </c>
      <c r="F61" s="1">
        <v>45418</v>
      </c>
      <c r="G61" s="1">
        <v>45423</v>
      </c>
      <c r="H61" s="2">
        <v>5</v>
      </c>
      <c r="I61" s="2">
        <v>29000</v>
      </c>
      <c r="J61" s="2" t="s">
        <v>1027</v>
      </c>
      <c r="K61" t="s">
        <v>1046</v>
      </c>
      <c r="L61" t="s">
        <v>1037</v>
      </c>
      <c r="M61" s="2" t="s">
        <v>1024</v>
      </c>
      <c r="N61">
        <v>3.6</v>
      </c>
    </row>
    <row r="62" spans="1:14" x14ac:dyDescent="0.3">
      <c r="A62" t="s">
        <v>706</v>
      </c>
      <c r="B62">
        <v>29</v>
      </c>
      <c r="C62" t="s">
        <v>1020</v>
      </c>
      <c r="D62" s="2" t="s">
        <v>1025</v>
      </c>
      <c r="E62" t="s">
        <v>1055</v>
      </c>
      <c r="F62" s="1">
        <v>45419</v>
      </c>
      <c r="G62" s="1">
        <v>45424</v>
      </c>
      <c r="H62" s="2">
        <v>5</v>
      </c>
      <c r="I62" s="2">
        <v>110000</v>
      </c>
      <c r="J62" s="2" t="s">
        <v>1027</v>
      </c>
      <c r="K62" t="s">
        <v>1046</v>
      </c>
      <c r="L62" t="s">
        <v>1037</v>
      </c>
      <c r="M62" s="2" t="s">
        <v>1024</v>
      </c>
      <c r="N62">
        <v>3.6</v>
      </c>
    </row>
    <row r="63" spans="1:14" x14ac:dyDescent="0.3">
      <c r="A63" t="s">
        <v>707</v>
      </c>
      <c r="B63">
        <v>30</v>
      </c>
      <c r="C63" t="s">
        <v>1020</v>
      </c>
      <c r="D63" s="2" t="s">
        <v>1025</v>
      </c>
      <c r="E63" t="s">
        <v>1055</v>
      </c>
      <c r="F63" s="1">
        <v>45420</v>
      </c>
      <c r="G63" s="1">
        <v>45425</v>
      </c>
      <c r="H63" s="2">
        <v>5</v>
      </c>
      <c r="I63" s="2">
        <v>120000</v>
      </c>
      <c r="J63" s="2" t="s">
        <v>1027</v>
      </c>
      <c r="K63" t="s">
        <v>1046</v>
      </c>
      <c r="L63" t="s">
        <v>1018</v>
      </c>
      <c r="M63" s="2" t="s">
        <v>1024</v>
      </c>
      <c r="N63">
        <v>3.6</v>
      </c>
    </row>
    <row r="64" spans="1:14" x14ac:dyDescent="0.3">
      <c r="A64" t="s">
        <v>708</v>
      </c>
      <c r="B64">
        <v>20</v>
      </c>
      <c r="C64" t="s">
        <v>1020</v>
      </c>
      <c r="D64" s="2" t="s">
        <v>1025</v>
      </c>
      <c r="E64" t="s">
        <v>1055</v>
      </c>
      <c r="F64" s="1">
        <v>45421</v>
      </c>
      <c r="G64" s="1">
        <v>45426</v>
      </c>
      <c r="H64" s="2">
        <v>5</v>
      </c>
      <c r="I64" s="2">
        <v>98000</v>
      </c>
      <c r="J64" s="2" t="s">
        <v>1027</v>
      </c>
      <c r="K64" t="s">
        <v>1046</v>
      </c>
      <c r="L64" t="s">
        <v>1018</v>
      </c>
      <c r="M64" s="2" t="s">
        <v>1024</v>
      </c>
      <c r="N64">
        <v>3.6</v>
      </c>
    </row>
    <row r="65" spans="1:14" x14ac:dyDescent="0.3">
      <c r="A65" t="s">
        <v>709</v>
      </c>
      <c r="B65">
        <v>23</v>
      </c>
      <c r="C65" t="s">
        <v>1020</v>
      </c>
      <c r="D65" s="2" t="s">
        <v>1025</v>
      </c>
      <c r="E65" t="s">
        <v>1055</v>
      </c>
      <c r="F65" s="1">
        <v>45422</v>
      </c>
      <c r="G65" s="1">
        <v>45427</v>
      </c>
      <c r="H65" s="2">
        <v>5</v>
      </c>
      <c r="I65" s="2">
        <v>100000</v>
      </c>
      <c r="J65" s="2" t="s">
        <v>1027</v>
      </c>
      <c r="K65" t="s">
        <v>1046</v>
      </c>
      <c r="L65" t="s">
        <v>1037</v>
      </c>
      <c r="M65" s="2" t="s">
        <v>1024</v>
      </c>
      <c r="N65">
        <v>3.6</v>
      </c>
    </row>
    <row r="66" spans="1:14" x14ac:dyDescent="0.3">
      <c r="A66" t="s">
        <v>710</v>
      </c>
      <c r="B66">
        <v>87</v>
      </c>
      <c r="C66" t="s">
        <v>1020</v>
      </c>
      <c r="D66" s="2" t="s">
        <v>1025</v>
      </c>
      <c r="E66" t="s">
        <v>1055</v>
      </c>
      <c r="F66" s="1">
        <v>45423</v>
      </c>
      <c r="G66" s="1">
        <v>45428</v>
      </c>
      <c r="H66" s="2">
        <v>5</v>
      </c>
      <c r="I66" s="2">
        <v>120000</v>
      </c>
      <c r="J66" s="2" t="s">
        <v>1027</v>
      </c>
      <c r="K66" t="s">
        <v>1046</v>
      </c>
      <c r="L66" t="s">
        <v>1018</v>
      </c>
      <c r="M66" s="2" t="s">
        <v>1024</v>
      </c>
      <c r="N66">
        <v>3.6</v>
      </c>
    </row>
    <row r="67" spans="1:14" x14ac:dyDescent="0.3">
      <c r="A67" t="s">
        <v>711</v>
      </c>
      <c r="B67">
        <v>76</v>
      </c>
      <c r="C67" t="s">
        <v>1020</v>
      </c>
      <c r="D67" s="2" t="s">
        <v>1025</v>
      </c>
      <c r="E67" t="s">
        <v>1055</v>
      </c>
      <c r="F67" s="1">
        <v>45424</v>
      </c>
      <c r="G67" s="1">
        <v>45429</v>
      </c>
      <c r="H67" s="2">
        <v>5</v>
      </c>
      <c r="I67" s="2">
        <v>133000</v>
      </c>
      <c r="J67" s="2" t="s">
        <v>1027</v>
      </c>
      <c r="K67" t="s">
        <v>1046</v>
      </c>
      <c r="L67" t="s">
        <v>1037</v>
      </c>
      <c r="M67" s="2" t="s">
        <v>1024</v>
      </c>
      <c r="N67">
        <v>3.6</v>
      </c>
    </row>
    <row r="68" spans="1:14" x14ac:dyDescent="0.3">
      <c r="A68" t="s">
        <v>712</v>
      </c>
      <c r="B68">
        <v>65</v>
      </c>
      <c r="C68" t="s">
        <v>1020</v>
      </c>
      <c r="D68" s="2" t="s">
        <v>1025</v>
      </c>
      <c r="E68" t="s">
        <v>1055</v>
      </c>
      <c r="F68" s="1">
        <v>45425</v>
      </c>
      <c r="G68" s="1">
        <v>45430</v>
      </c>
      <c r="H68" s="2">
        <v>5</v>
      </c>
      <c r="I68" s="2">
        <v>144000</v>
      </c>
      <c r="J68" s="2" t="s">
        <v>1027</v>
      </c>
      <c r="K68" t="s">
        <v>1046</v>
      </c>
      <c r="L68" t="s">
        <v>1018</v>
      </c>
      <c r="M68" s="2" t="s">
        <v>1024</v>
      </c>
      <c r="N68">
        <v>3.6</v>
      </c>
    </row>
    <row r="69" spans="1:14" x14ac:dyDescent="0.3">
      <c r="A69" t="s">
        <v>713</v>
      </c>
      <c r="B69">
        <v>54</v>
      </c>
      <c r="C69" t="s">
        <v>1020</v>
      </c>
      <c r="D69" s="2" t="s">
        <v>1025</v>
      </c>
      <c r="E69" t="s">
        <v>1055</v>
      </c>
      <c r="F69" s="1">
        <v>45426</v>
      </c>
      <c r="G69" s="1">
        <v>45431</v>
      </c>
      <c r="H69" s="2">
        <v>5</v>
      </c>
      <c r="I69" s="2">
        <v>15500</v>
      </c>
      <c r="J69" s="2" t="s">
        <v>1027</v>
      </c>
      <c r="K69" t="s">
        <v>1046</v>
      </c>
      <c r="L69" t="s">
        <v>1018</v>
      </c>
      <c r="M69" s="2" t="s">
        <v>1024</v>
      </c>
      <c r="N69">
        <v>3.6</v>
      </c>
    </row>
    <row r="70" spans="1:14" x14ac:dyDescent="0.3">
      <c r="A70" t="s">
        <v>714</v>
      </c>
      <c r="B70">
        <v>53</v>
      </c>
      <c r="C70" t="s">
        <v>1020</v>
      </c>
      <c r="D70" s="2" t="s">
        <v>1025</v>
      </c>
      <c r="E70" t="s">
        <v>1055</v>
      </c>
      <c r="F70" s="1">
        <v>45427</v>
      </c>
      <c r="G70" s="1">
        <v>45432</v>
      </c>
      <c r="H70" s="2">
        <v>5</v>
      </c>
      <c r="I70" s="2">
        <v>56000</v>
      </c>
      <c r="J70" s="2" t="s">
        <v>1027</v>
      </c>
      <c r="K70" t="s">
        <v>1046</v>
      </c>
      <c r="L70" t="s">
        <v>1018</v>
      </c>
      <c r="M70" s="2" t="s">
        <v>1024</v>
      </c>
      <c r="N70">
        <v>3.6</v>
      </c>
    </row>
    <row r="71" spans="1:14" x14ac:dyDescent="0.3">
      <c r="A71" t="s">
        <v>715</v>
      </c>
      <c r="B71">
        <v>52</v>
      </c>
      <c r="C71" t="s">
        <v>1020</v>
      </c>
      <c r="D71" s="2" t="s">
        <v>1025</v>
      </c>
      <c r="E71" t="s">
        <v>1055</v>
      </c>
      <c r="F71" s="1">
        <v>45428</v>
      </c>
      <c r="G71" s="1">
        <v>45433</v>
      </c>
      <c r="H71" s="2">
        <v>5</v>
      </c>
      <c r="I71" s="2">
        <v>98000</v>
      </c>
      <c r="J71" s="2" t="s">
        <v>1027</v>
      </c>
      <c r="K71" t="s">
        <v>1046</v>
      </c>
      <c r="L71" t="s">
        <v>1037</v>
      </c>
      <c r="M71" s="2" t="s">
        <v>1024</v>
      </c>
      <c r="N71">
        <v>3.6</v>
      </c>
    </row>
    <row r="72" spans="1:14" x14ac:dyDescent="0.3">
      <c r="A72" t="s">
        <v>716</v>
      </c>
      <c r="B72">
        <v>51</v>
      </c>
      <c r="C72" t="s">
        <v>1020</v>
      </c>
      <c r="D72" s="2" t="s">
        <v>1025</v>
      </c>
      <c r="E72" t="s">
        <v>1055</v>
      </c>
      <c r="F72" s="1">
        <v>45429</v>
      </c>
      <c r="G72" s="1">
        <v>45434</v>
      </c>
      <c r="H72" s="2">
        <v>5</v>
      </c>
      <c r="I72" s="2">
        <v>78000</v>
      </c>
      <c r="J72" s="2" t="s">
        <v>1027</v>
      </c>
      <c r="K72" t="s">
        <v>1046</v>
      </c>
      <c r="L72" t="s">
        <v>1018</v>
      </c>
      <c r="M72" s="2" t="s">
        <v>1024</v>
      </c>
      <c r="N72">
        <v>3.6</v>
      </c>
    </row>
    <row r="73" spans="1:14" x14ac:dyDescent="0.3">
      <c r="A73" t="s">
        <v>717</v>
      </c>
      <c r="B73">
        <v>23</v>
      </c>
      <c r="C73" t="s">
        <v>1020</v>
      </c>
      <c r="D73" s="2" t="s">
        <v>1025</v>
      </c>
      <c r="E73" t="s">
        <v>1055</v>
      </c>
      <c r="F73" s="1">
        <v>45430</v>
      </c>
      <c r="G73" s="1">
        <v>45435</v>
      </c>
      <c r="H73" s="2">
        <v>5</v>
      </c>
      <c r="I73" s="2">
        <v>87000</v>
      </c>
      <c r="J73" s="2" t="s">
        <v>1027</v>
      </c>
      <c r="K73" t="s">
        <v>1046</v>
      </c>
      <c r="L73" t="s">
        <v>1037</v>
      </c>
      <c r="M73" s="2" t="s">
        <v>1024</v>
      </c>
      <c r="N73">
        <v>3.6</v>
      </c>
    </row>
    <row r="74" spans="1:14" x14ac:dyDescent="0.3">
      <c r="A74" t="s">
        <v>718</v>
      </c>
      <c r="B74">
        <v>45</v>
      </c>
      <c r="C74" t="s">
        <v>1020</v>
      </c>
      <c r="D74" s="2" t="s">
        <v>1025</v>
      </c>
      <c r="E74" t="s">
        <v>1055</v>
      </c>
      <c r="F74" s="1">
        <v>45431</v>
      </c>
      <c r="G74" s="1">
        <v>45443</v>
      </c>
      <c r="H74" s="2">
        <v>12</v>
      </c>
      <c r="I74" s="2">
        <v>67990</v>
      </c>
      <c r="J74" s="2" t="s">
        <v>1027</v>
      </c>
      <c r="K74" t="s">
        <v>1046</v>
      </c>
      <c r="L74" t="s">
        <v>1018</v>
      </c>
      <c r="M74" s="2" t="s">
        <v>1024</v>
      </c>
      <c r="N74">
        <v>3.6</v>
      </c>
    </row>
    <row r="75" spans="1:14" x14ac:dyDescent="0.3">
      <c r="A75" t="s">
        <v>719</v>
      </c>
      <c r="B75">
        <v>56</v>
      </c>
      <c r="C75" t="s">
        <v>1020</v>
      </c>
      <c r="D75" s="2" t="s">
        <v>1025</v>
      </c>
      <c r="E75" t="s">
        <v>1055</v>
      </c>
      <c r="F75" s="1">
        <v>45432</v>
      </c>
      <c r="G75" s="1">
        <v>45444</v>
      </c>
      <c r="H75" s="2">
        <v>12</v>
      </c>
      <c r="I75" s="2">
        <v>98000</v>
      </c>
      <c r="J75" s="2" t="s">
        <v>1027</v>
      </c>
      <c r="K75" t="s">
        <v>1046</v>
      </c>
      <c r="L75" t="s">
        <v>1037</v>
      </c>
      <c r="M75" s="2" t="s">
        <v>1024</v>
      </c>
      <c r="N75">
        <v>3.6</v>
      </c>
    </row>
    <row r="76" spans="1:14" x14ac:dyDescent="0.3">
      <c r="A76" t="s">
        <v>720</v>
      </c>
      <c r="B76">
        <v>54</v>
      </c>
      <c r="C76" t="s">
        <v>1020</v>
      </c>
      <c r="D76" s="2" t="s">
        <v>1025</v>
      </c>
      <c r="E76" t="s">
        <v>1055</v>
      </c>
      <c r="F76" s="1">
        <v>45433</v>
      </c>
      <c r="G76" s="1">
        <v>45445</v>
      </c>
      <c r="H76" s="2">
        <v>12</v>
      </c>
      <c r="I76" s="2">
        <v>12000</v>
      </c>
      <c r="J76" s="2" t="s">
        <v>1027</v>
      </c>
      <c r="K76" t="s">
        <v>1046</v>
      </c>
      <c r="L76" t="s">
        <v>1037</v>
      </c>
      <c r="M76" s="2" t="s">
        <v>1024</v>
      </c>
      <c r="N76">
        <v>3.6</v>
      </c>
    </row>
    <row r="77" spans="1:14" x14ac:dyDescent="0.3">
      <c r="A77" t="s">
        <v>721</v>
      </c>
      <c r="B77">
        <v>51</v>
      </c>
      <c r="C77" t="s">
        <v>1020</v>
      </c>
      <c r="D77" s="2" t="s">
        <v>1025</v>
      </c>
      <c r="E77" t="s">
        <v>1055</v>
      </c>
      <c r="F77" s="1">
        <v>45434</v>
      </c>
      <c r="G77" s="1">
        <v>45446</v>
      </c>
      <c r="H77" s="2">
        <v>12</v>
      </c>
      <c r="I77" s="2">
        <v>23000</v>
      </c>
      <c r="J77" s="2" t="s">
        <v>1027</v>
      </c>
      <c r="K77" t="s">
        <v>1046</v>
      </c>
      <c r="L77" t="s">
        <v>1037</v>
      </c>
      <c r="M77" s="2" t="s">
        <v>1024</v>
      </c>
      <c r="N77">
        <v>3.6</v>
      </c>
    </row>
    <row r="78" spans="1:14" x14ac:dyDescent="0.3">
      <c r="A78" t="s">
        <v>722</v>
      </c>
      <c r="B78">
        <v>54</v>
      </c>
      <c r="C78" t="s">
        <v>1020</v>
      </c>
      <c r="D78" s="2" t="s">
        <v>1025</v>
      </c>
      <c r="E78" t="s">
        <v>1055</v>
      </c>
      <c r="F78" s="1">
        <v>45435</v>
      </c>
      <c r="G78" s="1">
        <v>45447</v>
      </c>
      <c r="H78" s="2">
        <v>12</v>
      </c>
      <c r="I78" s="2">
        <v>34000</v>
      </c>
      <c r="J78" s="2" t="s">
        <v>1027</v>
      </c>
      <c r="K78" t="s">
        <v>1046</v>
      </c>
      <c r="L78" t="s">
        <v>1018</v>
      </c>
      <c r="M78" s="2" t="s">
        <v>1024</v>
      </c>
      <c r="N78">
        <v>3.6</v>
      </c>
    </row>
    <row r="79" spans="1:14" x14ac:dyDescent="0.3">
      <c r="A79" t="s">
        <v>723</v>
      </c>
      <c r="B79">
        <v>53</v>
      </c>
      <c r="C79" t="s">
        <v>1020</v>
      </c>
      <c r="D79" s="2" t="s">
        <v>1025</v>
      </c>
      <c r="E79" t="s">
        <v>1055</v>
      </c>
      <c r="F79" s="1">
        <v>45436</v>
      </c>
      <c r="G79" s="1">
        <v>45448</v>
      </c>
      <c r="H79" s="2">
        <v>12</v>
      </c>
      <c r="I79" s="2">
        <v>45000</v>
      </c>
      <c r="J79" s="2" t="s">
        <v>1027</v>
      </c>
      <c r="K79" t="s">
        <v>1046</v>
      </c>
      <c r="L79" t="s">
        <v>1018</v>
      </c>
      <c r="M79" s="2" t="s">
        <v>1024</v>
      </c>
      <c r="N79">
        <v>3.6</v>
      </c>
    </row>
    <row r="80" spans="1:14" x14ac:dyDescent="0.3">
      <c r="A80" t="s">
        <v>724</v>
      </c>
      <c r="B80">
        <v>52</v>
      </c>
      <c r="C80" t="s">
        <v>1020</v>
      </c>
      <c r="D80" s="2" t="s">
        <v>1025</v>
      </c>
      <c r="E80" t="s">
        <v>1055</v>
      </c>
      <c r="F80" s="1">
        <v>45437</v>
      </c>
      <c r="G80" s="1">
        <v>45449</v>
      </c>
      <c r="H80" s="2">
        <v>12</v>
      </c>
      <c r="I80" s="2">
        <v>150000</v>
      </c>
      <c r="J80" s="2" t="s">
        <v>1027</v>
      </c>
      <c r="K80" t="s">
        <v>1046</v>
      </c>
      <c r="L80" t="s">
        <v>1037</v>
      </c>
      <c r="M80" s="2" t="s">
        <v>1024</v>
      </c>
      <c r="N80">
        <v>3.6</v>
      </c>
    </row>
    <row r="81" spans="1:14" x14ac:dyDescent="0.3">
      <c r="A81" t="s">
        <v>725</v>
      </c>
      <c r="B81">
        <v>43</v>
      </c>
      <c r="C81" t="s">
        <v>1020</v>
      </c>
      <c r="D81" s="2" t="s">
        <v>1025</v>
      </c>
      <c r="E81" t="s">
        <v>1055</v>
      </c>
      <c r="F81" s="1">
        <v>45438</v>
      </c>
      <c r="G81" s="1">
        <v>45450</v>
      </c>
      <c r="H81" s="2">
        <v>12</v>
      </c>
      <c r="I81" s="2">
        <v>145000</v>
      </c>
      <c r="J81" s="2" t="s">
        <v>1027</v>
      </c>
      <c r="K81" t="s">
        <v>1046</v>
      </c>
      <c r="L81" t="s">
        <v>1018</v>
      </c>
      <c r="M81" s="2" t="s">
        <v>1024</v>
      </c>
      <c r="N81">
        <v>3.6</v>
      </c>
    </row>
    <row r="82" spans="1:14" x14ac:dyDescent="0.3">
      <c r="A82" t="s">
        <v>726</v>
      </c>
      <c r="B82">
        <v>42</v>
      </c>
      <c r="C82" t="s">
        <v>1020</v>
      </c>
      <c r="D82" s="2" t="s">
        <v>1025</v>
      </c>
      <c r="E82" t="s">
        <v>1055</v>
      </c>
      <c r="F82" s="1">
        <v>45439</v>
      </c>
      <c r="G82" s="1">
        <v>45451</v>
      </c>
      <c r="H82" s="2">
        <v>12</v>
      </c>
      <c r="I82" s="2">
        <v>120000</v>
      </c>
      <c r="J82" s="2" t="s">
        <v>1027</v>
      </c>
      <c r="K82" t="s">
        <v>1046</v>
      </c>
      <c r="L82" t="s">
        <v>1037</v>
      </c>
      <c r="M82" s="2" t="s">
        <v>1024</v>
      </c>
      <c r="N82">
        <v>3.6</v>
      </c>
    </row>
    <row r="83" spans="1:14" x14ac:dyDescent="0.3">
      <c r="A83" t="s">
        <v>727</v>
      </c>
      <c r="B83">
        <v>43</v>
      </c>
      <c r="C83" t="s">
        <v>1020</v>
      </c>
      <c r="D83" s="2" t="s">
        <v>1025</v>
      </c>
      <c r="E83" t="s">
        <v>1055</v>
      </c>
      <c r="F83" s="1">
        <v>45440</v>
      </c>
      <c r="G83" s="1">
        <v>45452</v>
      </c>
      <c r="H83" s="2">
        <v>12</v>
      </c>
      <c r="I83" s="2">
        <v>130000</v>
      </c>
      <c r="J83" s="2" t="s">
        <v>1027</v>
      </c>
      <c r="K83" t="s">
        <v>1046</v>
      </c>
      <c r="L83" t="s">
        <v>1018</v>
      </c>
      <c r="M83" s="2" t="s">
        <v>1024</v>
      </c>
      <c r="N83">
        <v>3.6</v>
      </c>
    </row>
    <row r="84" spans="1:14" x14ac:dyDescent="0.3">
      <c r="A84" t="s">
        <v>728</v>
      </c>
      <c r="B84">
        <v>45</v>
      </c>
      <c r="C84" t="s">
        <v>1020</v>
      </c>
      <c r="D84" s="2" t="s">
        <v>1025</v>
      </c>
      <c r="E84" t="s">
        <v>1055</v>
      </c>
      <c r="F84" s="1">
        <v>45441</v>
      </c>
      <c r="G84" s="1">
        <v>45453</v>
      </c>
      <c r="H84" s="2">
        <v>12</v>
      </c>
      <c r="I84" s="2">
        <v>156000</v>
      </c>
      <c r="J84" s="2" t="s">
        <v>1027</v>
      </c>
      <c r="K84" t="s">
        <v>1046</v>
      </c>
      <c r="L84" t="s">
        <v>1018</v>
      </c>
      <c r="M84" s="2" t="s">
        <v>1024</v>
      </c>
      <c r="N84">
        <v>3.6</v>
      </c>
    </row>
    <row r="85" spans="1:14" x14ac:dyDescent="0.3">
      <c r="A85" t="s">
        <v>729</v>
      </c>
      <c r="B85">
        <v>46</v>
      </c>
      <c r="C85" t="s">
        <v>1020</v>
      </c>
      <c r="D85" s="2" t="s">
        <v>1025</v>
      </c>
      <c r="E85" t="s">
        <v>1055</v>
      </c>
      <c r="F85" s="1">
        <v>45442</v>
      </c>
      <c r="G85" s="1">
        <v>45457</v>
      </c>
      <c r="H85" s="2">
        <v>15</v>
      </c>
      <c r="I85" s="2">
        <v>178000</v>
      </c>
      <c r="J85" s="2" t="s">
        <v>1027</v>
      </c>
      <c r="K85" t="s">
        <v>1046</v>
      </c>
      <c r="L85" t="s">
        <v>1018</v>
      </c>
      <c r="M85" s="2" t="s">
        <v>1024</v>
      </c>
      <c r="N85">
        <v>3.6</v>
      </c>
    </row>
    <row r="86" spans="1:14" x14ac:dyDescent="0.3">
      <c r="A86" t="s">
        <v>730</v>
      </c>
      <c r="B86">
        <v>54</v>
      </c>
      <c r="C86" t="s">
        <v>1020</v>
      </c>
      <c r="D86" s="2" t="s">
        <v>1025</v>
      </c>
      <c r="E86" t="s">
        <v>1055</v>
      </c>
      <c r="F86" s="1">
        <v>45443</v>
      </c>
      <c r="G86" s="1">
        <v>45458</v>
      </c>
      <c r="H86" s="2">
        <v>15</v>
      </c>
      <c r="I86" s="2">
        <v>198000</v>
      </c>
      <c r="J86" s="2" t="s">
        <v>1027</v>
      </c>
      <c r="K86" t="s">
        <v>1046</v>
      </c>
      <c r="L86" t="s">
        <v>1037</v>
      </c>
      <c r="M86" s="2" t="s">
        <v>1024</v>
      </c>
      <c r="N86">
        <v>3.6</v>
      </c>
    </row>
    <row r="87" spans="1:14" x14ac:dyDescent="0.3">
      <c r="A87" t="s">
        <v>918</v>
      </c>
      <c r="B87">
        <v>76</v>
      </c>
      <c r="C87" t="s">
        <v>1014</v>
      </c>
      <c r="D87" s="2" t="s">
        <v>1124</v>
      </c>
      <c r="E87" t="s">
        <v>1125</v>
      </c>
      <c r="F87" s="1">
        <v>45631</v>
      </c>
      <c r="G87" s="1">
        <v>45645</v>
      </c>
      <c r="H87" s="2">
        <v>14</v>
      </c>
      <c r="I87" s="2">
        <v>120000</v>
      </c>
      <c r="J87" s="2" t="s">
        <v>1027</v>
      </c>
      <c r="K87" t="s">
        <v>1044</v>
      </c>
      <c r="L87" t="s">
        <v>1018</v>
      </c>
      <c r="M87" s="2" t="s">
        <v>1024</v>
      </c>
      <c r="N87">
        <v>3.6</v>
      </c>
    </row>
    <row r="88" spans="1:14" x14ac:dyDescent="0.3">
      <c r="A88" t="s">
        <v>919</v>
      </c>
      <c r="B88">
        <v>56</v>
      </c>
      <c r="C88" t="s">
        <v>1014</v>
      </c>
      <c r="D88" s="2" t="s">
        <v>1124</v>
      </c>
      <c r="E88" t="s">
        <v>1125</v>
      </c>
      <c r="F88" s="1">
        <v>45632</v>
      </c>
      <c r="G88" s="1">
        <v>45646</v>
      </c>
      <c r="H88" s="2">
        <v>14</v>
      </c>
      <c r="I88" s="2">
        <v>120000</v>
      </c>
      <c r="J88" s="2" t="s">
        <v>1027</v>
      </c>
      <c r="K88" t="s">
        <v>1044</v>
      </c>
      <c r="L88" t="s">
        <v>1037</v>
      </c>
      <c r="M88" s="2" t="s">
        <v>1024</v>
      </c>
      <c r="N88">
        <v>3.6</v>
      </c>
    </row>
    <row r="89" spans="1:14" x14ac:dyDescent="0.3">
      <c r="A89" t="s">
        <v>920</v>
      </c>
      <c r="B89">
        <v>54</v>
      </c>
      <c r="C89" t="s">
        <v>1014</v>
      </c>
      <c r="D89" s="2" t="s">
        <v>1124</v>
      </c>
      <c r="E89" t="s">
        <v>1125</v>
      </c>
      <c r="F89" s="1">
        <v>45633</v>
      </c>
      <c r="G89" s="1">
        <v>45647</v>
      </c>
      <c r="H89" s="2">
        <v>14</v>
      </c>
      <c r="I89" s="2">
        <v>120000</v>
      </c>
      <c r="J89" s="2" t="s">
        <v>1027</v>
      </c>
      <c r="K89" t="s">
        <v>1044</v>
      </c>
      <c r="L89" t="s">
        <v>1018</v>
      </c>
      <c r="M89" s="2" t="s">
        <v>1024</v>
      </c>
      <c r="N89">
        <v>3.6</v>
      </c>
    </row>
    <row r="90" spans="1:14" x14ac:dyDescent="0.3">
      <c r="A90" t="s">
        <v>921</v>
      </c>
      <c r="B90">
        <v>55</v>
      </c>
      <c r="C90" t="s">
        <v>1014</v>
      </c>
      <c r="D90" s="2" t="s">
        <v>1124</v>
      </c>
      <c r="E90" t="s">
        <v>1125</v>
      </c>
      <c r="F90" s="1">
        <v>45634</v>
      </c>
      <c r="G90" s="1">
        <v>45648</v>
      </c>
      <c r="H90" s="2">
        <v>14</v>
      </c>
      <c r="I90" s="2">
        <v>120000</v>
      </c>
      <c r="J90" s="2" t="s">
        <v>1027</v>
      </c>
      <c r="K90" t="s">
        <v>1044</v>
      </c>
      <c r="L90" t="s">
        <v>1037</v>
      </c>
      <c r="M90" s="2" t="s">
        <v>1024</v>
      </c>
      <c r="N90">
        <v>3.6</v>
      </c>
    </row>
    <row r="91" spans="1:14" x14ac:dyDescent="0.3">
      <c r="A91" t="s">
        <v>922</v>
      </c>
      <c r="B91">
        <v>55</v>
      </c>
      <c r="C91" t="s">
        <v>1014</v>
      </c>
      <c r="D91" s="2" t="s">
        <v>1124</v>
      </c>
      <c r="E91" t="s">
        <v>1125</v>
      </c>
      <c r="F91" s="1">
        <v>45635</v>
      </c>
      <c r="G91" s="1">
        <v>45649</v>
      </c>
      <c r="H91" s="2">
        <v>14</v>
      </c>
      <c r="I91" s="2">
        <v>120000</v>
      </c>
      <c r="J91" s="2" t="s">
        <v>1027</v>
      </c>
      <c r="K91" t="s">
        <v>1044</v>
      </c>
      <c r="L91" t="s">
        <v>1172</v>
      </c>
      <c r="M91" s="2" t="s">
        <v>1024</v>
      </c>
      <c r="N91">
        <v>3.6</v>
      </c>
    </row>
    <row r="92" spans="1:14" x14ac:dyDescent="0.3">
      <c r="A92" t="s">
        <v>923</v>
      </c>
      <c r="B92">
        <v>55</v>
      </c>
      <c r="C92" t="s">
        <v>1014</v>
      </c>
      <c r="D92" s="2" t="s">
        <v>1124</v>
      </c>
      <c r="E92" t="s">
        <v>1125</v>
      </c>
      <c r="F92" s="1">
        <v>45636</v>
      </c>
      <c r="G92" s="1">
        <v>45650</v>
      </c>
      <c r="H92" s="2">
        <v>14</v>
      </c>
      <c r="I92" s="2">
        <v>120000</v>
      </c>
      <c r="J92" s="2" t="s">
        <v>1027</v>
      </c>
      <c r="K92" t="s">
        <v>1044</v>
      </c>
      <c r="L92" t="s">
        <v>1018</v>
      </c>
      <c r="M92" s="2" t="s">
        <v>1024</v>
      </c>
      <c r="N92">
        <v>3.6</v>
      </c>
    </row>
    <row r="93" spans="1:14" x14ac:dyDescent="0.3">
      <c r="A93" t="s">
        <v>924</v>
      </c>
      <c r="B93">
        <v>55</v>
      </c>
      <c r="C93" t="s">
        <v>1014</v>
      </c>
      <c r="D93" s="2" t="s">
        <v>1124</v>
      </c>
      <c r="E93" t="s">
        <v>1125</v>
      </c>
      <c r="F93" s="1">
        <v>45637</v>
      </c>
      <c r="G93" s="1">
        <v>45651</v>
      </c>
      <c r="H93" s="2">
        <v>14</v>
      </c>
      <c r="I93" s="2">
        <v>120000</v>
      </c>
      <c r="J93" s="2" t="s">
        <v>1027</v>
      </c>
      <c r="K93" t="s">
        <v>1044</v>
      </c>
      <c r="L93" t="s">
        <v>1018</v>
      </c>
      <c r="M93" s="2" t="s">
        <v>1024</v>
      </c>
      <c r="N93">
        <v>3.6</v>
      </c>
    </row>
    <row r="94" spans="1:14" x14ac:dyDescent="0.3">
      <c r="A94" t="s">
        <v>925</v>
      </c>
      <c r="B94">
        <v>55</v>
      </c>
      <c r="C94" t="s">
        <v>1014</v>
      </c>
      <c r="D94" s="2" t="s">
        <v>1124</v>
      </c>
      <c r="E94" t="s">
        <v>1125</v>
      </c>
      <c r="F94" s="1">
        <v>45638</v>
      </c>
      <c r="G94" s="1">
        <v>45652</v>
      </c>
      <c r="H94" s="2">
        <v>14</v>
      </c>
      <c r="I94" s="2">
        <v>120000</v>
      </c>
      <c r="J94" s="2" t="s">
        <v>1027</v>
      </c>
      <c r="K94" t="s">
        <v>1044</v>
      </c>
      <c r="L94" t="s">
        <v>1037</v>
      </c>
      <c r="M94" s="2" t="s">
        <v>1024</v>
      </c>
      <c r="N94">
        <v>3.6</v>
      </c>
    </row>
    <row r="95" spans="1:14" x14ac:dyDescent="0.3">
      <c r="A95" t="s">
        <v>926</v>
      </c>
      <c r="B95">
        <v>55</v>
      </c>
      <c r="C95" t="s">
        <v>1014</v>
      </c>
      <c r="D95" s="2" t="s">
        <v>1124</v>
      </c>
      <c r="E95" t="s">
        <v>1168</v>
      </c>
      <c r="F95" s="1">
        <v>45639</v>
      </c>
      <c r="G95" s="1">
        <v>45653</v>
      </c>
      <c r="H95" s="2">
        <v>14</v>
      </c>
      <c r="I95" s="2">
        <v>120000</v>
      </c>
      <c r="J95" s="2" t="s">
        <v>1027</v>
      </c>
      <c r="K95" t="s">
        <v>1044</v>
      </c>
      <c r="L95" t="s">
        <v>1018</v>
      </c>
      <c r="M95" s="2" t="s">
        <v>1024</v>
      </c>
      <c r="N95">
        <v>3.6</v>
      </c>
    </row>
    <row r="96" spans="1:14" x14ac:dyDescent="0.3">
      <c r="A96" t="s">
        <v>927</v>
      </c>
      <c r="B96">
        <v>44</v>
      </c>
      <c r="C96" t="s">
        <v>1014</v>
      </c>
      <c r="D96" s="2" t="s">
        <v>1124</v>
      </c>
      <c r="E96" t="s">
        <v>1168</v>
      </c>
      <c r="F96" s="1">
        <v>45640</v>
      </c>
      <c r="G96" s="1">
        <v>45654</v>
      </c>
      <c r="H96" s="2">
        <v>14</v>
      </c>
      <c r="I96" s="2">
        <v>120000</v>
      </c>
      <c r="J96" s="2" t="s">
        <v>1027</v>
      </c>
      <c r="K96" t="s">
        <v>1044</v>
      </c>
      <c r="L96" t="s">
        <v>1037</v>
      </c>
      <c r="M96" s="2" t="s">
        <v>1024</v>
      </c>
      <c r="N96">
        <v>3.6</v>
      </c>
    </row>
    <row r="97" spans="1:14" x14ac:dyDescent="0.3">
      <c r="A97" t="s">
        <v>928</v>
      </c>
      <c r="B97">
        <v>33</v>
      </c>
      <c r="C97" t="s">
        <v>1014</v>
      </c>
      <c r="D97" s="2" t="s">
        <v>1124</v>
      </c>
      <c r="E97" t="s">
        <v>1168</v>
      </c>
      <c r="F97" s="1">
        <v>45641</v>
      </c>
      <c r="G97" s="1">
        <v>45655</v>
      </c>
      <c r="H97" s="2">
        <v>14</v>
      </c>
      <c r="I97" s="2">
        <v>120000</v>
      </c>
      <c r="J97" s="2" t="s">
        <v>1027</v>
      </c>
      <c r="K97" t="s">
        <v>1044</v>
      </c>
      <c r="L97" t="s">
        <v>1018</v>
      </c>
      <c r="M97" s="2" t="s">
        <v>1024</v>
      </c>
      <c r="N97">
        <v>3.6</v>
      </c>
    </row>
    <row r="98" spans="1:14" x14ac:dyDescent="0.3">
      <c r="A98" t="s">
        <v>929</v>
      </c>
      <c r="B98">
        <v>33</v>
      </c>
      <c r="C98" t="s">
        <v>1014</v>
      </c>
      <c r="D98" s="2" t="s">
        <v>1124</v>
      </c>
      <c r="E98" t="s">
        <v>1168</v>
      </c>
      <c r="F98" s="1">
        <v>45642</v>
      </c>
      <c r="G98" s="1">
        <v>45656</v>
      </c>
      <c r="H98" s="2">
        <v>14</v>
      </c>
      <c r="I98" s="2">
        <v>120000</v>
      </c>
      <c r="J98" s="2" t="s">
        <v>1027</v>
      </c>
      <c r="K98" t="s">
        <v>1044</v>
      </c>
      <c r="L98" t="s">
        <v>1037</v>
      </c>
      <c r="M98" s="2" t="s">
        <v>1024</v>
      </c>
      <c r="N98">
        <v>3.6</v>
      </c>
    </row>
    <row r="99" spans="1:14" x14ac:dyDescent="0.3">
      <c r="A99" t="s">
        <v>930</v>
      </c>
      <c r="B99">
        <v>44</v>
      </c>
      <c r="C99" t="s">
        <v>1014</v>
      </c>
      <c r="D99" s="2" t="s">
        <v>1124</v>
      </c>
      <c r="E99" t="s">
        <v>1168</v>
      </c>
      <c r="F99" s="1">
        <v>45643</v>
      </c>
      <c r="G99" s="1">
        <v>45657</v>
      </c>
      <c r="H99" s="2">
        <v>14</v>
      </c>
      <c r="I99" s="2">
        <v>120000</v>
      </c>
      <c r="J99" s="2" t="s">
        <v>1027</v>
      </c>
      <c r="K99" t="s">
        <v>1044</v>
      </c>
      <c r="L99" t="s">
        <v>1037</v>
      </c>
      <c r="M99" s="2" t="s">
        <v>1024</v>
      </c>
      <c r="N99">
        <v>3.6</v>
      </c>
    </row>
    <row r="100" spans="1:14" x14ac:dyDescent="0.3">
      <c r="A100" t="s">
        <v>931</v>
      </c>
      <c r="B100">
        <v>22</v>
      </c>
      <c r="C100" t="s">
        <v>1014</v>
      </c>
      <c r="D100" s="2" t="s">
        <v>1124</v>
      </c>
      <c r="E100" t="s">
        <v>1168</v>
      </c>
      <c r="F100" s="1">
        <v>45644</v>
      </c>
      <c r="G100" s="1">
        <v>45658</v>
      </c>
      <c r="H100" s="2">
        <v>14</v>
      </c>
      <c r="I100" s="2">
        <v>120000</v>
      </c>
      <c r="J100" s="2" t="s">
        <v>1027</v>
      </c>
      <c r="K100" t="s">
        <v>1044</v>
      </c>
      <c r="L100" t="s">
        <v>1037</v>
      </c>
      <c r="M100" s="2" t="s">
        <v>1024</v>
      </c>
      <c r="N100">
        <v>3.6</v>
      </c>
    </row>
    <row r="101" spans="1:14" x14ac:dyDescent="0.3">
      <c r="A101" t="s">
        <v>932</v>
      </c>
      <c r="B101">
        <v>33</v>
      </c>
      <c r="C101" t="s">
        <v>1014</v>
      </c>
      <c r="D101" s="2" t="s">
        <v>1124</v>
      </c>
      <c r="E101" t="s">
        <v>1168</v>
      </c>
      <c r="F101" s="1">
        <v>45645</v>
      </c>
      <c r="G101" s="1">
        <v>45659</v>
      </c>
      <c r="H101" s="2">
        <v>14</v>
      </c>
      <c r="I101" s="2">
        <v>120000</v>
      </c>
      <c r="J101" s="2" t="s">
        <v>1027</v>
      </c>
      <c r="K101" t="s">
        <v>1044</v>
      </c>
      <c r="L101" t="s">
        <v>1018</v>
      </c>
      <c r="M101" s="2" t="s">
        <v>1024</v>
      </c>
      <c r="N101">
        <v>3.6</v>
      </c>
    </row>
    <row r="102" spans="1:14" x14ac:dyDescent="0.3">
      <c r="A102" t="s">
        <v>933</v>
      </c>
      <c r="B102">
        <v>55</v>
      </c>
      <c r="C102" t="s">
        <v>1014</v>
      </c>
      <c r="D102" s="2" t="s">
        <v>1124</v>
      </c>
      <c r="E102" t="s">
        <v>1168</v>
      </c>
      <c r="F102" s="1">
        <v>45646</v>
      </c>
      <c r="G102" s="1">
        <v>45660</v>
      </c>
      <c r="H102" s="2">
        <v>14</v>
      </c>
      <c r="I102" s="2">
        <v>120000</v>
      </c>
      <c r="J102" s="2" t="s">
        <v>1027</v>
      </c>
      <c r="K102" t="s">
        <v>1044</v>
      </c>
      <c r="L102" t="s">
        <v>1018</v>
      </c>
      <c r="M102" s="2" t="s">
        <v>1024</v>
      </c>
      <c r="N102">
        <v>3.6</v>
      </c>
    </row>
    <row r="103" spans="1:14" x14ac:dyDescent="0.3">
      <c r="A103" t="s">
        <v>934</v>
      </c>
      <c r="B103">
        <v>66</v>
      </c>
      <c r="C103" t="s">
        <v>1014</v>
      </c>
      <c r="D103" s="2" t="s">
        <v>1124</v>
      </c>
      <c r="E103" t="s">
        <v>1168</v>
      </c>
      <c r="F103" s="1">
        <v>45647</v>
      </c>
      <c r="G103" s="1">
        <v>45661</v>
      </c>
      <c r="H103" s="2">
        <v>14</v>
      </c>
      <c r="I103" s="2">
        <v>120000</v>
      </c>
      <c r="J103" s="2" t="s">
        <v>1027</v>
      </c>
      <c r="K103" t="s">
        <v>1044</v>
      </c>
      <c r="L103" t="s">
        <v>1037</v>
      </c>
      <c r="M103" s="2" t="s">
        <v>1024</v>
      </c>
      <c r="N103">
        <v>3.6</v>
      </c>
    </row>
    <row r="104" spans="1:14" x14ac:dyDescent="0.3">
      <c r="A104" t="s">
        <v>935</v>
      </c>
      <c r="B104">
        <v>65</v>
      </c>
      <c r="C104" t="s">
        <v>1014</v>
      </c>
      <c r="D104" s="2" t="s">
        <v>1124</v>
      </c>
      <c r="E104" t="s">
        <v>1168</v>
      </c>
      <c r="F104" s="1">
        <v>45648</v>
      </c>
      <c r="G104" s="1">
        <v>45662</v>
      </c>
      <c r="H104" s="2">
        <v>14</v>
      </c>
      <c r="I104" s="2">
        <v>120000</v>
      </c>
      <c r="J104" s="2" t="s">
        <v>1027</v>
      </c>
      <c r="K104" t="s">
        <v>1044</v>
      </c>
      <c r="L104" t="s">
        <v>1018</v>
      </c>
      <c r="M104" s="2" t="s">
        <v>1024</v>
      </c>
      <c r="N104">
        <v>3.6</v>
      </c>
    </row>
    <row r="105" spans="1:14" x14ac:dyDescent="0.3">
      <c r="A105" t="s">
        <v>936</v>
      </c>
      <c r="B105">
        <v>67</v>
      </c>
      <c r="C105" t="s">
        <v>1014</v>
      </c>
      <c r="D105" s="2" t="s">
        <v>1124</v>
      </c>
      <c r="E105" t="s">
        <v>1168</v>
      </c>
      <c r="F105" s="1">
        <v>45649</v>
      </c>
      <c r="G105" s="1">
        <v>45663</v>
      </c>
      <c r="H105" s="2">
        <v>14</v>
      </c>
      <c r="I105" s="2">
        <v>120000</v>
      </c>
      <c r="J105" s="2" t="s">
        <v>1027</v>
      </c>
      <c r="K105" t="s">
        <v>1044</v>
      </c>
      <c r="L105" t="s">
        <v>1037</v>
      </c>
      <c r="M105" s="2" t="s">
        <v>1024</v>
      </c>
      <c r="N105">
        <v>3.6</v>
      </c>
    </row>
    <row r="106" spans="1:14" x14ac:dyDescent="0.3">
      <c r="A106" t="s">
        <v>937</v>
      </c>
      <c r="B106">
        <v>67</v>
      </c>
      <c r="C106" t="s">
        <v>1014</v>
      </c>
      <c r="D106" s="2" t="s">
        <v>1124</v>
      </c>
      <c r="E106" t="s">
        <v>1168</v>
      </c>
      <c r="F106" s="1">
        <v>45650</v>
      </c>
      <c r="G106" s="1">
        <v>45664</v>
      </c>
      <c r="H106" s="2">
        <v>14</v>
      </c>
      <c r="I106" s="2">
        <v>120000</v>
      </c>
      <c r="J106" s="2" t="s">
        <v>1027</v>
      </c>
      <c r="K106" t="s">
        <v>1044</v>
      </c>
      <c r="L106" t="s">
        <v>1172</v>
      </c>
      <c r="M106" s="2" t="s">
        <v>1024</v>
      </c>
      <c r="N106">
        <v>3.6</v>
      </c>
    </row>
    <row r="107" spans="1:14" x14ac:dyDescent="0.3">
      <c r="A107" t="s">
        <v>938</v>
      </c>
      <c r="B107">
        <v>76</v>
      </c>
      <c r="C107" t="s">
        <v>1014</v>
      </c>
      <c r="D107" s="2" t="s">
        <v>1124</v>
      </c>
      <c r="E107" t="s">
        <v>1168</v>
      </c>
      <c r="F107" s="1">
        <v>45651</v>
      </c>
      <c r="G107" s="1">
        <v>45665</v>
      </c>
      <c r="H107" s="2">
        <v>14</v>
      </c>
      <c r="I107" s="2">
        <v>120000</v>
      </c>
      <c r="J107" s="2" t="s">
        <v>1027</v>
      </c>
      <c r="K107" t="s">
        <v>1044</v>
      </c>
      <c r="L107" t="s">
        <v>1018</v>
      </c>
      <c r="M107" s="2" t="s">
        <v>1024</v>
      </c>
      <c r="N107">
        <v>3.6</v>
      </c>
    </row>
    <row r="108" spans="1:14" x14ac:dyDescent="0.3">
      <c r="A108" t="s">
        <v>939</v>
      </c>
      <c r="B108">
        <v>76</v>
      </c>
      <c r="C108" t="s">
        <v>1014</v>
      </c>
      <c r="D108" s="2" t="s">
        <v>1124</v>
      </c>
      <c r="E108" t="s">
        <v>1168</v>
      </c>
      <c r="F108" s="1">
        <v>45652</v>
      </c>
      <c r="G108" s="1">
        <v>45666</v>
      </c>
      <c r="H108" s="2">
        <v>14</v>
      </c>
      <c r="I108" s="2">
        <v>120000</v>
      </c>
      <c r="J108" s="2" t="s">
        <v>1027</v>
      </c>
      <c r="K108" t="s">
        <v>1044</v>
      </c>
      <c r="L108" t="s">
        <v>1018</v>
      </c>
      <c r="M108" s="2" t="s">
        <v>1024</v>
      </c>
      <c r="N108">
        <v>3.6</v>
      </c>
    </row>
    <row r="109" spans="1:14" x14ac:dyDescent="0.3">
      <c r="A109" t="s">
        <v>940</v>
      </c>
      <c r="B109">
        <v>78</v>
      </c>
      <c r="C109" t="s">
        <v>1014</v>
      </c>
      <c r="D109" s="2" t="s">
        <v>1124</v>
      </c>
      <c r="E109" t="s">
        <v>1168</v>
      </c>
      <c r="F109" s="1">
        <v>45653</v>
      </c>
      <c r="G109" s="1">
        <v>45667</v>
      </c>
      <c r="H109" s="2">
        <v>14</v>
      </c>
      <c r="I109" s="2">
        <v>120000</v>
      </c>
      <c r="J109" s="2" t="s">
        <v>1027</v>
      </c>
      <c r="K109" t="s">
        <v>1044</v>
      </c>
      <c r="L109" t="s">
        <v>1037</v>
      </c>
      <c r="M109" s="2" t="s">
        <v>1024</v>
      </c>
      <c r="N109">
        <v>3.6</v>
      </c>
    </row>
    <row r="110" spans="1:14" x14ac:dyDescent="0.3">
      <c r="A110" t="s">
        <v>941</v>
      </c>
      <c r="B110">
        <v>76</v>
      </c>
      <c r="C110" t="s">
        <v>1014</v>
      </c>
      <c r="D110" s="2" t="s">
        <v>1124</v>
      </c>
      <c r="E110" t="s">
        <v>1168</v>
      </c>
      <c r="F110" s="1">
        <v>45654</v>
      </c>
      <c r="G110" s="1">
        <v>45668</v>
      </c>
      <c r="H110" s="2">
        <v>14</v>
      </c>
      <c r="I110" s="2">
        <v>120000</v>
      </c>
      <c r="J110" s="2" t="s">
        <v>1027</v>
      </c>
      <c r="K110" t="s">
        <v>1044</v>
      </c>
      <c r="L110" t="s">
        <v>1018</v>
      </c>
      <c r="M110" s="2" t="s">
        <v>1024</v>
      </c>
      <c r="N110">
        <v>3.6</v>
      </c>
    </row>
    <row r="111" spans="1:14" x14ac:dyDescent="0.3">
      <c r="A111" t="s">
        <v>942</v>
      </c>
      <c r="B111">
        <v>79</v>
      </c>
      <c r="C111" t="s">
        <v>1014</v>
      </c>
      <c r="D111" s="2" t="s">
        <v>1124</v>
      </c>
      <c r="E111" t="s">
        <v>1168</v>
      </c>
      <c r="F111" s="1">
        <v>45655</v>
      </c>
      <c r="G111" s="1">
        <v>45669</v>
      </c>
      <c r="H111" s="2">
        <v>14</v>
      </c>
      <c r="I111" s="2">
        <v>120000</v>
      </c>
      <c r="J111" s="2" t="s">
        <v>1027</v>
      </c>
      <c r="K111" t="s">
        <v>1044</v>
      </c>
      <c r="L111" t="s">
        <v>1037</v>
      </c>
      <c r="M111" s="2" t="s">
        <v>1024</v>
      </c>
      <c r="N111">
        <v>3.6</v>
      </c>
    </row>
    <row r="112" spans="1:14" x14ac:dyDescent="0.3">
      <c r="A112" t="s">
        <v>943</v>
      </c>
      <c r="B112">
        <v>80</v>
      </c>
      <c r="C112" t="s">
        <v>1014</v>
      </c>
      <c r="D112" s="2" t="s">
        <v>1124</v>
      </c>
      <c r="E112" t="s">
        <v>1168</v>
      </c>
      <c r="F112" s="1">
        <v>45656</v>
      </c>
      <c r="G112" s="1">
        <v>45670</v>
      </c>
      <c r="H112" s="2">
        <v>14</v>
      </c>
      <c r="I112" s="2">
        <v>120000</v>
      </c>
      <c r="J112" s="2" t="s">
        <v>1027</v>
      </c>
      <c r="K112" t="s">
        <v>1044</v>
      </c>
      <c r="L112" t="s">
        <v>1018</v>
      </c>
      <c r="M112" s="2" t="s">
        <v>1024</v>
      </c>
      <c r="N112">
        <v>3.6</v>
      </c>
    </row>
    <row r="113" spans="1:14" x14ac:dyDescent="0.3">
      <c r="A113" t="s">
        <v>944</v>
      </c>
      <c r="B113">
        <v>87</v>
      </c>
      <c r="C113" t="s">
        <v>1014</v>
      </c>
      <c r="D113" s="2" t="s">
        <v>1124</v>
      </c>
      <c r="E113" t="s">
        <v>1168</v>
      </c>
      <c r="F113" s="1">
        <v>45657</v>
      </c>
      <c r="G113" s="1">
        <v>45671</v>
      </c>
      <c r="H113" s="2">
        <v>14</v>
      </c>
      <c r="I113" s="2">
        <v>120000</v>
      </c>
      <c r="J113" s="2" t="s">
        <v>1027</v>
      </c>
      <c r="K113" t="s">
        <v>1044</v>
      </c>
      <c r="L113" t="s">
        <v>1037</v>
      </c>
      <c r="M113" s="2" t="s">
        <v>1024</v>
      </c>
      <c r="N113">
        <v>3.6</v>
      </c>
    </row>
    <row r="114" spans="1:14" x14ac:dyDescent="0.3">
      <c r="A114" t="s">
        <v>15</v>
      </c>
      <c r="B114" s="2">
        <v>40</v>
      </c>
      <c r="C114" s="2" t="s">
        <v>1020</v>
      </c>
      <c r="D114" s="2" t="s">
        <v>1021</v>
      </c>
      <c r="E114" s="2" t="s">
        <v>1022</v>
      </c>
      <c r="F114" s="3">
        <v>45659</v>
      </c>
      <c r="G114" s="3">
        <v>45669</v>
      </c>
      <c r="H114" s="2">
        <v>10</v>
      </c>
      <c r="I114" s="2">
        <v>35000</v>
      </c>
      <c r="J114" s="2" t="s">
        <v>1023</v>
      </c>
      <c r="K114" s="2" t="s">
        <v>1147</v>
      </c>
      <c r="L114" s="2" t="s">
        <v>1018</v>
      </c>
      <c r="M114" s="2" t="s">
        <v>1024</v>
      </c>
      <c r="N114" s="2">
        <v>4.5</v>
      </c>
    </row>
    <row r="115" spans="1:14" x14ac:dyDescent="0.3">
      <c r="A115" t="s">
        <v>17</v>
      </c>
      <c r="B115" s="2">
        <v>30</v>
      </c>
      <c r="C115" s="2" t="s">
        <v>1020</v>
      </c>
      <c r="D115" s="2" t="s">
        <v>1029</v>
      </c>
      <c r="E115" s="2" t="s">
        <v>1030</v>
      </c>
      <c r="F115" s="3">
        <v>45667</v>
      </c>
      <c r="G115" s="3">
        <v>45672</v>
      </c>
      <c r="H115" s="2">
        <v>5</v>
      </c>
      <c r="I115" s="2">
        <v>35000</v>
      </c>
      <c r="J115" s="2" t="s">
        <v>1023</v>
      </c>
      <c r="K115" s="2" t="s">
        <v>1033</v>
      </c>
      <c r="L115" s="2" t="s">
        <v>1018</v>
      </c>
      <c r="M115" s="2" t="s">
        <v>1024</v>
      </c>
      <c r="N115" s="2">
        <v>4</v>
      </c>
    </row>
    <row r="116" spans="1:14" x14ac:dyDescent="0.3">
      <c r="A116" t="s">
        <v>21</v>
      </c>
      <c r="B116" s="2">
        <v>51</v>
      </c>
      <c r="C116" s="2" t="s">
        <v>1014</v>
      </c>
      <c r="D116" s="2" t="s">
        <v>1031</v>
      </c>
      <c r="E116" s="2" t="s">
        <v>1032</v>
      </c>
      <c r="F116" s="3">
        <v>45679</v>
      </c>
      <c r="G116" s="3">
        <v>45687</v>
      </c>
      <c r="H116" s="2">
        <v>8</v>
      </c>
      <c r="I116" s="2">
        <v>65000</v>
      </c>
      <c r="J116" s="2" t="s">
        <v>1027</v>
      </c>
      <c r="K116" s="2" t="s">
        <v>1161</v>
      </c>
      <c r="L116" s="2" t="s">
        <v>1018</v>
      </c>
      <c r="M116" s="2" t="s">
        <v>1024</v>
      </c>
      <c r="N116" s="2">
        <v>3.5</v>
      </c>
    </row>
    <row r="117" spans="1:14" x14ac:dyDescent="0.3">
      <c r="A117" t="s">
        <v>23</v>
      </c>
      <c r="B117" s="2">
        <v>60</v>
      </c>
      <c r="C117" s="2" t="s">
        <v>1014</v>
      </c>
      <c r="D117" s="2" t="s">
        <v>1041</v>
      </c>
      <c r="E117" s="2" t="s">
        <v>1042</v>
      </c>
      <c r="F117" s="3">
        <v>45682</v>
      </c>
      <c r="G117" s="3">
        <v>45682</v>
      </c>
      <c r="H117" s="2">
        <v>0</v>
      </c>
      <c r="I117" s="2">
        <v>50000</v>
      </c>
      <c r="J117" s="2" t="s">
        <v>1027</v>
      </c>
      <c r="K117" s="2" t="s">
        <v>1128</v>
      </c>
      <c r="L117" s="2" t="s">
        <v>1018</v>
      </c>
      <c r="M117" s="2" t="s">
        <v>1024</v>
      </c>
      <c r="N117" s="2">
        <v>3.3</v>
      </c>
    </row>
    <row r="118" spans="1:14" x14ac:dyDescent="0.3">
      <c r="A118" t="s">
        <v>25</v>
      </c>
      <c r="B118" s="2">
        <v>25</v>
      </c>
      <c r="C118" s="2" t="s">
        <v>1020</v>
      </c>
      <c r="D118" s="2" t="s">
        <v>1025</v>
      </c>
      <c r="E118" s="2" t="s">
        <v>1045</v>
      </c>
      <c r="F118" s="3">
        <v>45684</v>
      </c>
      <c r="G118" s="3">
        <v>45698</v>
      </c>
      <c r="H118" s="2">
        <v>14</v>
      </c>
      <c r="I118" s="2">
        <v>80000</v>
      </c>
      <c r="J118" s="2" t="s">
        <v>1023</v>
      </c>
      <c r="K118" s="2" t="s">
        <v>1046</v>
      </c>
      <c r="L118" s="2" t="s">
        <v>1037</v>
      </c>
      <c r="M118" s="2" t="s">
        <v>1024</v>
      </c>
      <c r="N118" s="2">
        <v>3.1</v>
      </c>
    </row>
    <row r="119" spans="1:14" x14ac:dyDescent="0.3">
      <c r="A119" t="s">
        <v>26</v>
      </c>
      <c r="B119" s="2">
        <v>28</v>
      </c>
      <c r="C119" s="2" t="s">
        <v>1014</v>
      </c>
      <c r="D119" s="2" t="s">
        <v>1015</v>
      </c>
      <c r="E119" s="2" t="s">
        <v>1016</v>
      </c>
      <c r="F119" s="3">
        <v>45686</v>
      </c>
      <c r="G119" s="3">
        <v>45688</v>
      </c>
      <c r="H119" s="2">
        <v>2</v>
      </c>
      <c r="I119" s="2">
        <v>55000</v>
      </c>
      <c r="J119" s="2" t="s">
        <v>1017</v>
      </c>
      <c r="K119" s="2" t="s">
        <v>1052</v>
      </c>
      <c r="L119" s="2" t="s">
        <v>1018</v>
      </c>
      <c r="M119" s="2" t="s">
        <v>1024</v>
      </c>
      <c r="N119" s="2">
        <v>3</v>
      </c>
    </row>
    <row r="120" spans="1:14" x14ac:dyDescent="0.3">
      <c r="A120" t="s">
        <v>27</v>
      </c>
      <c r="B120" s="2">
        <v>32</v>
      </c>
      <c r="C120" s="2" t="s">
        <v>1020</v>
      </c>
      <c r="D120" s="2" t="s">
        <v>1035</v>
      </c>
      <c r="E120" s="2" t="s">
        <v>1047</v>
      </c>
      <c r="F120" s="3">
        <v>45687</v>
      </c>
      <c r="G120" s="3">
        <v>45700</v>
      </c>
      <c r="H120" s="2">
        <v>13</v>
      </c>
      <c r="I120" s="2">
        <v>75000</v>
      </c>
      <c r="J120" s="2" t="s">
        <v>1023</v>
      </c>
      <c r="K120" s="2" t="s">
        <v>1106</v>
      </c>
      <c r="L120" s="2" t="s">
        <v>1037</v>
      </c>
      <c r="M120" s="2" t="s">
        <v>1024</v>
      </c>
      <c r="N120" s="2">
        <v>2.9</v>
      </c>
    </row>
    <row r="121" spans="1:14" x14ac:dyDescent="0.3">
      <c r="A121" t="s">
        <v>29</v>
      </c>
      <c r="B121" s="2">
        <v>61</v>
      </c>
      <c r="C121" s="2" t="s">
        <v>1020</v>
      </c>
      <c r="D121" s="2" t="s">
        <v>1015</v>
      </c>
      <c r="E121" s="2" t="s">
        <v>1016</v>
      </c>
      <c r="F121" s="3">
        <v>45692</v>
      </c>
      <c r="G121" s="3">
        <v>45697</v>
      </c>
      <c r="H121" s="2">
        <v>5</v>
      </c>
      <c r="I121" s="2">
        <v>57000</v>
      </c>
      <c r="J121" s="2" t="s">
        <v>1023</v>
      </c>
      <c r="K121" s="2" t="s">
        <v>1052</v>
      </c>
      <c r="L121" s="2" t="s">
        <v>1037</v>
      </c>
      <c r="M121" s="2" t="s">
        <v>1024</v>
      </c>
      <c r="N121" s="2">
        <v>2.7</v>
      </c>
    </row>
    <row r="122" spans="1:14" x14ac:dyDescent="0.3">
      <c r="A122" t="s">
        <v>31</v>
      </c>
      <c r="B122" s="2">
        <v>49</v>
      </c>
      <c r="C122" s="2" t="s">
        <v>1014</v>
      </c>
      <c r="D122" s="2" t="s">
        <v>1029</v>
      </c>
      <c r="E122" s="2" t="s">
        <v>1050</v>
      </c>
      <c r="F122" s="3">
        <v>45695</v>
      </c>
      <c r="G122" s="3">
        <v>45708</v>
      </c>
      <c r="H122" s="2">
        <v>13</v>
      </c>
      <c r="I122" s="2">
        <v>90000</v>
      </c>
      <c r="J122" s="2" t="s">
        <v>1023</v>
      </c>
      <c r="K122" s="2" t="s">
        <v>1033</v>
      </c>
      <c r="L122" s="2" t="s">
        <v>1037</v>
      </c>
      <c r="M122" s="2" t="s">
        <v>1024</v>
      </c>
      <c r="N122" s="2">
        <v>2.5</v>
      </c>
    </row>
    <row r="123" spans="1:14" x14ac:dyDescent="0.3">
      <c r="A123" t="s">
        <v>370</v>
      </c>
      <c r="B123">
        <v>45</v>
      </c>
      <c r="C123" s="2" t="s">
        <v>1014</v>
      </c>
      <c r="D123" s="2" t="s">
        <v>1035</v>
      </c>
      <c r="E123" s="2" t="s">
        <v>1074</v>
      </c>
      <c r="F123" s="1">
        <v>45695</v>
      </c>
      <c r="G123" s="1">
        <v>46072</v>
      </c>
      <c r="H123" s="2">
        <v>12</v>
      </c>
      <c r="I123" s="2">
        <v>78000</v>
      </c>
      <c r="J123" s="2" t="s">
        <v>1023</v>
      </c>
      <c r="K123" s="2" t="s">
        <v>1106</v>
      </c>
      <c r="L123" t="s">
        <v>1037</v>
      </c>
      <c r="M123" s="2" t="s">
        <v>1024</v>
      </c>
      <c r="N123">
        <v>3.8</v>
      </c>
    </row>
    <row r="124" spans="1:14" x14ac:dyDescent="0.3">
      <c r="A124" t="s">
        <v>34</v>
      </c>
      <c r="B124" s="2">
        <v>50</v>
      </c>
      <c r="C124" s="2" t="s">
        <v>1020</v>
      </c>
      <c r="D124" s="2" t="s">
        <v>1041</v>
      </c>
      <c r="E124" s="2" t="s">
        <v>1051</v>
      </c>
      <c r="F124" s="3">
        <v>45702</v>
      </c>
      <c r="G124" s="3">
        <v>45708</v>
      </c>
      <c r="H124" s="2">
        <v>6</v>
      </c>
      <c r="I124" s="2">
        <v>55000</v>
      </c>
      <c r="J124" s="2" t="s">
        <v>1023</v>
      </c>
      <c r="K124" s="2" t="s">
        <v>1128</v>
      </c>
      <c r="L124" s="2" t="s">
        <v>1037</v>
      </c>
      <c r="M124" s="2" t="s">
        <v>1024</v>
      </c>
      <c r="N124" s="2">
        <v>2.2000000000000002</v>
      </c>
    </row>
    <row r="125" spans="1:14" x14ac:dyDescent="0.3">
      <c r="A125" t="s">
        <v>41</v>
      </c>
      <c r="B125" s="2">
        <v>65</v>
      </c>
      <c r="C125" s="2" t="s">
        <v>1014</v>
      </c>
      <c r="D125" s="2" t="s">
        <v>1029</v>
      </c>
      <c r="E125" s="2" t="s">
        <v>1030</v>
      </c>
      <c r="F125" s="3">
        <v>45721</v>
      </c>
      <c r="G125" s="3">
        <v>45726</v>
      </c>
      <c r="H125" s="2">
        <v>5</v>
      </c>
      <c r="I125" s="2">
        <v>84000</v>
      </c>
      <c r="J125" s="2" t="s">
        <v>1027</v>
      </c>
      <c r="K125" s="2" t="s">
        <v>1033</v>
      </c>
      <c r="L125" s="2" t="s">
        <v>1018</v>
      </c>
      <c r="M125" s="2" t="s">
        <v>1024</v>
      </c>
      <c r="N125" s="2">
        <v>4</v>
      </c>
    </row>
    <row r="126" spans="1:14" x14ac:dyDescent="0.3">
      <c r="A126" t="s">
        <v>42</v>
      </c>
      <c r="B126" s="2">
        <v>33</v>
      </c>
      <c r="C126" s="2" t="s">
        <v>1020</v>
      </c>
      <c r="D126" s="2" t="s">
        <v>1031</v>
      </c>
      <c r="E126" s="2" t="s">
        <v>1056</v>
      </c>
      <c r="F126" s="3">
        <v>45725</v>
      </c>
      <c r="G126" s="3">
        <v>45728</v>
      </c>
      <c r="H126" s="2">
        <v>3</v>
      </c>
      <c r="I126" s="2">
        <v>90000</v>
      </c>
      <c r="J126" s="2" t="s">
        <v>1023</v>
      </c>
      <c r="K126" s="2" t="s">
        <v>1161</v>
      </c>
      <c r="L126" s="2" t="s">
        <v>1037</v>
      </c>
      <c r="M126" s="2" t="s">
        <v>1024</v>
      </c>
      <c r="N126" s="2">
        <v>4</v>
      </c>
    </row>
    <row r="127" spans="1:14" x14ac:dyDescent="0.3">
      <c r="A127" t="s">
        <v>52</v>
      </c>
      <c r="B127" s="2">
        <v>25</v>
      </c>
      <c r="C127" s="2" t="s">
        <v>1014</v>
      </c>
      <c r="D127" s="2" t="s">
        <v>1041</v>
      </c>
      <c r="E127" s="2" t="s">
        <v>1066</v>
      </c>
      <c r="F127" s="3">
        <v>45740</v>
      </c>
      <c r="G127" s="3">
        <v>45743</v>
      </c>
      <c r="H127" s="2">
        <v>3</v>
      </c>
      <c r="I127" s="2">
        <v>29000</v>
      </c>
      <c r="J127" s="2" t="s">
        <v>1027</v>
      </c>
      <c r="K127" s="2" t="s">
        <v>1128</v>
      </c>
      <c r="L127" s="2" t="s">
        <v>1018</v>
      </c>
      <c r="M127" s="2" t="s">
        <v>1024</v>
      </c>
      <c r="N127" s="2">
        <v>3</v>
      </c>
    </row>
    <row r="128" spans="1:14" x14ac:dyDescent="0.3">
      <c r="A128" t="s">
        <v>53</v>
      </c>
      <c r="B128" s="2">
        <v>66</v>
      </c>
      <c r="C128" s="2" t="s">
        <v>1014</v>
      </c>
      <c r="D128" s="2" t="s">
        <v>1031</v>
      </c>
      <c r="E128" s="2" t="s">
        <v>1067</v>
      </c>
      <c r="F128" s="3">
        <v>45742</v>
      </c>
      <c r="G128" s="3">
        <v>45746</v>
      </c>
      <c r="H128" s="2">
        <v>4</v>
      </c>
      <c r="I128" s="2">
        <v>35000</v>
      </c>
      <c r="J128" s="2" t="s">
        <v>1017</v>
      </c>
      <c r="K128" s="2" t="s">
        <v>1161</v>
      </c>
      <c r="L128" s="2" t="s">
        <v>1018</v>
      </c>
      <c r="M128" s="2" t="s">
        <v>1024</v>
      </c>
      <c r="N128" s="2">
        <v>5</v>
      </c>
    </row>
    <row r="129" spans="1:14" x14ac:dyDescent="0.3">
      <c r="A129" t="s">
        <v>56</v>
      </c>
      <c r="B129" s="2">
        <v>44</v>
      </c>
      <c r="C129" s="2" t="s">
        <v>1020</v>
      </c>
      <c r="D129" s="2" t="s">
        <v>1015</v>
      </c>
      <c r="E129" s="2" t="s">
        <v>1070</v>
      </c>
      <c r="F129" s="3">
        <v>45747</v>
      </c>
      <c r="G129" s="3">
        <v>45751</v>
      </c>
      <c r="H129" s="2">
        <v>4</v>
      </c>
      <c r="I129" s="2">
        <v>99000</v>
      </c>
      <c r="J129" s="2" t="s">
        <v>1027</v>
      </c>
      <c r="K129" s="2" t="s">
        <v>1052</v>
      </c>
      <c r="L129" s="2" t="s">
        <v>1018</v>
      </c>
      <c r="M129" s="2" t="s">
        <v>1024</v>
      </c>
      <c r="N129" s="2">
        <v>4</v>
      </c>
    </row>
    <row r="130" spans="1:14" x14ac:dyDescent="0.3">
      <c r="A130" t="s">
        <v>59</v>
      </c>
      <c r="B130" s="2">
        <v>12</v>
      </c>
      <c r="C130" s="2" t="s">
        <v>1014</v>
      </c>
      <c r="D130" s="2" t="s">
        <v>1021</v>
      </c>
      <c r="E130" s="2" t="s">
        <v>1069</v>
      </c>
      <c r="F130" s="3">
        <v>45750</v>
      </c>
      <c r="G130" s="3">
        <v>45756</v>
      </c>
      <c r="H130" s="2">
        <v>6</v>
      </c>
      <c r="I130" s="2">
        <v>39000</v>
      </c>
      <c r="J130" s="2" t="s">
        <v>1017</v>
      </c>
      <c r="K130" s="2" t="s">
        <v>1147</v>
      </c>
      <c r="L130" s="2" t="s">
        <v>1037</v>
      </c>
      <c r="M130" s="2" t="s">
        <v>1024</v>
      </c>
      <c r="N130" s="2">
        <v>4</v>
      </c>
    </row>
    <row r="131" spans="1:14" x14ac:dyDescent="0.3">
      <c r="A131" t="s">
        <v>60</v>
      </c>
      <c r="B131" s="2">
        <v>24</v>
      </c>
      <c r="C131" s="2" t="s">
        <v>1020</v>
      </c>
      <c r="D131" s="2" t="s">
        <v>1048</v>
      </c>
      <c r="E131" s="2" t="s">
        <v>1073</v>
      </c>
      <c r="F131" s="3">
        <v>45751</v>
      </c>
      <c r="G131" s="3">
        <v>45756</v>
      </c>
      <c r="H131" s="2">
        <v>5</v>
      </c>
      <c r="I131" s="2">
        <v>42000</v>
      </c>
      <c r="J131" s="2" t="s">
        <v>1027</v>
      </c>
      <c r="K131" s="2" t="s">
        <v>1028</v>
      </c>
      <c r="L131" s="2" t="s">
        <v>1037</v>
      </c>
      <c r="M131" s="2" t="s">
        <v>1024</v>
      </c>
      <c r="N131" s="2">
        <v>4</v>
      </c>
    </row>
    <row r="132" spans="1:14" x14ac:dyDescent="0.3">
      <c r="A132" t="s">
        <v>64</v>
      </c>
      <c r="B132" s="2">
        <v>13</v>
      </c>
      <c r="C132" s="2" t="s">
        <v>1020</v>
      </c>
      <c r="D132" s="2" t="s">
        <v>1021</v>
      </c>
      <c r="E132" s="2" t="s">
        <v>1077</v>
      </c>
      <c r="F132" s="3">
        <v>45755</v>
      </c>
      <c r="G132" s="3">
        <v>45759</v>
      </c>
      <c r="H132" s="2">
        <v>4</v>
      </c>
      <c r="I132" s="2">
        <v>23000</v>
      </c>
      <c r="J132" s="2" t="s">
        <v>1027</v>
      </c>
      <c r="K132" s="2" t="s">
        <v>1147</v>
      </c>
      <c r="L132" s="2" t="s">
        <v>1037</v>
      </c>
      <c r="M132" s="2" t="s">
        <v>1024</v>
      </c>
      <c r="N132" s="2">
        <v>5</v>
      </c>
    </row>
    <row r="133" spans="1:14" x14ac:dyDescent="0.3">
      <c r="A133" t="s">
        <v>65</v>
      </c>
      <c r="B133" s="2">
        <v>24</v>
      </c>
      <c r="C133" s="2" t="s">
        <v>1014</v>
      </c>
      <c r="D133" s="2" t="s">
        <v>1035</v>
      </c>
      <c r="E133" s="2" t="s">
        <v>1078</v>
      </c>
      <c r="F133" s="3">
        <v>45756</v>
      </c>
      <c r="G133" s="3">
        <v>45763</v>
      </c>
      <c r="H133" s="2">
        <v>7</v>
      </c>
      <c r="I133" s="2">
        <v>190000</v>
      </c>
      <c r="J133" s="2" t="s">
        <v>1023</v>
      </c>
      <c r="K133" s="2" t="s">
        <v>1106</v>
      </c>
      <c r="L133" s="2" t="s">
        <v>1018</v>
      </c>
      <c r="M133" s="2" t="s">
        <v>1024</v>
      </c>
      <c r="N133" s="2">
        <v>4</v>
      </c>
    </row>
    <row r="134" spans="1:14" x14ac:dyDescent="0.3">
      <c r="A134" t="s">
        <v>66</v>
      </c>
      <c r="B134" s="2">
        <v>23</v>
      </c>
      <c r="C134" s="2" t="s">
        <v>1020</v>
      </c>
      <c r="D134" s="2" t="s">
        <v>1029</v>
      </c>
      <c r="E134" s="2" t="s">
        <v>1079</v>
      </c>
      <c r="F134" s="3">
        <v>45757</v>
      </c>
      <c r="G134" s="3">
        <v>45767</v>
      </c>
      <c r="H134" s="2">
        <v>10</v>
      </c>
      <c r="I134" s="2">
        <v>23790</v>
      </c>
      <c r="J134" s="2" t="s">
        <v>1027</v>
      </c>
      <c r="K134" s="2" t="s">
        <v>1033</v>
      </c>
      <c r="L134" s="2" t="s">
        <v>1037</v>
      </c>
      <c r="M134" s="2" t="s">
        <v>1024</v>
      </c>
      <c r="N134" s="2">
        <v>3</v>
      </c>
    </row>
    <row r="135" spans="1:14" x14ac:dyDescent="0.3">
      <c r="A135" t="s">
        <v>80</v>
      </c>
      <c r="B135" s="2">
        <v>30</v>
      </c>
      <c r="C135" s="2" t="s">
        <v>1020</v>
      </c>
      <c r="D135" s="2" t="s">
        <v>1035</v>
      </c>
      <c r="E135" s="2" t="s">
        <v>1085</v>
      </c>
      <c r="F135" s="3">
        <v>45771</v>
      </c>
      <c r="G135" s="3">
        <v>45778</v>
      </c>
      <c r="H135" s="2">
        <v>7</v>
      </c>
      <c r="I135" s="2">
        <v>150000</v>
      </c>
      <c r="J135" s="2" t="s">
        <v>1027</v>
      </c>
      <c r="K135" s="2" t="s">
        <v>1106</v>
      </c>
      <c r="L135" s="2" t="s">
        <v>1018</v>
      </c>
      <c r="M135" s="2" t="s">
        <v>1024</v>
      </c>
      <c r="N135" s="2">
        <v>4.5</v>
      </c>
    </row>
    <row r="136" spans="1:14" x14ac:dyDescent="0.3">
      <c r="A136" t="s">
        <v>83</v>
      </c>
      <c r="B136" s="2">
        <v>19</v>
      </c>
      <c r="C136" s="2" t="s">
        <v>1020</v>
      </c>
      <c r="D136" s="2" t="s">
        <v>1048</v>
      </c>
      <c r="E136" s="2" t="s">
        <v>1087</v>
      </c>
      <c r="F136" s="3">
        <v>45774</v>
      </c>
      <c r="G136" s="3">
        <v>45780</v>
      </c>
      <c r="H136" s="2">
        <v>6</v>
      </c>
      <c r="I136" s="2">
        <v>13400</v>
      </c>
      <c r="J136" s="2" t="s">
        <v>1027</v>
      </c>
      <c r="K136" s="2" t="s">
        <v>1028</v>
      </c>
      <c r="L136" s="2" t="s">
        <v>1018</v>
      </c>
      <c r="M136" s="2" t="s">
        <v>1024</v>
      </c>
      <c r="N136" s="2">
        <v>4.8</v>
      </c>
    </row>
    <row r="137" spans="1:14" x14ac:dyDescent="0.3">
      <c r="A137" t="s">
        <v>84</v>
      </c>
      <c r="B137" s="2">
        <v>21</v>
      </c>
      <c r="C137" s="2" t="s">
        <v>1014</v>
      </c>
      <c r="D137" s="2" t="s">
        <v>1015</v>
      </c>
      <c r="E137" s="2" t="s">
        <v>1088</v>
      </c>
      <c r="F137" s="3">
        <v>45775</v>
      </c>
      <c r="G137" s="3">
        <v>45781</v>
      </c>
      <c r="H137" s="2">
        <v>6</v>
      </c>
      <c r="I137" s="2">
        <v>145000</v>
      </c>
      <c r="J137" s="2" t="s">
        <v>1017</v>
      </c>
      <c r="K137" s="2" t="s">
        <v>1052</v>
      </c>
      <c r="L137" s="2" t="s">
        <v>1037</v>
      </c>
      <c r="M137" s="2" t="s">
        <v>1024</v>
      </c>
      <c r="N137" s="2">
        <v>5</v>
      </c>
    </row>
    <row r="138" spans="1:14" x14ac:dyDescent="0.3">
      <c r="A138" t="s">
        <v>87</v>
      </c>
      <c r="B138" s="2">
        <v>28</v>
      </c>
      <c r="C138" s="2" t="s">
        <v>1014</v>
      </c>
      <c r="D138" s="2" t="s">
        <v>1029</v>
      </c>
      <c r="E138" s="2" t="s">
        <v>1090</v>
      </c>
      <c r="F138" s="3">
        <v>45778</v>
      </c>
      <c r="G138" s="3">
        <v>45787</v>
      </c>
      <c r="H138" s="2">
        <v>9</v>
      </c>
      <c r="I138" s="2">
        <v>134000</v>
      </c>
      <c r="J138" s="2" t="s">
        <v>1023</v>
      </c>
      <c r="K138" s="2" t="s">
        <v>1033</v>
      </c>
      <c r="L138" s="2" t="s">
        <v>1037</v>
      </c>
      <c r="M138" s="2" t="s">
        <v>1024</v>
      </c>
      <c r="N138" s="2">
        <v>4.5</v>
      </c>
    </row>
    <row r="139" spans="1:14" x14ac:dyDescent="0.3">
      <c r="A139" t="s">
        <v>89</v>
      </c>
      <c r="B139" s="2">
        <v>20</v>
      </c>
      <c r="C139" s="2" t="s">
        <v>1020</v>
      </c>
      <c r="D139" s="2" t="s">
        <v>1048</v>
      </c>
      <c r="E139" s="2" t="s">
        <v>1063</v>
      </c>
      <c r="F139" s="3">
        <v>45780</v>
      </c>
      <c r="G139" s="3">
        <v>45782</v>
      </c>
      <c r="H139" s="2">
        <v>2</v>
      </c>
      <c r="I139" s="2">
        <v>13400</v>
      </c>
      <c r="J139" s="2" t="s">
        <v>1027</v>
      </c>
      <c r="K139" s="2" t="s">
        <v>1028</v>
      </c>
      <c r="L139" s="2" t="s">
        <v>1037</v>
      </c>
      <c r="M139" s="2" t="s">
        <v>1024</v>
      </c>
      <c r="N139" s="2">
        <v>4</v>
      </c>
    </row>
    <row r="140" spans="1:14" x14ac:dyDescent="0.3">
      <c r="A140" t="s">
        <v>91</v>
      </c>
      <c r="B140" s="2">
        <v>24</v>
      </c>
      <c r="C140" s="2" t="s">
        <v>1014</v>
      </c>
      <c r="D140" s="2" t="s">
        <v>1021</v>
      </c>
      <c r="E140" s="2" t="s">
        <v>1016</v>
      </c>
      <c r="F140" s="3">
        <v>45782</v>
      </c>
      <c r="G140" s="3">
        <v>45785</v>
      </c>
      <c r="H140" s="2">
        <v>3</v>
      </c>
      <c r="I140" s="2">
        <v>12000</v>
      </c>
      <c r="J140" s="2" t="s">
        <v>1027</v>
      </c>
      <c r="K140" s="2" t="s">
        <v>1147</v>
      </c>
      <c r="L140" s="2" t="s">
        <v>1037</v>
      </c>
      <c r="M140" s="2" t="s">
        <v>1024</v>
      </c>
      <c r="N140" s="2">
        <v>4</v>
      </c>
    </row>
    <row r="141" spans="1:14" x14ac:dyDescent="0.3">
      <c r="A141" t="s">
        <v>93</v>
      </c>
      <c r="B141" s="2">
        <v>21</v>
      </c>
      <c r="C141" s="2" t="s">
        <v>1020</v>
      </c>
      <c r="D141" s="2" t="s">
        <v>1039</v>
      </c>
      <c r="E141" s="2" t="s">
        <v>1082</v>
      </c>
      <c r="F141" s="3">
        <v>45784</v>
      </c>
      <c r="G141" s="3">
        <v>45795</v>
      </c>
      <c r="H141" s="2">
        <v>11</v>
      </c>
      <c r="I141" s="2">
        <v>29000</v>
      </c>
      <c r="J141" s="2" t="s">
        <v>1027</v>
      </c>
      <c r="K141" s="2" t="s">
        <v>1059</v>
      </c>
      <c r="L141" s="2" t="s">
        <v>1018</v>
      </c>
      <c r="M141" s="2" t="s">
        <v>1024</v>
      </c>
      <c r="N141" s="2">
        <v>4.3</v>
      </c>
    </row>
    <row r="142" spans="1:14" x14ac:dyDescent="0.3">
      <c r="A142" t="s">
        <v>94</v>
      </c>
      <c r="B142" s="2">
        <v>24</v>
      </c>
      <c r="C142" s="2" t="s">
        <v>1020</v>
      </c>
      <c r="D142" s="2" t="s">
        <v>1021</v>
      </c>
      <c r="E142" s="2" t="s">
        <v>1060</v>
      </c>
      <c r="F142" s="3">
        <v>45785</v>
      </c>
      <c r="G142" s="3">
        <v>45796</v>
      </c>
      <c r="H142" s="2">
        <v>11</v>
      </c>
      <c r="I142" s="2">
        <v>34000</v>
      </c>
      <c r="J142" s="2" t="s">
        <v>1017</v>
      </c>
      <c r="K142" s="2" t="s">
        <v>1147</v>
      </c>
      <c r="L142" s="2" t="s">
        <v>1037</v>
      </c>
      <c r="M142" s="2" t="s">
        <v>1024</v>
      </c>
      <c r="N142" s="2">
        <v>4.4000000000000004</v>
      </c>
    </row>
    <row r="143" spans="1:14" x14ac:dyDescent="0.3">
      <c r="A143" t="s">
        <v>100</v>
      </c>
      <c r="B143" s="2">
        <v>14</v>
      </c>
      <c r="C143" s="2" t="s">
        <v>1020</v>
      </c>
      <c r="D143" s="2" t="s">
        <v>1048</v>
      </c>
      <c r="E143" s="2" t="s">
        <v>1095</v>
      </c>
      <c r="F143" s="3">
        <v>45791</v>
      </c>
      <c r="G143" s="3">
        <v>45797</v>
      </c>
      <c r="H143" s="2">
        <v>6</v>
      </c>
      <c r="I143" s="2">
        <v>78000</v>
      </c>
      <c r="J143" s="2" t="s">
        <v>1027</v>
      </c>
      <c r="K143" s="2" t="s">
        <v>1028</v>
      </c>
      <c r="L143" s="2" t="s">
        <v>1037</v>
      </c>
      <c r="M143" s="2" t="s">
        <v>1024</v>
      </c>
      <c r="N143" s="2">
        <v>4</v>
      </c>
    </row>
    <row r="144" spans="1:14" x14ac:dyDescent="0.3">
      <c r="A144" t="s">
        <v>102</v>
      </c>
      <c r="B144" s="2">
        <v>23</v>
      </c>
      <c r="C144" s="2" t="s">
        <v>1014</v>
      </c>
      <c r="D144" s="2" t="s">
        <v>1021</v>
      </c>
      <c r="E144" s="2" t="s">
        <v>1097</v>
      </c>
      <c r="F144" s="3">
        <v>45793</v>
      </c>
      <c r="G144" s="3">
        <v>45807</v>
      </c>
      <c r="H144" s="2">
        <v>16</v>
      </c>
      <c r="I144" s="2">
        <v>230000</v>
      </c>
      <c r="J144" s="2" t="s">
        <v>1017</v>
      </c>
      <c r="K144" s="2" t="s">
        <v>1147</v>
      </c>
      <c r="L144" s="2" t="s">
        <v>1037</v>
      </c>
      <c r="M144" s="2" t="s">
        <v>1024</v>
      </c>
      <c r="N144" s="2">
        <v>3</v>
      </c>
    </row>
    <row r="145" spans="1:14" x14ac:dyDescent="0.3">
      <c r="A145" t="s">
        <v>105</v>
      </c>
      <c r="B145" s="2">
        <v>24</v>
      </c>
      <c r="C145" s="2" t="s">
        <v>1020</v>
      </c>
      <c r="D145" s="2" t="s">
        <v>1025</v>
      </c>
      <c r="E145" s="2" t="s">
        <v>1055</v>
      </c>
      <c r="F145" s="3">
        <v>45796</v>
      </c>
      <c r="G145" s="3">
        <v>45805</v>
      </c>
      <c r="H145" s="2">
        <v>9</v>
      </c>
      <c r="I145" s="2">
        <v>123000</v>
      </c>
      <c r="J145" s="2" t="s">
        <v>1027</v>
      </c>
      <c r="K145" s="2" t="s">
        <v>1046</v>
      </c>
      <c r="L145" s="2" t="s">
        <v>1037</v>
      </c>
      <c r="M145" s="2" t="s">
        <v>1024</v>
      </c>
      <c r="N145" s="2">
        <v>3</v>
      </c>
    </row>
    <row r="146" spans="1:14" x14ac:dyDescent="0.3">
      <c r="A146" t="s">
        <v>107</v>
      </c>
      <c r="B146" s="2">
        <v>15</v>
      </c>
      <c r="C146" s="2" t="s">
        <v>1020</v>
      </c>
      <c r="D146" s="2" t="s">
        <v>1035</v>
      </c>
      <c r="E146" s="2" t="s">
        <v>1047</v>
      </c>
      <c r="F146" s="3">
        <v>45798</v>
      </c>
      <c r="G146" s="3">
        <v>45805</v>
      </c>
      <c r="H146" s="2">
        <v>7</v>
      </c>
      <c r="I146" s="2">
        <v>12000</v>
      </c>
      <c r="J146" s="2" t="s">
        <v>1023</v>
      </c>
      <c r="K146" s="2" t="s">
        <v>1106</v>
      </c>
      <c r="L146" s="2" t="s">
        <v>1018</v>
      </c>
      <c r="M146" s="2" t="s">
        <v>1024</v>
      </c>
      <c r="N146" s="2">
        <v>4</v>
      </c>
    </row>
    <row r="147" spans="1:14" x14ac:dyDescent="0.3">
      <c r="A147" t="s">
        <v>113</v>
      </c>
      <c r="B147" s="2">
        <v>55</v>
      </c>
      <c r="C147" s="2" t="s">
        <v>1014</v>
      </c>
      <c r="D147" s="2" t="s">
        <v>1021</v>
      </c>
      <c r="E147" s="2" t="s">
        <v>1080</v>
      </c>
      <c r="F147" s="3">
        <v>45804</v>
      </c>
      <c r="G147" s="3">
        <v>45811</v>
      </c>
      <c r="H147" s="2">
        <v>7</v>
      </c>
      <c r="I147" s="2">
        <v>99000</v>
      </c>
      <c r="J147" s="2" t="s">
        <v>1023</v>
      </c>
      <c r="K147" s="2" t="s">
        <v>1147</v>
      </c>
      <c r="L147" s="2" t="s">
        <v>1018</v>
      </c>
      <c r="M147" s="2" t="s">
        <v>1024</v>
      </c>
      <c r="N147" s="2">
        <v>2</v>
      </c>
    </row>
    <row r="148" spans="1:14" x14ac:dyDescent="0.3">
      <c r="A148" t="s">
        <v>115</v>
      </c>
      <c r="B148" s="2">
        <v>24</v>
      </c>
      <c r="C148" s="2" t="s">
        <v>1020</v>
      </c>
      <c r="D148" s="2" t="s">
        <v>1021</v>
      </c>
      <c r="E148" s="2" t="s">
        <v>1016</v>
      </c>
      <c r="F148" s="3">
        <v>45806</v>
      </c>
      <c r="G148" s="3">
        <v>45809</v>
      </c>
      <c r="H148" s="2">
        <v>3</v>
      </c>
      <c r="I148" s="2">
        <v>150000</v>
      </c>
      <c r="J148" s="2" t="s">
        <v>1023</v>
      </c>
      <c r="K148" s="2" t="s">
        <v>1147</v>
      </c>
      <c r="L148" s="2" t="s">
        <v>1037</v>
      </c>
      <c r="M148" s="2" t="s">
        <v>1024</v>
      </c>
      <c r="N148" s="2">
        <v>3</v>
      </c>
    </row>
    <row r="149" spans="1:14" x14ac:dyDescent="0.3">
      <c r="A149" t="s">
        <v>117</v>
      </c>
      <c r="B149">
        <v>24</v>
      </c>
      <c r="C149" s="2" t="s">
        <v>1014</v>
      </c>
      <c r="D149" s="2" t="s">
        <v>1025</v>
      </c>
      <c r="E149" s="2" t="s">
        <v>1026</v>
      </c>
      <c r="F149" s="1">
        <v>45808</v>
      </c>
      <c r="G149" s="1">
        <v>46178</v>
      </c>
      <c r="H149" s="2">
        <v>5</v>
      </c>
      <c r="I149" s="2">
        <v>100000</v>
      </c>
      <c r="J149" s="2" t="s">
        <v>1017</v>
      </c>
      <c r="K149" s="2" t="s">
        <v>1046</v>
      </c>
      <c r="L149" t="s">
        <v>1037</v>
      </c>
      <c r="M149" s="2" t="s">
        <v>1024</v>
      </c>
      <c r="N149" s="2">
        <v>5</v>
      </c>
    </row>
    <row r="150" spans="1:14" x14ac:dyDescent="0.3">
      <c r="A150" t="s">
        <v>119</v>
      </c>
      <c r="B150">
        <v>10</v>
      </c>
      <c r="C150" s="2" t="s">
        <v>1020</v>
      </c>
      <c r="D150" s="2" t="s">
        <v>1021</v>
      </c>
      <c r="E150" s="2" t="s">
        <v>1069</v>
      </c>
      <c r="F150" s="1">
        <v>45810</v>
      </c>
      <c r="G150" s="1">
        <v>45817</v>
      </c>
      <c r="H150" s="2">
        <v>8</v>
      </c>
      <c r="I150" s="2">
        <v>130000</v>
      </c>
      <c r="J150" s="2" t="s">
        <v>1027</v>
      </c>
      <c r="K150" s="2" t="s">
        <v>1147</v>
      </c>
      <c r="L150" t="s">
        <v>1037</v>
      </c>
      <c r="M150" s="2" t="s">
        <v>1024</v>
      </c>
      <c r="N150" s="2">
        <v>4</v>
      </c>
    </row>
    <row r="151" spans="1:14" x14ac:dyDescent="0.3">
      <c r="A151" t="s">
        <v>121</v>
      </c>
      <c r="B151">
        <v>33</v>
      </c>
      <c r="C151" s="2" t="s">
        <v>1020</v>
      </c>
      <c r="D151" s="2" t="s">
        <v>1041</v>
      </c>
      <c r="E151" s="2" t="s">
        <v>1108</v>
      </c>
      <c r="F151" s="1">
        <v>45812</v>
      </c>
      <c r="G151" s="1">
        <v>45813</v>
      </c>
      <c r="H151" s="2">
        <v>1</v>
      </c>
      <c r="I151" s="2">
        <v>12000</v>
      </c>
      <c r="J151" s="2" t="s">
        <v>1023</v>
      </c>
      <c r="K151" s="2" t="s">
        <v>1128</v>
      </c>
      <c r="L151" t="s">
        <v>1037</v>
      </c>
      <c r="M151" s="2" t="s">
        <v>1024</v>
      </c>
      <c r="N151" s="2">
        <v>4</v>
      </c>
    </row>
    <row r="152" spans="1:14" x14ac:dyDescent="0.3">
      <c r="A152" t="s">
        <v>123</v>
      </c>
      <c r="B152">
        <v>24</v>
      </c>
      <c r="C152" s="2" t="s">
        <v>1014</v>
      </c>
      <c r="D152" s="2" t="s">
        <v>1015</v>
      </c>
      <c r="E152" s="2" t="s">
        <v>1088</v>
      </c>
      <c r="F152" s="1">
        <v>45814</v>
      </c>
      <c r="G152" s="1">
        <v>45816</v>
      </c>
      <c r="H152" s="2">
        <v>2</v>
      </c>
      <c r="I152" s="2">
        <v>78000</v>
      </c>
      <c r="J152" s="2" t="s">
        <v>1017</v>
      </c>
      <c r="K152" s="2" t="s">
        <v>1052</v>
      </c>
      <c r="L152" t="s">
        <v>1018</v>
      </c>
      <c r="M152" s="2" t="s">
        <v>1024</v>
      </c>
      <c r="N152" s="2">
        <v>4</v>
      </c>
    </row>
    <row r="153" spans="1:14" x14ac:dyDescent="0.3">
      <c r="A153" t="s">
        <v>126</v>
      </c>
      <c r="B153">
        <v>65</v>
      </c>
      <c r="C153" s="2" t="s">
        <v>1020</v>
      </c>
      <c r="D153" s="2" t="s">
        <v>1021</v>
      </c>
      <c r="E153" s="2" t="s">
        <v>1065</v>
      </c>
      <c r="F153" s="1">
        <v>45817</v>
      </c>
      <c r="G153" s="1">
        <v>45828</v>
      </c>
      <c r="H153" s="2">
        <v>11</v>
      </c>
      <c r="I153" s="2">
        <v>250000</v>
      </c>
      <c r="J153" s="2" t="s">
        <v>1023</v>
      </c>
      <c r="K153" s="2" t="s">
        <v>1147</v>
      </c>
      <c r="L153" t="s">
        <v>1037</v>
      </c>
      <c r="M153" s="2" t="s">
        <v>1024</v>
      </c>
      <c r="N153" s="2">
        <v>3</v>
      </c>
    </row>
    <row r="154" spans="1:14" x14ac:dyDescent="0.3">
      <c r="A154" t="s">
        <v>130</v>
      </c>
      <c r="B154">
        <v>67</v>
      </c>
      <c r="C154" s="2" t="s">
        <v>1014</v>
      </c>
      <c r="D154" s="2" t="s">
        <v>1029</v>
      </c>
      <c r="E154" s="2" t="s">
        <v>1111</v>
      </c>
      <c r="F154" s="1">
        <v>45821</v>
      </c>
      <c r="G154" s="1">
        <v>45828</v>
      </c>
      <c r="H154" s="2">
        <v>7</v>
      </c>
      <c r="I154" s="2">
        <v>120000</v>
      </c>
      <c r="J154" s="2" t="s">
        <v>1023</v>
      </c>
      <c r="K154" s="2" t="s">
        <v>1033</v>
      </c>
      <c r="L154" t="s">
        <v>1037</v>
      </c>
      <c r="M154" s="2" t="s">
        <v>1024</v>
      </c>
      <c r="N154" s="2">
        <v>4</v>
      </c>
    </row>
    <row r="155" spans="1:14" x14ac:dyDescent="0.3">
      <c r="A155" t="s">
        <v>141</v>
      </c>
      <c r="B155">
        <v>24</v>
      </c>
      <c r="C155" s="2" t="s">
        <v>1020</v>
      </c>
      <c r="D155" s="2" t="s">
        <v>1025</v>
      </c>
      <c r="E155" s="2" t="s">
        <v>1026</v>
      </c>
      <c r="F155" s="1">
        <v>45832</v>
      </c>
      <c r="G155" s="1">
        <v>45838</v>
      </c>
      <c r="H155" s="2">
        <v>6</v>
      </c>
      <c r="I155" s="2">
        <v>31000</v>
      </c>
      <c r="J155" s="2" t="s">
        <v>1017</v>
      </c>
      <c r="K155" s="2" t="s">
        <v>1046</v>
      </c>
      <c r="L155" t="s">
        <v>1037</v>
      </c>
      <c r="M155" s="2" t="s">
        <v>1024</v>
      </c>
      <c r="N155" s="2">
        <v>5</v>
      </c>
    </row>
    <row r="156" spans="1:14" x14ac:dyDescent="0.3">
      <c r="A156" t="s">
        <v>144</v>
      </c>
      <c r="B156">
        <v>4</v>
      </c>
      <c r="C156" s="2" t="s">
        <v>1020</v>
      </c>
      <c r="D156" s="2" t="s">
        <v>1015</v>
      </c>
      <c r="E156" s="2" t="s">
        <v>1117</v>
      </c>
      <c r="F156" s="1">
        <v>45835</v>
      </c>
      <c r="G156" s="1">
        <v>45838</v>
      </c>
      <c r="H156" s="2">
        <v>2</v>
      </c>
      <c r="I156" s="2">
        <v>28000</v>
      </c>
      <c r="J156" s="2" t="s">
        <v>1027</v>
      </c>
      <c r="K156" s="2" t="s">
        <v>1052</v>
      </c>
      <c r="L156" t="s">
        <v>1018</v>
      </c>
      <c r="M156" s="2" t="s">
        <v>1024</v>
      </c>
      <c r="N156" s="2">
        <v>4</v>
      </c>
    </row>
    <row r="157" spans="1:14" x14ac:dyDescent="0.3">
      <c r="A157" t="s">
        <v>145</v>
      </c>
      <c r="B157">
        <v>45</v>
      </c>
      <c r="C157" s="2" t="s">
        <v>1020</v>
      </c>
      <c r="D157" s="2" t="s">
        <v>1048</v>
      </c>
      <c r="E157" s="2" t="s">
        <v>1081</v>
      </c>
      <c r="F157" s="1">
        <v>45836</v>
      </c>
      <c r="G157" s="1">
        <v>45841</v>
      </c>
      <c r="H157" s="2">
        <v>5</v>
      </c>
      <c r="I157" s="2">
        <v>32000</v>
      </c>
      <c r="J157" s="2" t="s">
        <v>1023</v>
      </c>
      <c r="K157" s="2" t="s">
        <v>1028</v>
      </c>
      <c r="L157" t="s">
        <v>1037</v>
      </c>
      <c r="M157" s="2" t="s">
        <v>1024</v>
      </c>
      <c r="N157" s="2">
        <v>4</v>
      </c>
    </row>
    <row r="158" spans="1:14" x14ac:dyDescent="0.3">
      <c r="A158" t="s">
        <v>150</v>
      </c>
      <c r="B158">
        <v>24</v>
      </c>
      <c r="C158" s="2" t="s">
        <v>1020</v>
      </c>
      <c r="D158" s="2" t="s">
        <v>1035</v>
      </c>
      <c r="E158" s="2" t="s">
        <v>1120</v>
      </c>
      <c r="F158" s="1">
        <v>45841</v>
      </c>
      <c r="G158" s="1">
        <v>45849</v>
      </c>
      <c r="H158" s="2">
        <v>7</v>
      </c>
      <c r="I158" s="2">
        <v>99000</v>
      </c>
      <c r="J158" s="2" t="s">
        <v>1017</v>
      </c>
      <c r="K158" s="2" t="s">
        <v>1106</v>
      </c>
      <c r="L158" t="s">
        <v>1037</v>
      </c>
      <c r="M158" s="2" t="s">
        <v>1024</v>
      </c>
      <c r="N158" s="2">
        <v>3</v>
      </c>
    </row>
    <row r="159" spans="1:14" x14ac:dyDescent="0.3">
      <c r="A159" t="s">
        <v>153</v>
      </c>
      <c r="B159">
        <v>34</v>
      </c>
      <c r="C159" s="2" t="s">
        <v>1014</v>
      </c>
      <c r="D159" s="2" t="s">
        <v>1021</v>
      </c>
      <c r="E159" s="2" t="s">
        <v>1122</v>
      </c>
      <c r="F159" s="1">
        <v>45844</v>
      </c>
      <c r="G159" s="1">
        <v>45851</v>
      </c>
      <c r="H159" s="2">
        <v>7</v>
      </c>
      <c r="I159" s="2">
        <v>150000</v>
      </c>
      <c r="J159" s="2" t="s">
        <v>1023</v>
      </c>
      <c r="K159" s="2" t="s">
        <v>1147</v>
      </c>
      <c r="L159" t="s">
        <v>1018</v>
      </c>
      <c r="M159" s="2" t="s">
        <v>1024</v>
      </c>
      <c r="N159" s="2">
        <v>4</v>
      </c>
    </row>
    <row r="160" spans="1:14" x14ac:dyDescent="0.3">
      <c r="A160" t="s">
        <v>156</v>
      </c>
      <c r="B160">
        <v>59</v>
      </c>
      <c r="C160" s="2" t="s">
        <v>1014</v>
      </c>
      <c r="D160" s="2" t="s">
        <v>1015</v>
      </c>
      <c r="E160" s="2" t="s">
        <v>1070</v>
      </c>
      <c r="F160" s="1">
        <v>45847</v>
      </c>
      <c r="G160" s="1">
        <v>45858</v>
      </c>
      <c r="H160" s="2">
        <v>11</v>
      </c>
      <c r="I160" s="2">
        <v>145000</v>
      </c>
      <c r="J160" s="2" t="s">
        <v>1023</v>
      </c>
      <c r="K160" s="2" t="s">
        <v>1052</v>
      </c>
      <c r="L160" t="s">
        <v>1037</v>
      </c>
      <c r="M160" s="2" t="s">
        <v>1024</v>
      </c>
      <c r="N160" s="2">
        <v>3</v>
      </c>
    </row>
    <row r="161" spans="1:14" x14ac:dyDescent="0.3">
      <c r="A161" t="s">
        <v>164</v>
      </c>
      <c r="B161">
        <v>80</v>
      </c>
      <c r="C161" s="2" t="s">
        <v>1020</v>
      </c>
      <c r="D161" s="2" t="s">
        <v>1025</v>
      </c>
      <c r="E161" s="2" t="s">
        <v>1127</v>
      </c>
      <c r="F161" s="1">
        <v>45855</v>
      </c>
      <c r="G161" s="1">
        <v>45865</v>
      </c>
      <c r="H161" s="2">
        <v>10</v>
      </c>
      <c r="I161" s="2">
        <v>120000</v>
      </c>
      <c r="J161" s="2" t="s">
        <v>1027</v>
      </c>
      <c r="K161" s="2" t="s">
        <v>1046</v>
      </c>
      <c r="L161" t="s">
        <v>1037</v>
      </c>
      <c r="M161" s="2" t="s">
        <v>1024</v>
      </c>
      <c r="N161" s="2">
        <v>3</v>
      </c>
    </row>
    <row r="162" spans="1:14" x14ac:dyDescent="0.3">
      <c r="A162" t="s">
        <v>166</v>
      </c>
      <c r="B162">
        <v>24</v>
      </c>
      <c r="C162" s="2" t="s">
        <v>1014</v>
      </c>
      <c r="D162" s="2" t="s">
        <v>1039</v>
      </c>
      <c r="E162" s="2" t="s">
        <v>1082</v>
      </c>
      <c r="F162" s="1">
        <v>45857</v>
      </c>
      <c r="G162" s="1">
        <v>45863</v>
      </c>
      <c r="H162" s="2">
        <v>6</v>
      </c>
      <c r="I162" s="2">
        <v>42000</v>
      </c>
      <c r="J162" s="2" t="s">
        <v>1027</v>
      </c>
      <c r="K162" s="2" t="s">
        <v>1059</v>
      </c>
      <c r="L162" t="s">
        <v>1037</v>
      </c>
      <c r="M162" s="2" t="s">
        <v>1024</v>
      </c>
      <c r="N162" s="2">
        <v>5</v>
      </c>
    </row>
    <row r="163" spans="1:14" x14ac:dyDescent="0.3">
      <c r="A163" t="s">
        <v>168</v>
      </c>
      <c r="B163">
        <v>24</v>
      </c>
      <c r="C163" s="2" t="s">
        <v>1014</v>
      </c>
      <c r="D163" s="2" t="s">
        <v>1031</v>
      </c>
      <c r="E163" s="2" t="s">
        <v>1054</v>
      </c>
      <c r="F163" s="1">
        <v>45859</v>
      </c>
      <c r="G163" s="1">
        <v>45868</v>
      </c>
      <c r="H163" s="2">
        <v>9</v>
      </c>
      <c r="I163" s="2">
        <v>65000</v>
      </c>
      <c r="J163" s="2" t="s">
        <v>1027</v>
      </c>
      <c r="K163" s="2" t="s">
        <v>1161</v>
      </c>
      <c r="L163" t="s">
        <v>1018</v>
      </c>
      <c r="M163" s="2" t="s">
        <v>1024</v>
      </c>
      <c r="N163" s="2">
        <v>3</v>
      </c>
    </row>
    <row r="164" spans="1:14" x14ac:dyDescent="0.3">
      <c r="A164" t="s">
        <v>172</v>
      </c>
      <c r="B164">
        <v>65</v>
      </c>
      <c r="C164" s="2" t="s">
        <v>1020</v>
      </c>
      <c r="D164" s="2" t="s">
        <v>1015</v>
      </c>
      <c r="E164" s="2" t="s">
        <v>1070</v>
      </c>
      <c r="F164" s="1">
        <v>45863</v>
      </c>
      <c r="G164" s="1">
        <v>45869</v>
      </c>
      <c r="H164" s="2">
        <v>7</v>
      </c>
      <c r="I164" s="2">
        <v>46000</v>
      </c>
      <c r="J164" s="2" t="s">
        <v>1027</v>
      </c>
      <c r="K164" s="2" t="s">
        <v>1052</v>
      </c>
      <c r="L164" t="s">
        <v>1037</v>
      </c>
      <c r="M164" s="2" t="s">
        <v>1024</v>
      </c>
      <c r="N164" s="2">
        <v>3</v>
      </c>
    </row>
    <row r="165" spans="1:14" x14ac:dyDescent="0.3">
      <c r="A165" t="s">
        <v>176</v>
      </c>
      <c r="B165">
        <v>34</v>
      </c>
      <c r="C165" s="2" t="s">
        <v>1014</v>
      </c>
      <c r="D165" s="2" t="s">
        <v>1021</v>
      </c>
      <c r="E165" s="2" t="s">
        <v>1118</v>
      </c>
      <c r="F165" s="1">
        <v>45867</v>
      </c>
      <c r="G165" s="1">
        <v>45875</v>
      </c>
      <c r="H165" s="2">
        <v>9</v>
      </c>
      <c r="I165" s="2">
        <v>90000</v>
      </c>
      <c r="J165" s="2" t="s">
        <v>1027</v>
      </c>
      <c r="K165" s="2" t="s">
        <v>1147</v>
      </c>
      <c r="L165" t="s">
        <v>1018</v>
      </c>
      <c r="M165" s="2" t="s">
        <v>1024</v>
      </c>
      <c r="N165" s="2">
        <v>4</v>
      </c>
    </row>
    <row r="166" spans="1:14" x14ac:dyDescent="0.3">
      <c r="A166" t="s">
        <v>181</v>
      </c>
      <c r="B166">
        <v>23</v>
      </c>
      <c r="C166" s="2" t="s">
        <v>1014</v>
      </c>
      <c r="D166" s="2" t="s">
        <v>1025</v>
      </c>
      <c r="E166" s="2" t="s">
        <v>1129</v>
      </c>
      <c r="F166" s="1">
        <v>45872</v>
      </c>
      <c r="G166" s="1">
        <v>45879</v>
      </c>
      <c r="H166" s="2">
        <v>7</v>
      </c>
      <c r="I166" s="2">
        <v>130000</v>
      </c>
      <c r="J166" s="2" t="s">
        <v>1017</v>
      </c>
      <c r="K166" s="2" t="s">
        <v>1046</v>
      </c>
      <c r="L166" t="s">
        <v>1037</v>
      </c>
      <c r="M166" s="2" t="s">
        <v>1024</v>
      </c>
      <c r="N166" s="2">
        <v>4</v>
      </c>
    </row>
    <row r="167" spans="1:14" x14ac:dyDescent="0.3">
      <c r="A167" t="s">
        <v>185</v>
      </c>
      <c r="B167">
        <v>24</v>
      </c>
      <c r="C167" s="2" t="s">
        <v>1020</v>
      </c>
      <c r="D167" s="2" t="s">
        <v>1025</v>
      </c>
      <c r="E167" s="2" t="s">
        <v>1055</v>
      </c>
      <c r="F167" s="1">
        <v>45876</v>
      </c>
      <c r="G167" s="1">
        <v>45879</v>
      </c>
      <c r="H167" s="2">
        <v>3</v>
      </c>
      <c r="I167" s="2">
        <v>130000</v>
      </c>
      <c r="J167" s="2" t="s">
        <v>1017</v>
      </c>
      <c r="K167" s="2" t="s">
        <v>1046</v>
      </c>
      <c r="L167" t="s">
        <v>1018</v>
      </c>
      <c r="M167" s="2" t="s">
        <v>1024</v>
      </c>
      <c r="N167" s="2">
        <v>3</v>
      </c>
    </row>
    <row r="168" spans="1:14" x14ac:dyDescent="0.3">
      <c r="A168" t="s">
        <v>187</v>
      </c>
      <c r="B168">
        <v>56</v>
      </c>
      <c r="C168" s="2" t="s">
        <v>1014</v>
      </c>
      <c r="D168" s="2" t="s">
        <v>1031</v>
      </c>
      <c r="E168" s="2" t="s">
        <v>1053</v>
      </c>
      <c r="F168" s="1">
        <v>45878</v>
      </c>
      <c r="G168" s="1">
        <v>45889</v>
      </c>
      <c r="H168" s="2">
        <v>11</v>
      </c>
      <c r="I168" s="2">
        <v>145000</v>
      </c>
      <c r="J168" s="2" t="s">
        <v>1023</v>
      </c>
      <c r="K168" s="2" t="s">
        <v>1161</v>
      </c>
      <c r="L168" t="s">
        <v>1018</v>
      </c>
      <c r="M168" s="2" t="s">
        <v>1024</v>
      </c>
      <c r="N168" s="2">
        <v>4</v>
      </c>
    </row>
    <row r="169" spans="1:14" x14ac:dyDescent="0.3">
      <c r="A169" t="s">
        <v>195</v>
      </c>
      <c r="B169">
        <v>15</v>
      </c>
      <c r="C169" s="2" t="s">
        <v>1020</v>
      </c>
      <c r="D169" s="2" t="s">
        <v>1048</v>
      </c>
      <c r="E169" s="2" t="s">
        <v>1081</v>
      </c>
      <c r="F169" s="1">
        <v>45886</v>
      </c>
      <c r="G169" s="1">
        <v>45897</v>
      </c>
      <c r="H169" s="2">
        <v>11</v>
      </c>
      <c r="I169" s="2">
        <v>134000</v>
      </c>
      <c r="J169" s="2" t="s">
        <v>1023</v>
      </c>
      <c r="K169" s="2" t="s">
        <v>1028</v>
      </c>
      <c r="L169" t="s">
        <v>1037</v>
      </c>
      <c r="M169" s="2" t="s">
        <v>1024</v>
      </c>
      <c r="N169" s="2">
        <v>3</v>
      </c>
    </row>
    <row r="170" spans="1:14" x14ac:dyDescent="0.3">
      <c r="A170" t="s">
        <v>196</v>
      </c>
      <c r="B170">
        <v>18</v>
      </c>
      <c r="C170" s="2" t="s">
        <v>1020</v>
      </c>
      <c r="D170" s="2" t="s">
        <v>1035</v>
      </c>
      <c r="E170" s="2" t="s">
        <v>1096</v>
      </c>
      <c r="F170" s="1">
        <v>45887</v>
      </c>
      <c r="G170" s="1">
        <v>45894</v>
      </c>
      <c r="H170" s="2">
        <v>7</v>
      </c>
      <c r="I170" s="2">
        <v>140000</v>
      </c>
      <c r="J170" s="2" t="s">
        <v>1027</v>
      </c>
      <c r="K170" s="2" t="s">
        <v>1106</v>
      </c>
      <c r="L170" t="s">
        <v>1037</v>
      </c>
      <c r="M170" s="2" t="s">
        <v>1024</v>
      </c>
      <c r="N170" s="2">
        <v>4</v>
      </c>
    </row>
    <row r="171" spans="1:14" x14ac:dyDescent="0.3">
      <c r="A171" t="s">
        <v>219</v>
      </c>
      <c r="B171">
        <v>24</v>
      </c>
      <c r="C171" s="2" t="s">
        <v>1020</v>
      </c>
      <c r="D171" s="2" t="s">
        <v>1015</v>
      </c>
      <c r="E171" s="2" t="s">
        <v>1116</v>
      </c>
      <c r="F171" s="1">
        <v>45910</v>
      </c>
      <c r="G171" s="1">
        <v>45915</v>
      </c>
      <c r="H171" s="2">
        <v>5</v>
      </c>
      <c r="I171" s="2">
        <v>55000</v>
      </c>
      <c r="J171" s="2" t="s">
        <v>1023</v>
      </c>
      <c r="K171" s="2" t="s">
        <v>1052</v>
      </c>
      <c r="L171" t="s">
        <v>1018</v>
      </c>
      <c r="M171" s="2" t="s">
        <v>1024</v>
      </c>
      <c r="N171" s="2">
        <v>3</v>
      </c>
    </row>
    <row r="172" spans="1:14" x14ac:dyDescent="0.3">
      <c r="A172" t="s">
        <v>220</v>
      </c>
      <c r="B172">
        <v>23</v>
      </c>
      <c r="C172" s="2" t="s">
        <v>1014</v>
      </c>
      <c r="D172" s="2" t="s">
        <v>1021</v>
      </c>
      <c r="E172" s="2" t="s">
        <v>1069</v>
      </c>
      <c r="F172" s="1">
        <v>45911</v>
      </c>
      <c r="G172" s="1">
        <v>45920</v>
      </c>
      <c r="H172" s="2">
        <v>9</v>
      </c>
      <c r="I172" s="2">
        <v>64000</v>
      </c>
      <c r="J172" s="2" t="s">
        <v>1017</v>
      </c>
      <c r="K172" s="2" t="s">
        <v>1147</v>
      </c>
      <c r="L172" t="s">
        <v>1037</v>
      </c>
      <c r="M172" s="2" t="s">
        <v>1024</v>
      </c>
      <c r="N172" s="2">
        <v>4</v>
      </c>
    </row>
    <row r="173" spans="1:14" x14ac:dyDescent="0.3">
      <c r="A173" t="s">
        <v>222</v>
      </c>
      <c r="B173">
        <v>85</v>
      </c>
      <c r="C173" s="2" t="s">
        <v>1014</v>
      </c>
      <c r="D173" s="2" t="s">
        <v>1021</v>
      </c>
      <c r="E173" s="2" t="s">
        <v>1022</v>
      </c>
      <c r="F173" s="1">
        <v>45913</v>
      </c>
      <c r="G173" s="1">
        <v>45929</v>
      </c>
      <c r="H173" s="2">
        <v>13</v>
      </c>
      <c r="I173" s="2">
        <v>134000</v>
      </c>
      <c r="J173" s="2" t="s">
        <v>1023</v>
      </c>
      <c r="K173" s="2" t="s">
        <v>1147</v>
      </c>
      <c r="L173" t="s">
        <v>1037</v>
      </c>
      <c r="M173" s="2" t="s">
        <v>1024</v>
      </c>
      <c r="N173" s="2">
        <v>3</v>
      </c>
    </row>
    <row r="174" spans="1:14" x14ac:dyDescent="0.3">
      <c r="A174" t="s">
        <v>225</v>
      </c>
      <c r="B174">
        <v>24</v>
      </c>
      <c r="C174" s="2" t="s">
        <v>1020</v>
      </c>
      <c r="D174" s="2" t="s">
        <v>1015</v>
      </c>
      <c r="E174" s="2" t="s">
        <v>1016</v>
      </c>
      <c r="F174" s="1">
        <v>45916</v>
      </c>
      <c r="G174" s="1">
        <v>45924</v>
      </c>
      <c r="H174" s="2">
        <v>8</v>
      </c>
      <c r="I174" s="2">
        <v>120000</v>
      </c>
      <c r="J174" s="2" t="s">
        <v>1027</v>
      </c>
      <c r="K174" s="2" t="s">
        <v>1052</v>
      </c>
      <c r="L174" t="s">
        <v>1037</v>
      </c>
      <c r="M174" s="2" t="s">
        <v>1024</v>
      </c>
      <c r="N174" s="2">
        <v>4</v>
      </c>
    </row>
    <row r="175" spans="1:14" x14ac:dyDescent="0.3">
      <c r="A175" t="s">
        <v>227</v>
      </c>
      <c r="B175">
        <v>13</v>
      </c>
      <c r="C175" s="2" t="s">
        <v>1020</v>
      </c>
      <c r="D175" s="2" t="s">
        <v>1048</v>
      </c>
      <c r="E175" s="2" t="s">
        <v>1058</v>
      </c>
      <c r="F175" s="1">
        <v>45918</v>
      </c>
      <c r="G175" s="1">
        <v>45925</v>
      </c>
      <c r="H175" s="2">
        <v>7</v>
      </c>
      <c r="I175" s="2">
        <v>55000</v>
      </c>
      <c r="J175" s="2" t="s">
        <v>1027</v>
      </c>
      <c r="K175" s="2" t="s">
        <v>1028</v>
      </c>
      <c r="L175" t="s">
        <v>1018</v>
      </c>
      <c r="M175" s="2" t="s">
        <v>1024</v>
      </c>
      <c r="N175" s="2">
        <v>4</v>
      </c>
    </row>
    <row r="176" spans="1:14" x14ac:dyDescent="0.3">
      <c r="A176" t="s">
        <v>232</v>
      </c>
      <c r="B176">
        <v>75</v>
      </c>
      <c r="C176" s="2" t="s">
        <v>1020</v>
      </c>
      <c r="D176" s="2" t="s">
        <v>1124</v>
      </c>
      <c r="E176" s="2" t="s">
        <v>1135</v>
      </c>
      <c r="F176" s="1">
        <v>45923</v>
      </c>
      <c r="G176" s="1">
        <v>45932</v>
      </c>
      <c r="H176" s="2">
        <v>9</v>
      </c>
      <c r="I176" s="2">
        <v>78000</v>
      </c>
      <c r="J176" s="2" t="s">
        <v>1023</v>
      </c>
      <c r="K176" s="2" t="s">
        <v>1044</v>
      </c>
      <c r="L176" t="s">
        <v>1018</v>
      </c>
      <c r="M176" s="2" t="s">
        <v>1024</v>
      </c>
      <c r="N176" s="2">
        <v>4</v>
      </c>
    </row>
    <row r="177" spans="1:14" x14ac:dyDescent="0.3">
      <c r="A177" t="s">
        <v>233</v>
      </c>
      <c r="B177">
        <v>24</v>
      </c>
      <c r="C177" s="2" t="s">
        <v>1020</v>
      </c>
      <c r="D177" s="2" t="s">
        <v>1039</v>
      </c>
      <c r="E177" s="2" t="s">
        <v>1137</v>
      </c>
      <c r="F177" s="1">
        <v>45924</v>
      </c>
      <c r="G177" s="1">
        <v>45930</v>
      </c>
      <c r="H177" s="2">
        <v>6</v>
      </c>
      <c r="I177" s="2">
        <v>98000</v>
      </c>
      <c r="J177" s="2" t="s">
        <v>1017</v>
      </c>
      <c r="K177" s="2" t="s">
        <v>1059</v>
      </c>
      <c r="L177" t="s">
        <v>1018</v>
      </c>
      <c r="M177" s="2" t="s">
        <v>1024</v>
      </c>
      <c r="N177" s="2">
        <v>5</v>
      </c>
    </row>
    <row r="178" spans="1:14" x14ac:dyDescent="0.3">
      <c r="A178" t="s">
        <v>235</v>
      </c>
      <c r="B178">
        <v>19</v>
      </c>
      <c r="C178" s="2" t="s">
        <v>1020</v>
      </c>
      <c r="D178" s="2" t="s">
        <v>1048</v>
      </c>
      <c r="E178" s="2" t="s">
        <v>1063</v>
      </c>
      <c r="F178" s="1">
        <v>45926</v>
      </c>
      <c r="G178" s="1">
        <v>45933</v>
      </c>
      <c r="H178" s="2">
        <v>7</v>
      </c>
      <c r="I178" s="2">
        <v>98000</v>
      </c>
      <c r="J178" s="2" t="s">
        <v>1023</v>
      </c>
      <c r="K178" s="2" t="s">
        <v>1028</v>
      </c>
      <c r="L178" t="s">
        <v>1037</v>
      </c>
      <c r="M178" s="2" t="s">
        <v>1024</v>
      </c>
      <c r="N178" s="2">
        <v>3</v>
      </c>
    </row>
    <row r="179" spans="1:14" x14ac:dyDescent="0.3">
      <c r="A179" t="s">
        <v>237</v>
      </c>
      <c r="B179">
        <v>67</v>
      </c>
      <c r="C179" s="2" t="s">
        <v>1014</v>
      </c>
      <c r="D179" s="2" t="s">
        <v>1031</v>
      </c>
      <c r="E179" s="2" t="s">
        <v>1032</v>
      </c>
      <c r="F179" s="1">
        <v>45928</v>
      </c>
      <c r="G179" s="1">
        <v>45933</v>
      </c>
      <c r="H179" s="2">
        <v>2</v>
      </c>
      <c r="I179" s="2">
        <v>33000</v>
      </c>
      <c r="J179" s="2" t="s">
        <v>1023</v>
      </c>
      <c r="K179" s="2" t="s">
        <v>1161</v>
      </c>
      <c r="L179" t="s">
        <v>1037</v>
      </c>
      <c r="M179" s="2" t="s">
        <v>1024</v>
      </c>
      <c r="N179" s="2">
        <v>3</v>
      </c>
    </row>
    <row r="180" spans="1:14" x14ac:dyDescent="0.3">
      <c r="A180" t="s">
        <v>239</v>
      </c>
      <c r="B180">
        <v>69</v>
      </c>
      <c r="C180" s="2" t="s">
        <v>1014</v>
      </c>
      <c r="D180" s="2" t="s">
        <v>1021</v>
      </c>
      <c r="E180" s="2" t="s">
        <v>1140</v>
      </c>
      <c r="F180" s="1">
        <v>45930</v>
      </c>
      <c r="G180" s="1">
        <v>45940</v>
      </c>
      <c r="H180" s="2">
        <v>10</v>
      </c>
      <c r="I180" s="2">
        <v>156000</v>
      </c>
      <c r="J180" s="2" t="s">
        <v>1017</v>
      </c>
      <c r="K180" s="2" t="s">
        <v>1147</v>
      </c>
      <c r="L180" t="s">
        <v>1037</v>
      </c>
      <c r="M180" s="2" t="s">
        <v>1024</v>
      </c>
      <c r="N180" s="2">
        <v>4</v>
      </c>
    </row>
    <row r="181" spans="1:14" x14ac:dyDescent="0.3">
      <c r="A181" t="s">
        <v>241</v>
      </c>
      <c r="B181">
        <v>19</v>
      </c>
      <c r="C181" s="2" t="s">
        <v>1020</v>
      </c>
      <c r="D181" s="2" t="s">
        <v>1048</v>
      </c>
      <c r="E181" s="2" t="s">
        <v>1063</v>
      </c>
      <c r="F181" s="1">
        <v>45932</v>
      </c>
      <c r="G181" s="1">
        <v>45939</v>
      </c>
      <c r="H181" s="2">
        <v>7</v>
      </c>
      <c r="I181" s="2">
        <v>14000</v>
      </c>
      <c r="J181" s="2" t="s">
        <v>1017</v>
      </c>
      <c r="K181" s="2" t="s">
        <v>1028</v>
      </c>
      <c r="L181" t="s">
        <v>1037</v>
      </c>
      <c r="M181" s="2" t="s">
        <v>1024</v>
      </c>
      <c r="N181" s="2">
        <v>5</v>
      </c>
    </row>
    <row r="182" spans="1:14" x14ac:dyDescent="0.3">
      <c r="A182" t="s">
        <v>242</v>
      </c>
      <c r="B182">
        <v>12</v>
      </c>
      <c r="C182" s="2" t="s">
        <v>1014</v>
      </c>
      <c r="D182" s="2" t="s">
        <v>1029</v>
      </c>
      <c r="E182" s="2" t="s">
        <v>1075</v>
      </c>
      <c r="F182" s="1">
        <v>45933</v>
      </c>
      <c r="G182" s="1">
        <v>45942</v>
      </c>
      <c r="H182" s="2">
        <v>9</v>
      </c>
      <c r="I182" s="2">
        <v>24000</v>
      </c>
      <c r="J182" s="2" t="s">
        <v>1027</v>
      </c>
      <c r="K182" s="2" t="s">
        <v>1033</v>
      </c>
      <c r="L182" t="s">
        <v>1018</v>
      </c>
      <c r="M182" s="2" t="s">
        <v>1024</v>
      </c>
      <c r="N182">
        <v>4</v>
      </c>
    </row>
    <row r="183" spans="1:14" x14ac:dyDescent="0.3">
      <c r="A183" t="s">
        <v>255</v>
      </c>
      <c r="B183">
        <v>45</v>
      </c>
      <c r="C183" s="2" t="s">
        <v>1014</v>
      </c>
      <c r="D183" s="2" t="s">
        <v>1021</v>
      </c>
      <c r="E183" s="2" t="s">
        <v>1084</v>
      </c>
      <c r="F183" s="1">
        <v>45946</v>
      </c>
      <c r="G183" s="1">
        <v>45956</v>
      </c>
      <c r="H183" s="2">
        <v>10</v>
      </c>
      <c r="I183" s="2">
        <v>245000</v>
      </c>
      <c r="J183" s="2" t="s">
        <v>1023</v>
      </c>
      <c r="K183" s="2" t="s">
        <v>1147</v>
      </c>
      <c r="L183" t="s">
        <v>1037</v>
      </c>
      <c r="M183" s="2" t="s">
        <v>1024</v>
      </c>
      <c r="N183">
        <v>4</v>
      </c>
    </row>
    <row r="184" spans="1:14" x14ac:dyDescent="0.3">
      <c r="A184" t="s">
        <v>257</v>
      </c>
      <c r="B184">
        <v>24</v>
      </c>
      <c r="C184" s="2" t="s">
        <v>1020</v>
      </c>
      <c r="D184" s="2" t="s">
        <v>1029</v>
      </c>
      <c r="E184" s="2" t="s">
        <v>1141</v>
      </c>
      <c r="F184" s="1">
        <v>45948</v>
      </c>
      <c r="G184" s="1">
        <v>45955</v>
      </c>
      <c r="H184" s="2">
        <v>7</v>
      </c>
      <c r="I184" s="2">
        <v>98000</v>
      </c>
      <c r="J184" s="2" t="s">
        <v>1017</v>
      </c>
      <c r="K184" s="2" t="s">
        <v>1033</v>
      </c>
      <c r="L184" t="s">
        <v>1018</v>
      </c>
      <c r="M184" s="2" t="s">
        <v>1024</v>
      </c>
      <c r="N184">
        <v>5</v>
      </c>
    </row>
    <row r="185" spans="1:14" x14ac:dyDescent="0.3">
      <c r="A185" t="s">
        <v>262</v>
      </c>
      <c r="B185">
        <v>19</v>
      </c>
      <c r="C185" s="2" t="s">
        <v>1014</v>
      </c>
      <c r="D185" s="2" t="s">
        <v>1025</v>
      </c>
      <c r="E185" s="2" t="s">
        <v>1055</v>
      </c>
      <c r="F185" s="1">
        <v>45953</v>
      </c>
      <c r="G185" s="1">
        <v>45955</v>
      </c>
      <c r="H185" s="2">
        <v>2</v>
      </c>
      <c r="I185" s="2">
        <v>134500</v>
      </c>
      <c r="J185" s="2" t="s">
        <v>1017</v>
      </c>
      <c r="K185" s="2" t="s">
        <v>1046</v>
      </c>
      <c r="L185" t="s">
        <v>1018</v>
      </c>
      <c r="M185" s="2" t="s">
        <v>1024</v>
      </c>
      <c r="N185">
        <v>4</v>
      </c>
    </row>
    <row r="186" spans="1:14" x14ac:dyDescent="0.3">
      <c r="A186" t="s">
        <v>263</v>
      </c>
      <c r="B186">
        <v>20</v>
      </c>
      <c r="C186" s="2" t="s">
        <v>1014</v>
      </c>
      <c r="D186" s="2" t="s">
        <v>1035</v>
      </c>
      <c r="E186" s="2" t="s">
        <v>1143</v>
      </c>
      <c r="F186" s="1">
        <v>45954</v>
      </c>
      <c r="G186" s="1">
        <v>45961</v>
      </c>
      <c r="H186" s="2">
        <v>7</v>
      </c>
      <c r="I186" s="2">
        <v>156700</v>
      </c>
      <c r="J186" s="2" t="s">
        <v>1017</v>
      </c>
      <c r="K186" s="2" t="s">
        <v>1106</v>
      </c>
      <c r="L186" t="s">
        <v>1018</v>
      </c>
      <c r="M186" s="2" t="s">
        <v>1024</v>
      </c>
      <c r="N186">
        <v>3</v>
      </c>
    </row>
    <row r="187" spans="1:14" x14ac:dyDescent="0.3">
      <c r="A187" t="s">
        <v>267</v>
      </c>
      <c r="B187">
        <v>24</v>
      </c>
      <c r="C187" s="2" t="s">
        <v>1014</v>
      </c>
      <c r="D187" s="2" t="s">
        <v>1035</v>
      </c>
      <c r="E187" s="2" t="s">
        <v>1078</v>
      </c>
      <c r="F187" s="1">
        <v>45958</v>
      </c>
      <c r="G187" s="1">
        <v>45962</v>
      </c>
      <c r="H187" s="2">
        <v>4</v>
      </c>
      <c r="I187" s="2">
        <v>156000</v>
      </c>
      <c r="J187" s="2" t="s">
        <v>1027</v>
      </c>
      <c r="K187" s="2" t="s">
        <v>1106</v>
      </c>
      <c r="L187" t="s">
        <v>1037</v>
      </c>
      <c r="M187" s="2" t="s">
        <v>1024</v>
      </c>
      <c r="N187">
        <v>4.9000000000000004</v>
      </c>
    </row>
    <row r="188" spans="1:14" x14ac:dyDescent="0.3">
      <c r="A188" t="s">
        <v>268</v>
      </c>
      <c r="B188">
        <v>30</v>
      </c>
      <c r="C188" s="2" t="s">
        <v>1014</v>
      </c>
      <c r="D188" s="2" t="s">
        <v>1124</v>
      </c>
      <c r="E188" s="2" t="s">
        <v>1125</v>
      </c>
      <c r="F188" s="1">
        <v>45959</v>
      </c>
      <c r="G188" s="1">
        <v>45963</v>
      </c>
      <c r="H188" s="2">
        <v>4</v>
      </c>
      <c r="I188" s="2">
        <v>157900</v>
      </c>
      <c r="J188" s="2" t="s">
        <v>1023</v>
      </c>
      <c r="K188" s="2" t="s">
        <v>1044</v>
      </c>
      <c r="L188" t="s">
        <v>1018</v>
      </c>
      <c r="M188" s="2" t="s">
        <v>1024</v>
      </c>
      <c r="N188">
        <v>4.8</v>
      </c>
    </row>
    <row r="189" spans="1:14" x14ac:dyDescent="0.3">
      <c r="A189" t="s">
        <v>269</v>
      </c>
      <c r="B189">
        <v>34</v>
      </c>
      <c r="C189" s="2" t="s">
        <v>1020</v>
      </c>
      <c r="D189" s="2" t="s">
        <v>1035</v>
      </c>
      <c r="E189" s="2" t="s">
        <v>1047</v>
      </c>
      <c r="F189" s="1">
        <v>45960</v>
      </c>
      <c r="G189" s="1">
        <v>45966</v>
      </c>
      <c r="H189" s="2">
        <v>6</v>
      </c>
      <c r="I189" s="2">
        <v>17800</v>
      </c>
      <c r="J189" s="2" t="s">
        <v>1023</v>
      </c>
      <c r="K189" s="2" t="s">
        <v>1106</v>
      </c>
      <c r="L189" t="s">
        <v>1037</v>
      </c>
      <c r="M189" s="2" t="s">
        <v>1024</v>
      </c>
      <c r="N189">
        <v>4.7</v>
      </c>
    </row>
    <row r="190" spans="1:14" x14ac:dyDescent="0.3">
      <c r="A190" t="s">
        <v>270</v>
      </c>
      <c r="B190">
        <v>36</v>
      </c>
      <c r="C190" s="2" t="s">
        <v>1020</v>
      </c>
      <c r="D190" s="2" t="s">
        <v>1048</v>
      </c>
      <c r="E190" s="2" t="s">
        <v>1063</v>
      </c>
      <c r="F190" s="1">
        <v>45961</v>
      </c>
      <c r="G190" s="1">
        <v>45970</v>
      </c>
      <c r="H190" s="2">
        <v>10</v>
      </c>
      <c r="I190" s="2">
        <v>127000</v>
      </c>
      <c r="J190" s="2" t="s">
        <v>1023</v>
      </c>
      <c r="K190" s="2" t="s">
        <v>1028</v>
      </c>
      <c r="L190" t="s">
        <v>1037</v>
      </c>
      <c r="M190" s="2" t="s">
        <v>1024</v>
      </c>
      <c r="N190">
        <v>4.5999999999999996</v>
      </c>
    </row>
    <row r="191" spans="1:14" x14ac:dyDescent="0.3">
      <c r="A191" t="s">
        <v>276</v>
      </c>
      <c r="B191">
        <v>24</v>
      </c>
      <c r="C191" s="2" t="s">
        <v>1020</v>
      </c>
      <c r="D191" s="2" t="s">
        <v>1035</v>
      </c>
      <c r="E191" s="2" t="s">
        <v>1115</v>
      </c>
      <c r="F191" s="1">
        <v>45967</v>
      </c>
      <c r="G191" s="1">
        <v>45980</v>
      </c>
      <c r="H191" s="2">
        <v>14</v>
      </c>
      <c r="I191" s="2">
        <v>119000</v>
      </c>
      <c r="J191" s="2" t="s">
        <v>1017</v>
      </c>
      <c r="K191" s="2" t="s">
        <v>1106</v>
      </c>
      <c r="L191" t="s">
        <v>1037</v>
      </c>
      <c r="M191" s="2" t="s">
        <v>1024</v>
      </c>
      <c r="N191">
        <v>3.6</v>
      </c>
    </row>
    <row r="192" spans="1:14" x14ac:dyDescent="0.3">
      <c r="A192" t="s">
        <v>277</v>
      </c>
      <c r="B192">
        <v>44</v>
      </c>
      <c r="C192" s="2" t="s">
        <v>1014</v>
      </c>
      <c r="D192" s="2" t="s">
        <v>1029</v>
      </c>
      <c r="E192" s="2" t="s">
        <v>1130</v>
      </c>
      <c r="F192" s="1">
        <v>45968</v>
      </c>
      <c r="G192" s="1">
        <v>45971</v>
      </c>
      <c r="H192" s="2">
        <v>3</v>
      </c>
      <c r="I192" s="2">
        <v>120000</v>
      </c>
      <c r="J192" s="2" t="s">
        <v>1017</v>
      </c>
      <c r="K192" s="2" t="s">
        <v>1033</v>
      </c>
      <c r="L192" t="s">
        <v>1018</v>
      </c>
      <c r="M192" s="2" t="s">
        <v>1024</v>
      </c>
      <c r="N192">
        <v>3.7</v>
      </c>
    </row>
    <row r="193" spans="1:14" x14ac:dyDescent="0.3">
      <c r="A193" t="s">
        <v>280</v>
      </c>
      <c r="B193">
        <v>24</v>
      </c>
      <c r="C193" s="2" t="s">
        <v>1014</v>
      </c>
      <c r="D193" s="2" t="s">
        <v>1124</v>
      </c>
      <c r="E193" s="2" t="s">
        <v>1125</v>
      </c>
      <c r="F193" s="1">
        <v>45971</v>
      </c>
      <c r="G193" s="1">
        <v>45981</v>
      </c>
      <c r="H193" s="2">
        <v>10</v>
      </c>
      <c r="I193" s="2">
        <v>176000</v>
      </c>
      <c r="J193" s="2" t="s">
        <v>1017</v>
      </c>
      <c r="K193" s="2" t="s">
        <v>1044</v>
      </c>
      <c r="L193" t="s">
        <v>1037</v>
      </c>
      <c r="M193" s="2" t="s">
        <v>1024</v>
      </c>
      <c r="N193">
        <v>3</v>
      </c>
    </row>
    <row r="194" spans="1:14" x14ac:dyDescent="0.3">
      <c r="A194" t="s">
        <v>285</v>
      </c>
      <c r="B194">
        <v>34</v>
      </c>
      <c r="C194" s="2" t="s">
        <v>1020</v>
      </c>
      <c r="D194" s="2" t="s">
        <v>1048</v>
      </c>
      <c r="E194" s="2" t="s">
        <v>1063</v>
      </c>
      <c r="F194" s="1">
        <v>45976</v>
      </c>
      <c r="G194" s="1">
        <v>45985</v>
      </c>
      <c r="H194" s="2">
        <v>9</v>
      </c>
      <c r="I194" s="2">
        <v>19000</v>
      </c>
      <c r="J194" s="2" t="s">
        <v>1027</v>
      </c>
      <c r="K194" s="2" t="s">
        <v>1028</v>
      </c>
      <c r="L194" t="s">
        <v>1037</v>
      </c>
      <c r="M194" s="2" t="s">
        <v>1024</v>
      </c>
      <c r="N194">
        <v>3</v>
      </c>
    </row>
    <row r="195" spans="1:14" x14ac:dyDescent="0.3">
      <c r="A195" t="s">
        <v>291</v>
      </c>
      <c r="B195">
        <v>12</v>
      </c>
      <c r="C195" s="2" t="s">
        <v>1014</v>
      </c>
      <c r="D195" s="2" t="s">
        <v>1029</v>
      </c>
      <c r="E195" s="2" t="s">
        <v>1030</v>
      </c>
      <c r="F195" s="1">
        <v>45982</v>
      </c>
      <c r="G195" s="1">
        <v>45986</v>
      </c>
      <c r="H195" s="2">
        <v>4</v>
      </c>
      <c r="I195" s="2">
        <v>13000</v>
      </c>
      <c r="J195" s="2" t="s">
        <v>1017</v>
      </c>
      <c r="K195" s="2" t="s">
        <v>1033</v>
      </c>
      <c r="L195" t="s">
        <v>1037</v>
      </c>
      <c r="M195" s="2" t="s">
        <v>1024</v>
      </c>
      <c r="N195">
        <v>3</v>
      </c>
    </row>
    <row r="196" spans="1:14" x14ac:dyDescent="0.3">
      <c r="A196" t="s">
        <v>293</v>
      </c>
      <c r="B196">
        <v>5</v>
      </c>
      <c r="C196" s="2" t="s">
        <v>1020</v>
      </c>
      <c r="D196" s="2" t="s">
        <v>1029</v>
      </c>
      <c r="E196" s="2" t="s">
        <v>1030</v>
      </c>
      <c r="F196" s="1">
        <v>45984</v>
      </c>
      <c r="G196" s="1">
        <v>45988</v>
      </c>
      <c r="H196" s="2">
        <v>4</v>
      </c>
      <c r="I196" s="2">
        <v>120000</v>
      </c>
      <c r="J196" s="2" t="s">
        <v>1023</v>
      </c>
      <c r="K196" s="2" t="s">
        <v>1033</v>
      </c>
      <c r="L196" t="s">
        <v>1018</v>
      </c>
      <c r="M196" s="2" t="s">
        <v>1024</v>
      </c>
      <c r="N196">
        <v>5</v>
      </c>
    </row>
    <row r="197" spans="1:14" x14ac:dyDescent="0.3">
      <c r="A197" t="s">
        <v>294</v>
      </c>
      <c r="B197">
        <v>24</v>
      </c>
      <c r="C197" s="2" t="s">
        <v>1014</v>
      </c>
      <c r="D197" s="2" t="s">
        <v>1025</v>
      </c>
      <c r="E197" s="2" t="s">
        <v>1055</v>
      </c>
      <c r="F197" s="1">
        <v>45985</v>
      </c>
      <c r="G197" s="1">
        <v>45992</v>
      </c>
      <c r="H197" s="2">
        <v>7</v>
      </c>
      <c r="I197" s="2">
        <v>130000</v>
      </c>
      <c r="J197" s="2" t="s">
        <v>1027</v>
      </c>
      <c r="K197" s="2" t="s">
        <v>1046</v>
      </c>
      <c r="L197" t="s">
        <v>1018</v>
      </c>
      <c r="M197" s="2" t="s">
        <v>1024</v>
      </c>
      <c r="N197">
        <v>5</v>
      </c>
    </row>
    <row r="198" spans="1:14" x14ac:dyDescent="0.3">
      <c r="A198" t="s">
        <v>296</v>
      </c>
      <c r="B198">
        <v>11</v>
      </c>
      <c r="C198" s="2" t="s">
        <v>1020</v>
      </c>
      <c r="D198" s="2" t="s">
        <v>1029</v>
      </c>
      <c r="E198" s="2" t="s">
        <v>1030</v>
      </c>
      <c r="F198" s="1">
        <v>45987</v>
      </c>
      <c r="G198" s="1">
        <v>45995</v>
      </c>
      <c r="H198" s="2">
        <v>8</v>
      </c>
      <c r="I198" s="2">
        <v>11000</v>
      </c>
      <c r="J198" s="2" t="s">
        <v>1027</v>
      </c>
      <c r="K198" s="2" t="s">
        <v>1033</v>
      </c>
      <c r="L198" t="s">
        <v>1018</v>
      </c>
      <c r="M198" s="2" t="s">
        <v>1024</v>
      </c>
      <c r="N198">
        <v>4</v>
      </c>
    </row>
    <row r="199" spans="1:14" x14ac:dyDescent="0.3">
      <c r="A199" t="s">
        <v>299</v>
      </c>
      <c r="B199">
        <v>78</v>
      </c>
      <c r="C199" s="2" t="s">
        <v>1020</v>
      </c>
      <c r="D199" s="2" t="s">
        <v>1025</v>
      </c>
      <c r="E199" s="2" t="s">
        <v>1123</v>
      </c>
      <c r="F199" s="1">
        <v>45990</v>
      </c>
      <c r="G199" s="1">
        <v>46006</v>
      </c>
      <c r="H199" s="2">
        <v>16</v>
      </c>
      <c r="I199" s="2">
        <v>230000</v>
      </c>
      <c r="J199" s="2" t="s">
        <v>1023</v>
      </c>
      <c r="K199" s="2" t="s">
        <v>1106</v>
      </c>
      <c r="L199" t="s">
        <v>1037</v>
      </c>
      <c r="M199" s="2" t="s">
        <v>1024</v>
      </c>
      <c r="N199">
        <v>4</v>
      </c>
    </row>
    <row r="200" spans="1:14" x14ac:dyDescent="0.3">
      <c r="A200" t="s">
        <v>300</v>
      </c>
      <c r="B200">
        <v>24</v>
      </c>
      <c r="C200" s="2" t="s">
        <v>1014</v>
      </c>
      <c r="D200" s="2" t="s">
        <v>1031</v>
      </c>
      <c r="E200" s="2" t="s">
        <v>1034</v>
      </c>
      <c r="F200" s="1">
        <v>45991</v>
      </c>
      <c r="G200" s="1">
        <v>46001</v>
      </c>
      <c r="H200" s="2">
        <v>10</v>
      </c>
      <c r="I200" s="2">
        <v>190000</v>
      </c>
      <c r="J200" s="2" t="s">
        <v>1023</v>
      </c>
      <c r="K200" s="2" t="s">
        <v>1161</v>
      </c>
      <c r="L200" t="s">
        <v>1037</v>
      </c>
      <c r="M200" s="2" t="s">
        <v>1024</v>
      </c>
      <c r="N200">
        <v>2</v>
      </c>
    </row>
    <row r="201" spans="1:14" x14ac:dyDescent="0.3">
      <c r="A201" t="s">
        <v>311</v>
      </c>
      <c r="B201">
        <v>78</v>
      </c>
      <c r="C201" s="2" t="s">
        <v>1014</v>
      </c>
      <c r="D201" s="2" t="s">
        <v>1015</v>
      </c>
      <c r="E201" s="2" t="s">
        <v>1016</v>
      </c>
      <c r="F201" s="1">
        <v>46002</v>
      </c>
      <c r="G201" s="1">
        <v>46011</v>
      </c>
      <c r="H201" s="2">
        <v>9</v>
      </c>
      <c r="I201" s="2">
        <v>130000</v>
      </c>
      <c r="J201" s="2" t="s">
        <v>1023</v>
      </c>
      <c r="K201" s="2" t="s">
        <v>1052</v>
      </c>
      <c r="L201" t="s">
        <v>1018</v>
      </c>
      <c r="M201" s="2" t="s">
        <v>1024</v>
      </c>
      <c r="N201">
        <v>1</v>
      </c>
    </row>
    <row r="202" spans="1:14" x14ac:dyDescent="0.3">
      <c r="A202" t="s">
        <v>323</v>
      </c>
      <c r="B202">
        <v>89</v>
      </c>
      <c r="C202" s="2" t="s">
        <v>1020</v>
      </c>
      <c r="D202" s="2" t="s">
        <v>1039</v>
      </c>
      <c r="E202" s="2" t="s">
        <v>1102</v>
      </c>
      <c r="F202" s="1">
        <v>46013</v>
      </c>
      <c r="G202" s="1">
        <v>46017</v>
      </c>
      <c r="H202" s="2">
        <v>4</v>
      </c>
      <c r="I202" s="2">
        <v>89000</v>
      </c>
      <c r="J202" s="2" t="s">
        <v>1023</v>
      </c>
      <c r="K202" s="2" t="s">
        <v>1147</v>
      </c>
      <c r="L202" t="s">
        <v>1018</v>
      </c>
      <c r="M202" s="2" t="s">
        <v>1024</v>
      </c>
      <c r="N202">
        <v>3</v>
      </c>
    </row>
    <row r="203" spans="1:14" x14ac:dyDescent="0.3">
      <c r="A203" t="s">
        <v>326</v>
      </c>
      <c r="B203">
        <v>24</v>
      </c>
      <c r="C203" s="2" t="s">
        <v>1014</v>
      </c>
      <c r="D203" s="2" t="s">
        <v>1021</v>
      </c>
      <c r="E203" s="2" t="s">
        <v>1022</v>
      </c>
      <c r="F203" s="1">
        <v>46016</v>
      </c>
      <c r="G203" s="1">
        <v>46020</v>
      </c>
      <c r="H203" s="2">
        <v>4</v>
      </c>
      <c r="I203" s="2">
        <v>56000</v>
      </c>
      <c r="J203" s="2" t="s">
        <v>1027</v>
      </c>
      <c r="K203" s="2" t="s">
        <v>1147</v>
      </c>
      <c r="L203" t="s">
        <v>1018</v>
      </c>
      <c r="M203" s="2" t="s">
        <v>1024</v>
      </c>
      <c r="N203">
        <v>4.0999999999999996</v>
      </c>
    </row>
    <row r="204" spans="1:14" x14ac:dyDescent="0.3">
      <c r="A204" t="s">
        <v>327</v>
      </c>
      <c r="B204">
        <v>78</v>
      </c>
      <c r="C204" s="2" t="s">
        <v>1014</v>
      </c>
      <c r="D204" s="2" t="s">
        <v>1025</v>
      </c>
      <c r="E204" s="2" t="s">
        <v>1026</v>
      </c>
      <c r="F204" s="1">
        <v>46017</v>
      </c>
      <c r="G204" s="1">
        <v>46022</v>
      </c>
      <c r="H204" s="2">
        <v>5</v>
      </c>
      <c r="I204" s="2">
        <v>45000</v>
      </c>
      <c r="J204" s="2" t="s">
        <v>1023</v>
      </c>
      <c r="K204" s="2" t="s">
        <v>1046</v>
      </c>
      <c r="L204" t="s">
        <v>1037</v>
      </c>
      <c r="M204" s="2" t="s">
        <v>1024</v>
      </c>
      <c r="N204">
        <v>4.2</v>
      </c>
    </row>
    <row r="205" spans="1:14" x14ac:dyDescent="0.3">
      <c r="A205" t="s">
        <v>330</v>
      </c>
      <c r="B205">
        <v>66</v>
      </c>
      <c r="C205" s="2" t="s">
        <v>1020</v>
      </c>
      <c r="D205" s="2" t="s">
        <v>1029</v>
      </c>
      <c r="E205" s="2" t="s">
        <v>1030</v>
      </c>
      <c r="F205" s="1">
        <v>46020</v>
      </c>
      <c r="G205" s="1">
        <v>46027</v>
      </c>
      <c r="H205" s="2">
        <v>6</v>
      </c>
      <c r="I205" s="2">
        <v>56000</v>
      </c>
      <c r="J205" s="2" t="s">
        <v>1027</v>
      </c>
      <c r="K205" s="2" t="s">
        <v>1033</v>
      </c>
      <c r="L205" t="s">
        <v>1037</v>
      </c>
      <c r="M205" s="2" t="s">
        <v>1024</v>
      </c>
      <c r="N205">
        <v>5</v>
      </c>
    </row>
    <row r="206" spans="1:14" x14ac:dyDescent="0.3">
      <c r="A206" t="s">
        <v>331</v>
      </c>
      <c r="B206">
        <v>89</v>
      </c>
      <c r="C206" s="2" t="s">
        <v>1020</v>
      </c>
      <c r="D206" s="2" t="s">
        <v>1021</v>
      </c>
      <c r="E206" s="2" t="s">
        <v>1022</v>
      </c>
      <c r="F206" s="1">
        <v>46021</v>
      </c>
      <c r="G206" s="1">
        <v>46032</v>
      </c>
      <c r="H206" s="2">
        <v>11</v>
      </c>
      <c r="I206" s="2">
        <v>150000</v>
      </c>
      <c r="J206" s="2" t="s">
        <v>1027</v>
      </c>
      <c r="K206" s="2" t="s">
        <v>1147</v>
      </c>
      <c r="L206" t="s">
        <v>1037</v>
      </c>
      <c r="M206" s="2" t="s">
        <v>1024</v>
      </c>
      <c r="N206">
        <v>4.5999999999999996</v>
      </c>
    </row>
    <row r="207" spans="1:14" x14ac:dyDescent="0.3">
      <c r="A207" t="s">
        <v>332</v>
      </c>
      <c r="B207">
        <v>99</v>
      </c>
      <c r="C207" s="2" t="s">
        <v>1020</v>
      </c>
      <c r="D207" s="2" t="s">
        <v>1025</v>
      </c>
      <c r="E207" s="2" t="s">
        <v>1062</v>
      </c>
      <c r="F207" s="1">
        <v>46022</v>
      </c>
      <c r="G207" s="1">
        <v>46037</v>
      </c>
      <c r="H207" s="2">
        <v>15</v>
      </c>
      <c r="I207" s="2">
        <v>198000</v>
      </c>
      <c r="J207" s="2" t="s">
        <v>1023</v>
      </c>
      <c r="K207" s="2" t="s">
        <v>1046</v>
      </c>
      <c r="L207" t="s">
        <v>1018</v>
      </c>
      <c r="M207" s="2" t="s">
        <v>1024</v>
      </c>
      <c r="N207">
        <v>4.7</v>
      </c>
    </row>
    <row r="208" spans="1:14" x14ac:dyDescent="0.3">
      <c r="A208" t="s">
        <v>333</v>
      </c>
      <c r="B208">
        <v>24</v>
      </c>
      <c r="C208" s="2" t="s">
        <v>1020</v>
      </c>
      <c r="D208" s="2" t="s">
        <v>1029</v>
      </c>
      <c r="E208" s="2" t="s">
        <v>1030</v>
      </c>
      <c r="F208" s="1">
        <v>46023</v>
      </c>
      <c r="G208" s="1">
        <v>46035</v>
      </c>
      <c r="H208" s="2">
        <v>12</v>
      </c>
      <c r="I208" s="2">
        <v>178000</v>
      </c>
      <c r="J208" s="2" t="s">
        <v>1017</v>
      </c>
      <c r="K208" s="2" t="s">
        <v>1033</v>
      </c>
      <c r="L208" t="s">
        <v>1018</v>
      </c>
      <c r="M208" s="2" t="s">
        <v>1024</v>
      </c>
      <c r="N208">
        <v>4</v>
      </c>
    </row>
    <row r="209" spans="1:14" x14ac:dyDescent="0.3">
      <c r="A209" t="s">
        <v>334</v>
      </c>
      <c r="B209">
        <v>87</v>
      </c>
      <c r="C209" s="2" t="s">
        <v>1014</v>
      </c>
      <c r="D209" s="2" t="s">
        <v>1015</v>
      </c>
      <c r="E209" s="2" t="s">
        <v>1148</v>
      </c>
      <c r="F209" s="1">
        <v>46024</v>
      </c>
      <c r="G209" s="1">
        <v>46042</v>
      </c>
      <c r="H209" s="2">
        <v>18</v>
      </c>
      <c r="I209" s="2">
        <v>18900</v>
      </c>
      <c r="J209" s="2" t="s">
        <v>1017</v>
      </c>
      <c r="K209" s="2" t="s">
        <v>1052</v>
      </c>
      <c r="L209" t="s">
        <v>1037</v>
      </c>
      <c r="M209" s="2" t="s">
        <v>1024</v>
      </c>
      <c r="N209">
        <v>3</v>
      </c>
    </row>
    <row r="210" spans="1:14" x14ac:dyDescent="0.3">
      <c r="A210" t="s">
        <v>338</v>
      </c>
      <c r="B210">
        <v>24</v>
      </c>
      <c r="C210" s="2" t="s">
        <v>1020</v>
      </c>
      <c r="D210" s="2" t="s">
        <v>1025</v>
      </c>
      <c r="E210" s="2" t="s">
        <v>1123</v>
      </c>
      <c r="F210" s="1">
        <v>46028</v>
      </c>
      <c r="G210" s="1">
        <v>46042</v>
      </c>
      <c r="H210" s="2">
        <v>14</v>
      </c>
      <c r="I210" s="2">
        <v>98000</v>
      </c>
      <c r="J210" s="2" t="s">
        <v>1017</v>
      </c>
      <c r="K210" s="2" t="s">
        <v>1046</v>
      </c>
      <c r="L210" t="s">
        <v>1018</v>
      </c>
      <c r="M210" s="2" t="s">
        <v>1024</v>
      </c>
      <c r="N210">
        <v>2.5</v>
      </c>
    </row>
    <row r="211" spans="1:14" x14ac:dyDescent="0.3">
      <c r="A211" t="s">
        <v>339</v>
      </c>
      <c r="B211">
        <v>44</v>
      </c>
      <c r="C211" s="2" t="s">
        <v>1020</v>
      </c>
      <c r="D211" s="2" t="s">
        <v>1021</v>
      </c>
      <c r="E211" s="2" t="s">
        <v>1149</v>
      </c>
      <c r="F211" s="1">
        <v>46029</v>
      </c>
      <c r="G211" s="1">
        <v>46033</v>
      </c>
      <c r="H211" s="2">
        <v>4</v>
      </c>
      <c r="I211" s="2">
        <v>87000</v>
      </c>
      <c r="J211" s="2" t="s">
        <v>1017</v>
      </c>
      <c r="K211" s="2" t="s">
        <v>1147</v>
      </c>
      <c r="L211" t="s">
        <v>1018</v>
      </c>
      <c r="M211" s="2" t="s">
        <v>1024</v>
      </c>
      <c r="N211">
        <v>2.9</v>
      </c>
    </row>
    <row r="212" spans="1:14" x14ac:dyDescent="0.3">
      <c r="A212" t="s">
        <v>342</v>
      </c>
      <c r="B212">
        <v>76</v>
      </c>
      <c r="C212" s="2" t="s">
        <v>1020</v>
      </c>
      <c r="D212" s="2" t="s">
        <v>1029</v>
      </c>
      <c r="E212" s="2" t="s">
        <v>1030</v>
      </c>
      <c r="F212" s="1">
        <v>46032</v>
      </c>
      <c r="G212" s="1">
        <v>46034</v>
      </c>
      <c r="H212" s="2">
        <v>2</v>
      </c>
      <c r="I212" s="2">
        <v>98000</v>
      </c>
      <c r="J212" s="2" t="s">
        <v>1027</v>
      </c>
      <c r="K212" s="2" t="s">
        <v>1033</v>
      </c>
      <c r="L212" t="s">
        <v>1037</v>
      </c>
      <c r="M212" s="2" t="s">
        <v>1024</v>
      </c>
      <c r="N212">
        <v>3</v>
      </c>
    </row>
    <row r="213" spans="1:14" x14ac:dyDescent="0.3">
      <c r="A213" t="s">
        <v>343</v>
      </c>
      <c r="B213">
        <v>24</v>
      </c>
      <c r="C213" s="2" t="s">
        <v>1014</v>
      </c>
      <c r="D213" s="2" t="s">
        <v>1031</v>
      </c>
      <c r="E213" s="2" t="s">
        <v>1053</v>
      </c>
      <c r="F213" s="1">
        <v>46033</v>
      </c>
      <c r="G213" s="1">
        <v>46046</v>
      </c>
      <c r="H213" s="2">
        <v>13</v>
      </c>
      <c r="I213" s="2">
        <v>178000</v>
      </c>
      <c r="J213" s="2" t="s">
        <v>1027</v>
      </c>
      <c r="K213" s="2" t="s">
        <v>1161</v>
      </c>
      <c r="L213" t="s">
        <v>1018</v>
      </c>
      <c r="M213" s="2" t="s">
        <v>1024</v>
      </c>
      <c r="N213">
        <v>3</v>
      </c>
    </row>
    <row r="214" spans="1:14" x14ac:dyDescent="0.3">
      <c r="A214" t="s">
        <v>347</v>
      </c>
      <c r="B214">
        <v>24</v>
      </c>
      <c r="C214" s="2" t="s">
        <v>1020</v>
      </c>
      <c r="D214" s="2" t="s">
        <v>1048</v>
      </c>
      <c r="E214" s="2" t="s">
        <v>1063</v>
      </c>
      <c r="F214" s="1">
        <v>46037</v>
      </c>
      <c r="G214" s="1">
        <v>46042</v>
      </c>
      <c r="H214" s="2">
        <v>5</v>
      </c>
      <c r="I214" s="2">
        <v>145000</v>
      </c>
      <c r="J214" s="2" t="s">
        <v>1027</v>
      </c>
      <c r="K214" s="2" t="s">
        <v>1028</v>
      </c>
      <c r="L214" t="s">
        <v>1018</v>
      </c>
      <c r="M214" s="2" t="s">
        <v>1024</v>
      </c>
      <c r="N214">
        <v>3</v>
      </c>
    </row>
    <row r="215" spans="1:14" x14ac:dyDescent="0.3">
      <c r="A215" t="s">
        <v>348</v>
      </c>
      <c r="B215">
        <v>56</v>
      </c>
      <c r="C215" s="2" t="s">
        <v>1020</v>
      </c>
      <c r="D215" s="2" t="s">
        <v>1025</v>
      </c>
      <c r="E215" s="2" t="s">
        <v>1091</v>
      </c>
      <c r="F215" s="1">
        <v>46038</v>
      </c>
      <c r="G215" s="1">
        <v>46043</v>
      </c>
      <c r="H215" s="2">
        <v>5</v>
      </c>
      <c r="I215" s="2">
        <v>89000</v>
      </c>
      <c r="J215" s="2" t="s">
        <v>1027</v>
      </c>
      <c r="K215" s="2" t="s">
        <v>1046</v>
      </c>
      <c r="L215" t="s">
        <v>1018</v>
      </c>
      <c r="M215" s="2" t="s">
        <v>1024</v>
      </c>
      <c r="N215">
        <v>4</v>
      </c>
    </row>
    <row r="216" spans="1:14" x14ac:dyDescent="0.3">
      <c r="A216" t="s">
        <v>349</v>
      </c>
      <c r="B216">
        <v>98</v>
      </c>
      <c r="C216" s="2" t="s">
        <v>1020</v>
      </c>
      <c r="D216" s="2" t="s">
        <v>1025</v>
      </c>
      <c r="E216" s="2" t="s">
        <v>1123</v>
      </c>
      <c r="F216" s="1">
        <v>46039</v>
      </c>
      <c r="G216" s="1">
        <v>46051</v>
      </c>
      <c r="H216" s="2">
        <v>12</v>
      </c>
      <c r="I216" s="2">
        <v>178000</v>
      </c>
      <c r="J216" s="2" t="s">
        <v>1027</v>
      </c>
      <c r="K216" s="2" t="s">
        <v>1046</v>
      </c>
      <c r="L216" t="s">
        <v>1037</v>
      </c>
      <c r="M216" s="2" t="s">
        <v>1024</v>
      </c>
      <c r="N216">
        <v>5</v>
      </c>
    </row>
    <row r="217" spans="1:14" x14ac:dyDescent="0.3">
      <c r="A217" t="s">
        <v>350</v>
      </c>
      <c r="B217">
        <v>87</v>
      </c>
      <c r="C217" s="2" t="s">
        <v>1014</v>
      </c>
      <c r="D217" s="2" t="s">
        <v>1021</v>
      </c>
      <c r="E217" s="2" t="s">
        <v>1022</v>
      </c>
      <c r="F217" s="1">
        <v>46040</v>
      </c>
      <c r="G217" s="1">
        <v>46048</v>
      </c>
      <c r="H217" s="2">
        <v>8</v>
      </c>
      <c r="I217" s="2">
        <v>156000</v>
      </c>
      <c r="J217" s="2" t="s">
        <v>1027</v>
      </c>
      <c r="K217" s="2" t="s">
        <v>1147</v>
      </c>
      <c r="L217" t="s">
        <v>1018</v>
      </c>
      <c r="M217" s="2" t="s">
        <v>1024</v>
      </c>
      <c r="N217">
        <v>5</v>
      </c>
    </row>
    <row r="218" spans="1:14" x14ac:dyDescent="0.3">
      <c r="A218" t="s">
        <v>357</v>
      </c>
      <c r="B218">
        <v>66</v>
      </c>
      <c r="C218" s="2" t="s">
        <v>1014</v>
      </c>
      <c r="D218" s="2" t="s">
        <v>1021</v>
      </c>
      <c r="E218" s="2" t="s">
        <v>1022</v>
      </c>
      <c r="F218" s="1">
        <v>46047</v>
      </c>
      <c r="G218" s="1">
        <v>46058</v>
      </c>
      <c r="H218" s="2">
        <v>11</v>
      </c>
      <c r="I218" s="2">
        <v>87000</v>
      </c>
      <c r="J218" s="2" t="s">
        <v>1023</v>
      </c>
      <c r="K218" s="2" t="s">
        <v>1147</v>
      </c>
      <c r="L218" t="s">
        <v>1037</v>
      </c>
      <c r="M218" s="2" t="s">
        <v>1024</v>
      </c>
      <c r="N218">
        <v>4.5</v>
      </c>
    </row>
    <row r="219" spans="1:14" x14ac:dyDescent="0.3">
      <c r="A219" t="s">
        <v>358</v>
      </c>
      <c r="B219">
        <v>24</v>
      </c>
      <c r="C219" s="2" t="s">
        <v>1014</v>
      </c>
      <c r="D219" s="2" t="s">
        <v>1029</v>
      </c>
      <c r="E219" s="2" t="s">
        <v>1030</v>
      </c>
      <c r="F219" s="1">
        <v>46048</v>
      </c>
      <c r="G219" s="1">
        <v>46063</v>
      </c>
      <c r="H219" s="2">
        <v>15</v>
      </c>
      <c r="I219" s="2">
        <v>198000</v>
      </c>
      <c r="J219" s="2" t="s">
        <v>1023</v>
      </c>
      <c r="K219" s="2" t="s">
        <v>1033</v>
      </c>
      <c r="L219" t="s">
        <v>1018</v>
      </c>
      <c r="M219" s="2" t="s">
        <v>1024</v>
      </c>
      <c r="N219">
        <v>4.5999999999999996</v>
      </c>
    </row>
    <row r="220" spans="1:14" x14ac:dyDescent="0.3">
      <c r="A220" t="s">
        <v>366</v>
      </c>
      <c r="B220">
        <v>24</v>
      </c>
      <c r="C220" s="2" t="s">
        <v>1014</v>
      </c>
      <c r="D220" s="2" t="s">
        <v>1029</v>
      </c>
      <c r="E220" s="2" t="s">
        <v>1057</v>
      </c>
      <c r="F220" s="1">
        <v>46056</v>
      </c>
      <c r="G220" s="1">
        <v>46069</v>
      </c>
      <c r="H220" s="2">
        <v>13</v>
      </c>
      <c r="I220" s="2">
        <v>120000</v>
      </c>
      <c r="J220" s="2" t="s">
        <v>1023</v>
      </c>
      <c r="K220" s="2" t="s">
        <v>1033</v>
      </c>
      <c r="L220" t="s">
        <v>1037</v>
      </c>
      <c r="M220" s="2" t="s">
        <v>1024</v>
      </c>
      <c r="N220">
        <v>3.4</v>
      </c>
    </row>
    <row r="221" spans="1:14" x14ac:dyDescent="0.3">
      <c r="A221" t="s">
        <v>369</v>
      </c>
      <c r="B221">
        <v>24</v>
      </c>
      <c r="C221" s="2" t="s">
        <v>1020</v>
      </c>
      <c r="D221" s="2" t="s">
        <v>1021</v>
      </c>
      <c r="E221" s="2" t="s">
        <v>1022</v>
      </c>
      <c r="F221" s="1">
        <v>46059</v>
      </c>
      <c r="G221" s="1">
        <v>46068</v>
      </c>
      <c r="H221" s="2">
        <v>9</v>
      </c>
      <c r="I221" s="2">
        <v>130000</v>
      </c>
      <c r="J221" s="2" t="s">
        <v>1027</v>
      </c>
      <c r="K221" s="2" t="s">
        <v>1147</v>
      </c>
      <c r="L221" t="s">
        <v>1018</v>
      </c>
      <c r="M221" s="2" t="s">
        <v>1024</v>
      </c>
      <c r="N221">
        <v>3.7</v>
      </c>
    </row>
    <row r="222" spans="1:14" x14ac:dyDescent="0.3">
      <c r="A222" t="s">
        <v>371</v>
      </c>
      <c r="B222">
        <v>67</v>
      </c>
      <c r="C222" s="2" t="s">
        <v>1014</v>
      </c>
      <c r="D222" s="2" t="s">
        <v>1025</v>
      </c>
      <c r="E222" s="2" t="s">
        <v>1062</v>
      </c>
      <c r="F222" s="1">
        <v>46061</v>
      </c>
      <c r="G222" s="1">
        <v>46073</v>
      </c>
      <c r="H222" s="2">
        <v>12</v>
      </c>
      <c r="I222" s="2">
        <v>98000</v>
      </c>
      <c r="J222" s="2" t="s">
        <v>1023</v>
      </c>
      <c r="K222" s="2" t="s">
        <v>1046</v>
      </c>
      <c r="L222" t="s">
        <v>1018</v>
      </c>
      <c r="M222" s="2" t="s">
        <v>1024</v>
      </c>
      <c r="N222">
        <v>3.9</v>
      </c>
    </row>
    <row r="223" spans="1:14" x14ac:dyDescent="0.3">
      <c r="A223" t="s">
        <v>372</v>
      </c>
      <c r="B223">
        <v>24</v>
      </c>
      <c r="C223" s="2" t="s">
        <v>1014</v>
      </c>
      <c r="D223" s="2" t="s">
        <v>1031</v>
      </c>
      <c r="E223" s="2" t="s">
        <v>1054</v>
      </c>
      <c r="F223" s="1">
        <v>46062</v>
      </c>
      <c r="G223" s="1">
        <v>46072</v>
      </c>
      <c r="H223" s="2">
        <v>10</v>
      </c>
      <c r="I223" s="2">
        <v>100000</v>
      </c>
      <c r="J223" s="2" t="s">
        <v>1023</v>
      </c>
      <c r="K223" s="2" t="s">
        <v>1161</v>
      </c>
      <c r="L223" t="s">
        <v>1037</v>
      </c>
      <c r="M223" s="2" t="s">
        <v>1024</v>
      </c>
      <c r="N223">
        <v>2.4</v>
      </c>
    </row>
    <row r="224" spans="1:14" x14ac:dyDescent="0.3">
      <c r="A224" t="s">
        <v>373</v>
      </c>
      <c r="B224">
        <v>55</v>
      </c>
      <c r="C224" s="2" t="s">
        <v>1020</v>
      </c>
      <c r="D224" s="2" t="s">
        <v>1025</v>
      </c>
      <c r="E224" s="2" t="s">
        <v>1136</v>
      </c>
      <c r="F224" s="1">
        <v>46063</v>
      </c>
      <c r="G224" s="1">
        <v>46073</v>
      </c>
      <c r="H224" s="2">
        <v>10</v>
      </c>
      <c r="I224" s="2">
        <v>120000</v>
      </c>
      <c r="J224" s="2" t="s">
        <v>1023</v>
      </c>
      <c r="K224" s="2" t="s">
        <v>1046</v>
      </c>
      <c r="L224" t="s">
        <v>1018</v>
      </c>
      <c r="M224" s="2" t="s">
        <v>1024</v>
      </c>
      <c r="N224">
        <v>3</v>
      </c>
    </row>
    <row r="225" spans="1:14" x14ac:dyDescent="0.3">
      <c r="A225" t="s">
        <v>374</v>
      </c>
      <c r="B225">
        <v>24</v>
      </c>
      <c r="C225" s="2" t="s">
        <v>1020</v>
      </c>
      <c r="D225" s="2" t="s">
        <v>1031</v>
      </c>
      <c r="E225" s="2" t="s">
        <v>1144</v>
      </c>
      <c r="F225" s="1">
        <v>46064</v>
      </c>
      <c r="G225" s="1">
        <v>46074</v>
      </c>
      <c r="H225" s="2">
        <v>10</v>
      </c>
      <c r="I225" s="2">
        <v>130000</v>
      </c>
      <c r="J225" s="2" t="s">
        <v>1023</v>
      </c>
      <c r="K225" s="2" t="s">
        <v>1161</v>
      </c>
      <c r="L225" t="s">
        <v>1037</v>
      </c>
      <c r="M225" s="2" t="s">
        <v>1024</v>
      </c>
      <c r="N225">
        <v>3</v>
      </c>
    </row>
    <row r="226" spans="1:14" x14ac:dyDescent="0.3">
      <c r="A226" t="s">
        <v>377</v>
      </c>
      <c r="B226">
        <v>89</v>
      </c>
      <c r="C226" s="2" t="s">
        <v>1014</v>
      </c>
      <c r="D226" s="2" t="s">
        <v>1035</v>
      </c>
      <c r="E226" s="2" t="s">
        <v>1115</v>
      </c>
      <c r="F226" s="1">
        <v>46067</v>
      </c>
      <c r="G226" s="1">
        <v>46077</v>
      </c>
      <c r="H226" s="2">
        <v>10</v>
      </c>
      <c r="I226" s="2">
        <v>189000</v>
      </c>
      <c r="J226" s="2" t="s">
        <v>1017</v>
      </c>
      <c r="K226" s="2" t="s">
        <v>1106</v>
      </c>
      <c r="L226" t="s">
        <v>1018</v>
      </c>
      <c r="M226" s="2" t="s">
        <v>1024</v>
      </c>
      <c r="N226">
        <v>5</v>
      </c>
    </row>
    <row r="227" spans="1:14" x14ac:dyDescent="0.3">
      <c r="A227" t="s">
        <v>390</v>
      </c>
      <c r="B227">
        <v>24</v>
      </c>
      <c r="C227" s="2" t="s">
        <v>1014</v>
      </c>
      <c r="D227" s="2" t="s">
        <v>1025</v>
      </c>
      <c r="E227" s="2" t="s">
        <v>1026</v>
      </c>
      <c r="F227" s="1">
        <v>46080</v>
      </c>
      <c r="G227" s="1">
        <v>46082</v>
      </c>
      <c r="H227" s="2">
        <v>2</v>
      </c>
      <c r="I227" s="2">
        <v>10000</v>
      </c>
      <c r="J227" s="2" t="s">
        <v>1027</v>
      </c>
      <c r="K227" s="2" t="s">
        <v>1046</v>
      </c>
      <c r="L227" t="s">
        <v>1037</v>
      </c>
      <c r="M227" s="2" t="s">
        <v>1024</v>
      </c>
      <c r="N227">
        <v>4</v>
      </c>
    </row>
    <row r="228" spans="1:14" x14ac:dyDescent="0.3">
      <c r="A228" t="s">
        <v>392</v>
      </c>
      <c r="B228">
        <v>65</v>
      </c>
      <c r="C228" s="2" t="s">
        <v>1014</v>
      </c>
      <c r="D228" s="2" t="s">
        <v>1124</v>
      </c>
      <c r="E228" s="2" t="s">
        <v>1135</v>
      </c>
      <c r="F228" s="1">
        <v>46082</v>
      </c>
      <c r="G228" s="1">
        <v>46090</v>
      </c>
      <c r="H228" s="2">
        <v>8</v>
      </c>
      <c r="I228" s="2">
        <v>65000</v>
      </c>
      <c r="J228" s="2" t="s">
        <v>1027</v>
      </c>
      <c r="K228" s="2" t="s">
        <v>1044</v>
      </c>
      <c r="L228" t="s">
        <v>1018</v>
      </c>
      <c r="M228" s="2" t="s">
        <v>1024</v>
      </c>
      <c r="N228">
        <v>4</v>
      </c>
    </row>
    <row r="229" spans="1:14" x14ac:dyDescent="0.3">
      <c r="A229" t="s">
        <v>394</v>
      </c>
      <c r="B229">
        <v>33</v>
      </c>
      <c r="C229" s="2" t="s">
        <v>1020</v>
      </c>
      <c r="D229" s="2" t="s">
        <v>1021</v>
      </c>
      <c r="E229" s="2" t="s">
        <v>1069</v>
      </c>
      <c r="F229" s="1">
        <v>46084</v>
      </c>
      <c r="G229" s="1">
        <v>46091</v>
      </c>
      <c r="H229" s="2">
        <v>7</v>
      </c>
      <c r="I229" s="2">
        <v>98000</v>
      </c>
      <c r="J229" s="2" t="s">
        <v>1023</v>
      </c>
      <c r="K229" s="2" t="s">
        <v>1147</v>
      </c>
      <c r="L229" t="s">
        <v>1037</v>
      </c>
      <c r="M229" s="2" t="s">
        <v>1024</v>
      </c>
      <c r="N229">
        <v>2</v>
      </c>
    </row>
    <row r="230" spans="1:14" x14ac:dyDescent="0.3">
      <c r="A230" t="s">
        <v>396</v>
      </c>
      <c r="B230">
        <v>76</v>
      </c>
      <c r="C230" s="2" t="s">
        <v>1014</v>
      </c>
      <c r="D230" s="2" t="s">
        <v>1025</v>
      </c>
      <c r="E230" s="2" t="s">
        <v>1091</v>
      </c>
      <c r="F230" s="1">
        <v>46086</v>
      </c>
      <c r="G230" s="1">
        <v>46101</v>
      </c>
      <c r="H230" s="2">
        <v>15</v>
      </c>
      <c r="I230" s="2">
        <v>250000</v>
      </c>
      <c r="J230" s="2" t="s">
        <v>1027</v>
      </c>
      <c r="K230" s="2" t="s">
        <v>1046</v>
      </c>
      <c r="L230" t="s">
        <v>1037</v>
      </c>
      <c r="M230" s="2" t="s">
        <v>1024</v>
      </c>
      <c r="N230">
        <v>2</v>
      </c>
    </row>
    <row r="231" spans="1:14" x14ac:dyDescent="0.3">
      <c r="A231" t="s">
        <v>399</v>
      </c>
      <c r="B231">
        <v>24</v>
      </c>
      <c r="C231" s="2" t="s">
        <v>1020</v>
      </c>
      <c r="D231" s="2" t="s">
        <v>1124</v>
      </c>
      <c r="E231" s="2" t="s">
        <v>1125</v>
      </c>
      <c r="F231" s="1">
        <v>46089</v>
      </c>
      <c r="G231" s="1">
        <v>46100</v>
      </c>
      <c r="H231" s="2">
        <v>11</v>
      </c>
      <c r="I231" s="2">
        <v>140000</v>
      </c>
      <c r="J231" s="2" t="s">
        <v>1017</v>
      </c>
      <c r="K231" s="2" t="s">
        <v>1044</v>
      </c>
      <c r="L231" t="s">
        <v>1018</v>
      </c>
      <c r="M231" s="2" t="s">
        <v>1024</v>
      </c>
      <c r="N231">
        <v>5</v>
      </c>
    </row>
    <row r="232" spans="1:14" x14ac:dyDescent="0.3">
      <c r="A232" t="s">
        <v>400</v>
      </c>
      <c r="B232">
        <v>54</v>
      </c>
      <c r="C232" s="2" t="s">
        <v>1020</v>
      </c>
      <c r="D232" s="2" t="s">
        <v>1015</v>
      </c>
      <c r="E232" s="2" t="s">
        <v>1016</v>
      </c>
      <c r="F232" s="1">
        <v>46090</v>
      </c>
      <c r="G232" s="1">
        <v>46096</v>
      </c>
      <c r="H232" s="2">
        <v>6</v>
      </c>
      <c r="I232" s="2">
        <v>120000</v>
      </c>
      <c r="J232" s="2" t="s">
        <v>1017</v>
      </c>
      <c r="K232" s="2" t="s">
        <v>1052</v>
      </c>
      <c r="L232" t="s">
        <v>1037</v>
      </c>
      <c r="M232" s="2" t="s">
        <v>1024</v>
      </c>
      <c r="N232">
        <v>4</v>
      </c>
    </row>
    <row r="233" spans="1:14" x14ac:dyDescent="0.3">
      <c r="A233" t="s">
        <v>404</v>
      </c>
      <c r="B233">
        <v>21</v>
      </c>
      <c r="C233" s="2" t="s">
        <v>1014</v>
      </c>
      <c r="D233" s="2" t="s">
        <v>1015</v>
      </c>
      <c r="E233" s="2" t="s">
        <v>1016</v>
      </c>
      <c r="F233" s="1">
        <v>46094</v>
      </c>
      <c r="G233" s="1">
        <v>46101</v>
      </c>
      <c r="H233" s="2">
        <v>7</v>
      </c>
      <c r="I233" s="2">
        <v>76000</v>
      </c>
      <c r="J233" s="2" t="s">
        <v>1027</v>
      </c>
      <c r="K233" s="2" t="s">
        <v>1052</v>
      </c>
      <c r="L233" t="s">
        <v>1037</v>
      </c>
      <c r="M233" s="2" t="s">
        <v>1024</v>
      </c>
      <c r="N233">
        <v>2</v>
      </c>
    </row>
    <row r="234" spans="1:14" x14ac:dyDescent="0.3">
      <c r="A234" t="s">
        <v>405</v>
      </c>
      <c r="B234">
        <v>98</v>
      </c>
      <c r="C234" s="2" t="s">
        <v>1020</v>
      </c>
      <c r="D234" s="2" t="s">
        <v>1025</v>
      </c>
      <c r="E234" s="2" t="s">
        <v>1062</v>
      </c>
      <c r="F234" s="1">
        <v>46095</v>
      </c>
      <c r="G234" s="1">
        <v>46106</v>
      </c>
      <c r="H234" s="2">
        <v>11</v>
      </c>
      <c r="I234" s="2">
        <v>99000</v>
      </c>
      <c r="J234" s="2" t="s">
        <v>1027</v>
      </c>
      <c r="K234" s="2" t="s">
        <v>1046</v>
      </c>
      <c r="L234" t="s">
        <v>1037</v>
      </c>
      <c r="M234" s="2" t="s">
        <v>1024</v>
      </c>
      <c r="N234">
        <v>3</v>
      </c>
    </row>
    <row r="235" spans="1:14" x14ac:dyDescent="0.3">
      <c r="A235" t="s">
        <v>407</v>
      </c>
      <c r="B235">
        <v>24</v>
      </c>
      <c r="C235" s="2" t="s">
        <v>1014</v>
      </c>
      <c r="D235" s="2" t="s">
        <v>1029</v>
      </c>
      <c r="E235" s="2" t="s">
        <v>1030</v>
      </c>
      <c r="F235" s="1">
        <v>46097</v>
      </c>
      <c r="G235" s="1">
        <v>46102</v>
      </c>
      <c r="H235" s="2">
        <v>5</v>
      </c>
      <c r="I235" s="2">
        <v>98000</v>
      </c>
      <c r="J235" s="2" t="s">
        <v>1027</v>
      </c>
      <c r="K235" s="2" t="s">
        <v>1033</v>
      </c>
      <c r="L235" t="s">
        <v>1018</v>
      </c>
      <c r="M235" s="2" t="s">
        <v>1024</v>
      </c>
      <c r="N235">
        <v>5</v>
      </c>
    </row>
    <row r="236" spans="1:14" x14ac:dyDescent="0.3">
      <c r="A236" t="s">
        <v>410</v>
      </c>
      <c r="B236">
        <v>65</v>
      </c>
      <c r="C236" s="2" t="s">
        <v>1014</v>
      </c>
      <c r="D236" s="2" t="s">
        <v>1029</v>
      </c>
      <c r="E236" s="2" t="s">
        <v>1030</v>
      </c>
      <c r="F236" s="1">
        <v>46100</v>
      </c>
      <c r="G236" s="1">
        <v>46106</v>
      </c>
      <c r="H236" s="2">
        <v>6</v>
      </c>
      <c r="I236" s="2">
        <v>150000</v>
      </c>
      <c r="J236" s="2" t="s">
        <v>1023</v>
      </c>
      <c r="K236" s="2" t="s">
        <v>1033</v>
      </c>
      <c r="L236" t="s">
        <v>1018</v>
      </c>
      <c r="M236" s="2" t="s">
        <v>1024</v>
      </c>
      <c r="N236">
        <v>5</v>
      </c>
    </row>
    <row r="237" spans="1:14" x14ac:dyDescent="0.3">
      <c r="A237" t="s">
        <v>421</v>
      </c>
      <c r="B237">
        <v>67</v>
      </c>
      <c r="C237" s="2" t="s">
        <v>1020</v>
      </c>
      <c r="D237" s="2" t="s">
        <v>1015</v>
      </c>
      <c r="E237" s="2" t="s">
        <v>1148</v>
      </c>
      <c r="F237" s="1">
        <v>46111</v>
      </c>
      <c r="G237" s="1">
        <v>46122</v>
      </c>
      <c r="H237" s="2">
        <v>11</v>
      </c>
      <c r="I237" s="2">
        <v>56789</v>
      </c>
      <c r="J237" s="2" t="s">
        <v>1027</v>
      </c>
      <c r="K237" s="2" t="s">
        <v>1052</v>
      </c>
      <c r="L237" t="s">
        <v>1037</v>
      </c>
      <c r="M237" s="2" t="s">
        <v>1024</v>
      </c>
      <c r="N237">
        <v>3.5</v>
      </c>
    </row>
    <row r="238" spans="1:14" x14ac:dyDescent="0.3">
      <c r="A238" t="s">
        <v>422</v>
      </c>
      <c r="B238">
        <v>78</v>
      </c>
      <c r="C238" s="2" t="s">
        <v>1020</v>
      </c>
      <c r="D238" s="2" t="s">
        <v>1025</v>
      </c>
      <c r="E238" s="2" t="s">
        <v>1062</v>
      </c>
      <c r="F238" s="1">
        <v>46112</v>
      </c>
      <c r="G238" s="1">
        <v>46123</v>
      </c>
      <c r="H238" s="2">
        <v>11</v>
      </c>
      <c r="I238" s="2">
        <v>129000</v>
      </c>
      <c r="J238" s="2" t="s">
        <v>1027</v>
      </c>
      <c r="K238" s="2" t="s">
        <v>1046</v>
      </c>
      <c r="L238" t="s">
        <v>1018</v>
      </c>
      <c r="M238" s="2" t="s">
        <v>1024</v>
      </c>
      <c r="N238">
        <v>3.6</v>
      </c>
    </row>
    <row r="239" spans="1:14" x14ac:dyDescent="0.3">
      <c r="A239" t="s">
        <v>423</v>
      </c>
      <c r="B239">
        <v>89</v>
      </c>
      <c r="C239" s="2" t="s">
        <v>1014</v>
      </c>
      <c r="D239" s="2" t="s">
        <v>1021</v>
      </c>
      <c r="E239" s="2" t="s">
        <v>1149</v>
      </c>
      <c r="F239" s="1">
        <v>46113</v>
      </c>
      <c r="G239" s="1">
        <v>46122</v>
      </c>
      <c r="H239" s="2">
        <v>10</v>
      </c>
      <c r="I239" s="2">
        <v>156900</v>
      </c>
      <c r="J239" s="2" t="s">
        <v>1027</v>
      </c>
      <c r="K239" s="2" t="s">
        <v>1147</v>
      </c>
      <c r="L239" t="s">
        <v>1018</v>
      </c>
      <c r="M239" s="2" t="s">
        <v>1024</v>
      </c>
      <c r="N239">
        <v>3.5</v>
      </c>
    </row>
    <row r="240" spans="1:14" x14ac:dyDescent="0.3">
      <c r="A240" t="s">
        <v>424</v>
      </c>
      <c r="B240">
        <v>9</v>
      </c>
      <c r="C240" s="2" t="s">
        <v>1014</v>
      </c>
      <c r="D240" s="2" t="s">
        <v>1031</v>
      </c>
      <c r="E240" s="2" t="s">
        <v>1034</v>
      </c>
      <c r="F240" s="1">
        <v>46114</v>
      </c>
      <c r="G240" s="1">
        <v>46127</v>
      </c>
      <c r="H240" s="2">
        <v>13</v>
      </c>
      <c r="I240" s="2">
        <v>150000</v>
      </c>
      <c r="J240" s="2" t="s">
        <v>1017</v>
      </c>
      <c r="K240" s="2" t="s">
        <v>1161</v>
      </c>
      <c r="L240" t="s">
        <v>1037</v>
      </c>
      <c r="M240" s="2" t="s">
        <v>1024</v>
      </c>
      <c r="N240">
        <v>1</v>
      </c>
    </row>
    <row r="241" spans="1:14" x14ac:dyDescent="0.3">
      <c r="A241" t="s">
        <v>425</v>
      </c>
      <c r="B241">
        <v>90</v>
      </c>
      <c r="C241" s="2" t="s">
        <v>1020</v>
      </c>
      <c r="D241" s="2" t="s">
        <v>1025</v>
      </c>
      <c r="E241" s="2" t="s">
        <v>1150</v>
      </c>
      <c r="F241" s="1">
        <v>46115</v>
      </c>
      <c r="G241" s="1">
        <v>46132</v>
      </c>
      <c r="H241" s="2">
        <v>17</v>
      </c>
      <c r="I241" s="2">
        <v>167000</v>
      </c>
      <c r="J241" s="2" t="s">
        <v>1017</v>
      </c>
      <c r="K241" s="2" t="s">
        <v>1046</v>
      </c>
      <c r="L241" t="s">
        <v>1018</v>
      </c>
      <c r="M241" s="2" t="s">
        <v>1024</v>
      </c>
      <c r="N241">
        <v>3.7</v>
      </c>
    </row>
    <row r="242" spans="1:14" x14ac:dyDescent="0.3">
      <c r="A242" t="s">
        <v>426</v>
      </c>
      <c r="B242">
        <v>8</v>
      </c>
      <c r="C242" s="2" t="s">
        <v>1014</v>
      </c>
      <c r="D242" s="2" t="s">
        <v>1039</v>
      </c>
      <c r="E242" s="2" t="s">
        <v>1137</v>
      </c>
      <c r="F242" s="1">
        <v>46116</v>
      </c>
      <c r="G242" s="1">
        <v>46120</v>
      </c>
      <c r="H242" s="2">
        <v>4</v>
      </c>
      <c r="I242" s="2">
        <v>15000</v>
      </c>
      <c r="J242" s="2" t="s">
        <v>1027</v>
      </c>
      <c r="K242" s="2" t="s">
        <v>1059</v>
      </c>
      <c r="L242" t="s">
        <v>1037</v>
      </c>
      <c r="M242" s="2" t="s">
        <v>1024</v>
      </c>
      <c r="N242">
        <v>3</v>
      </c>
    </row>
    <row r="243" spans="1:14" x14ac:dyDescent="0.3">
      <c r="A243" t="s">
        <v>428</v>
      </c>
      <c r="B243">
        <v>7</v>
      </c>
      <c r="C243" s="2" t="s">
        <v>1020</v>
      </c>
      <c r="D243" s="2" t="s">
        <v>1015</v>
      </c>
      <c r="E243" s="2" t="s">
        <v>1117</v>
      </c>
      <c r="F243" s="1">
        <v>46118</v>
      </c>
      <c r="G243" s="1">
        <v>46122</v>
      </c>
      <c r="H243" s="2">
        <v>4</v>
      </c>
      <c r="I243" s="2">
        <v>178000</v>
      </c>
      <c r="J243" s="2" t="s">
        <v>1017</v>
      </c>
      <c r="K243" s="2" t="s">
        <v>1052</v>
      </c>
      <c r="L243" t="s">
        <v>1018</v>
      </c>
      <c r="M243" s="2" t="s">
        <v>1024</v>
      </c>
      <c r="N243">
        <v>5</v>
      </c>
    </row>
    <row r="244" spans="1:14" x14ac:dyDescent="0.3">
      <c r="A244" t="s">
        <v>429</v>
      </c>
      <c r="B244">
        <v>76</v>
      </c>
      <c r="C244" s="2" t="s">
        <v>1020</v>
      </c>
      <c r="D244" s="2" t="s">
        <v>1021</v>
      </c>
      <c r="E244" s="2" t="s">
        <v>1080</v>
      </c>
      <c r="F244" s="1">
        <v>46119</v>
      </c>
      <c r="G244" s="1">
        <v>46127</v>
      </c>
      <c r="H244" s="2">
        <v>8</v>
      </c>
      <c r="I244" s="2">
        <v>189000</v>
      </c>
      <c r="J244" s="2" t="s">
        <v>1017</v>
      </c>
      <c r="K244" s="2" t="s">
        <v>1147</v>
      </c>
      <c r="L244" t="s">
        <v>1018</v>
      </c>
      <c r="M244" s="2" t="s">
        <v>1024</v>
      </c>
      <c r="N244">
        <v>4</v>
      </c>
    </row>
    <row r="245" spans="1:14" x14ac:dyDescent="0.3">
      <c r="A245" t="s">
        <v>430</v>
      </c>
      <c r="B245">
        <v>67</v>
      </c>
      <c r="C245" s="2" t="s">
        <v>1020</v>
      </c>
      <c r="D245" s="2" t="s">
        <v>1021</v>
      </c>
      <c r="E245" s="2" t="s">
        <v>1139</v>
      </c>
      <c r="F245" s="1">
        <v>46120</v>
      </c>
      <c r="G245" s="1">
        <v>46132</v>
      </c>
      <c r="H245" s="2">
        <v>12</v>
      </c>
      <c r="I245" s="2">
        <v>179000</v>
      </c>
      <c r="J245" s="2" t="s">
        <v>1017</v>
      </c>
      <c r="K245" s="2" t="s">
        <v>1147</v>
      </c>
      <c r="L245" t="s">
        <v>1037</v>
      </c>
      <c r="M245" s="2" t="s">
        <v>1024</v>
      </c>
      <c r="N245">
        <v>5</v>
      </c>
    </row>
    <row r="246" spans="1:14" x14ac:dyDescent="0.3">
      <c r="A246" t="s">
        <v>432</v>
      </c>
      <c r="B246">
        <v>65</v>
      </c>
      <c r="C246" s="2" t="s">
        <v>1020</v>
      </c>
      <c r="D246" s="2" t="s">
        <v>1029</v>
      </c>
      <c r="E246" s="2" t="s">
        <v>1030</v>
      </c>
      <c r="F246" s="1">
        <v>46122</v>
      </c>
      <c r="G246" s="1">
        <v>46127</v>
      </c>
      <c r="H246" s="2">
        <v>5</v>
      </c>
      <c r="I246" s="2">
        <v>167000</v>
      </c>
      <c r="J246" s="2" t="s">
        <v>1017</v>
      </c>
      <c r="K246" s="2" t="s">
        <v>1033</v>
      </c>
      <c r="L246" t="s">
        <v>1037</v>
      </c>
      <c r="M246" s="2" t="s">
        <v>1024</v>
      </c>
      <c r="N246">
        <v>4</v>
      </c>
    </row>
    <row r="247" spans="1:14" x14ac:dyDescent="0.3">
      <c r="A247" t="s">
        <v>434</v>
      </c>
      <c r="B247">
        <v>54</v>
      </c>
      <c r="C247" s="2" t="s">
        <v>1020</v>
      </c>
      <c r="D247" s="2" t="s">
        <v>1021</v>
      </c>
      <c r="E247" s="2" t="s">
        <v>1022</v>
      </c>
      <c r="F247" s="1">
        <v>46124</v>
      </c>
      <c r="G247" s="1">
        <v>46131</v>
      </c>
      <c r="H247" s="2">
        <v>7</v>
      </c>
      <c r="I247" s="2">
        <v>156000</v>
      </c>
      <c r="J247" s="2" t="s">
        <v>1017</v>
      </c>
      <c r="K247" s="2" t="s">
        <v>1147</v>
      </c>
      <c r="L247" t="s">
        <v>1037</v>
      </c>
      <c r="M247" s="2" t="s">
        <v>1024</v>
      </c>
      <c r="N247">
        <v>2</v>
      </c>
    </row>
    <row r="248" spans="1:14" x14ac:dyDescent="0.3">
      <c r="A248" t="s">
        <v>436</v>
      </c>
      <c r="B248">
        <v>32</v>
      </c>
      <c r="C248" s="2" t="s">
        <v>1014</v>
      </c>
      <c r="D248" s="2" t="s">
        <v>1021</v>
      </c>
      <c r="E248" s="2" t="s">
        <v>1139</v>
      </c>
      <c r="F248" s="1">
        <v>46126</v>
      </c>
      <c r="G248" s="1">
        <v>46132</v>
      </c>
      <c r="H248" s="2">
        <v>6</v>
      </c>
      <c r="I248" s="2">
        <v>178000</v>
      </c>
      <c r="J248" s="2" t="s">
        <v>1017</v>
      </c>
      <c r="K248" s="2" t="s">
        <v>1147</v>
      </c>
      <c r="L248" t="s">
        <v>1037</v>
      </c>
      <c r="M248" s="2" t="s">
        <v>1024</v>
      </c>
      <c r="N248">
        <v>4</v>
      </c>
    </row>
    <row r="249" spans="1:14" x14ac:dyDescent="0.3">
      <c r="A249" t="s">
        <v>438</v>
      </c>
      <c r="B249">
        <v>56</v>
      </c>
      <c r="C249" s="2" t="s">
        <v>1014</v>
      </c>
      <c r="D249" s="2" t="s">
        <v>1021</v>
      </c>
      <c r="E249" s="2" t="s">
        <v>1118</v>
      </c>
      <c r="F249" s="1">
        <v>46128</v>
      </c>
      <c r="G249" s="1">
        <v>46139</v>
      </c>
      <c r="H249" s="2">
        <v>11</v>
      </c>
      <c r="I249" s="2">
        <v>187000</v>
      </c>
      <c r="J249" s="2" t="s">
        <v>1017</v>
      </c>
      <c r="K249" s="2" t="s">
        <v>1147</v>
      </c>
      <c r="L249" t="s">
        <v>1018</v>
      </c>
      <c r="M249" s="2" t="s">
        <v>1024</v>
      </c>
      <c r="N249">
        <v>4</v>
      </c>
    </row>
    <row r="250" spans="1:14" x14ac:dyDescent="0.3">
      <c r="A250" t="s">
        <v>440</v>
      </c>
      <c r="B250">
        <v>87</v>
      </c>
      <c r="C250" s="2" t="s">
        <v>1020</v>
      </c>
      <c r="D250" s="2" t="s">
        <v>1021</v>
      </c>
      <c r="E250" s="2" t="s">
        <v>1140</v>
      </c>
      <c r="F250" s="1">
        <v>46130</v>
      </c>
      <c r="G250" s="1">
        <v>46141</v>
      </c>
      <c r="H250" s="2">
        <v>11</v>
      </c>
      <c r="I250" s="2">
        <v>256789</v>
      </c>
      <c r="J250" s="2" t="s">
        <v>1017</v>
      </c>
      <c r="K250" s="2" t="s">
        <v>1147</v>
      </c>
      <c r="L250" t="s">
        <v>1018</v>
      </c>
      <c r="M250" s="2" t="s">
        <v>1024</v>
      </c>
      <c r="N250">
        <v>4</v>
      </c>
    </row>
    <row r="251" spans="1:14" x14ac:dyDescent="0.3">
      <c r="A251" t="s">
        <v>458</v>
      </c>
      <c r="B251">
        <v>87</v>
      </c>
      <c r="C251" s="2" t="s">
        <v>1014</v>
      </c>
      <c r="D251" s="2" t="s">
        <v>1021</v>
      </c>
      <c r="E251" s="2" t="s">
        <v>1162</v>
      </c>
      <c r="F251" s="1">
        <v>46148</v>
      </c>
      <c r="G251" s="1">
        <v>46152</v>
      </c>
      <c r="H251" s="2">
        <v>4</v>
      </c>
      <c r="I251" s="2">
        <v>78000</v>
      </c>
      <c r="J251" s="2" t="s">
        <v>1027</v>
      </c>
      <c r="K251" s="2" t="s">
        <v>1147</v>
      </c>
      <c r="L251" t="s">
        <v>1018</v>
      </c>
      <c r="M251" s="2" t="s">
        <v>1024</v>
      </c>
      <c r="N251">
        <v>4.3</v>
      </c>
    </row>
    <row r="252" spans="1:14" x14ac:dyDescent="0.3">
      <c r="A252" t="s">
        <v>464</v>
      </c>
      <c r="B252">
        <v>45</v>
      </c>
      <c r="C252" s="2" t="s">
        <v>1020</v>
      </c>
      <c r="D252" s="2" t="s">
        <v>1031</v>
      </c>
      <c r="E252" s="2" t="s">
        <v>1054</v>
      </c>
      <c r="F252" s="1">
        <v>46154</v>
      </c>
      <c r="G252" s="1">
        <v>46162</v>
      </c>
      <c r="H252" s="2">
        <v>8</v>
      </c>
      <c r="I252" s="2">
        <v>156789</v>
      </c>
      <c r="J252" s="2" t="s">
        <v>1027</v>
      </c>
      <c r="K252" s="2" t="s">
        <v>1161</v>
      </c>
      <c r="L252" t="s">
        <v>1037</v>
      </c>
      <c r="M252" s="2" t="s">
        <v>1024</v>
      </c>
      <c r="N252">
        <v>5</v>
      </c>
    </row>
    <row r="253" spans="1:14" x14ac:dyDescent="0.3">
      <c r="A253" t="s">
        <v>466</v>
      </c>
      <c r="B253">
        <v>56</v>
      </c>
      <c r="C253" s="2" t="s">
        <v>1020</v>
      </c>
      <c r="D253" s="2" t="s">
        <v>1031</v>
      </c>
      <c r="E253" s="2" t="s">
        <v>1054</v>
      </c>
      <c r="F253" s="1">
        <v>46156</v>
      </c>
      <c r="G253" s="1">
        <v>46162</v>
      </c>
      <c r="H253" s="2">
        <v>5</v>
      </c>
      <c r="I253" s="2">
        <v>145000</v>
      </c>
      <c r="J253" s="2" t="s">
        <v>1027</v>
      </c>
      <c r="K253" s="2" t="s">
        <v>1161</v>
      </c>
      <c r="L253" t="s">
        <v>1037</v>
      </c>
      <c r="M253" s="2" t="s">
        <v>1024</v>
      </c>
      <c r="N253">
        <v>4</v>
      </c>
    </row>
    <row r="254" spans="1:14" x14ac:dyDescent="0.3">
      <c r="A254" t="s">
        <v>473</v>
      </c>
      <c r="B254">
        <v>78</v>
      </c>
      <c r="C254" s="2" t="s">
        <v>1014</v>
      </c>
      <c r="D254" s="2" t="s">
        <v>1031</v>
      </c>
      <c r="E254" s="2" t="s">
        <v>1145</v>
      </c>
      <c r="F254" s="1">
        <v>46160</v>
      </c>
      <c r="G254" s="1">
        <v>46171</v>
      </c>
      <c r="H254" s="2">
        <v>11</v>
      </c>
      <c r="I254" s="2">
        <v>156000</v>
      </c>
      <c r="J254" s="2" t="s">
        <v>1027</v>
      </c>
      <c r="K254" s="2" t="s">
        <v>1161</v>
      </c>
      <c r="L254" t="s">
        <v>1018</v>
      </c>
      <c r="M254" s="2" t="s">
        <v>1024</v>
      </c>
      <c r="N254">
        <v>2</v>
      </c>
    </row>
    <row r="255" spans="1:14" x14ac:dyDescent="0.3">
      <c r="A255" t="s">
        <v>474</v>
      </c>
      <c r="B255">
        <v>67</v>
      </c>
      <c r="C255" s="2" t="s">
        <v>1014</v>
      </c>
      <c r="D255" s="2" t="s">
        <v>1031</v>
      </c>
      <c r="E255" s="2" t="s">
        <v>1054</v>
      </c>
      <c r="F255" s="1">
        <v>46161</v>
      </c>
      <c r="G255" s="1">
        <v>46162</v>
      </c>
      <c r="H255" s="2">
        <v>1</v>
      </c>
      <c r="I255" s="2">
        <v>67899</v>
      </c>
      <c r="J255" s="2" t="s">
        <v>1027</v>
      </c>
      <c r="K255" s="2" t="s">
        <v>1161</v>
      </c>
      <c r="L255" t="s">
        <v>1018</v>
      </c>
      <c r="M255" t="s">
        <v>1024</v>
      </c>
      <c r="N255">
        <v>3</v>
      </c>
    </row>
    <row r="256" spans="1:14" x14ac:dyDescent="0.3">
      <c r="A256" t="s">
        <v>475</v>
      </c>
      <c r="B256">
        <v>56</v>
      </c>
      <c r="C256" s="2" t="s">
        <v>1014</v>
      </c>
      <c r="D256" s="2" t="s">
        <v>1031</v>
      </c>
      <c r="E256" s="2" t="s">
        <v>1034</v>
      </c>
      <c r="F256" s="1">
        <v>46162</v>
      </c>
      <c r="G256" s="1">
        <v>46172</v>
      </c>
      <c r="H256" s="2">
        <v>10</v>
      </c>
      <c r="I256" s="2">
        <v>78900</v>
      </c>
      <c r="J256" s="2" t="s">
        <v>1027</v>
      </c>
      <c r="K256" s="2" t="s">
        <v>1161</v>
      </c>
      <c r="L256" t="s">
        <v>1037</v>
      </c>
      <c r="M256" s="2" t="s">
        <v>1024</v>
      </c>
      <c r="N256">
        <v>4</v>
      </c>
    </row>
    <row r="257" spans="1:14" x14ac:dyDescent="0.3">
      <c r="A257" t="s">
        <v>476</v>
      </c>
      <c r="B257">
        <v>54</v>
      </c>
      <c r="C257" s="2" t="s">
        <v>1020</v>
      </c>
      <c r="D257" s="2" t="s">
        <v>1031</v>
      </c>
      <c r="E257" s="2" t="s">
        <v>1053</v>
      </c>
      <c r="F257" s="1">
        <v>46163</v>
      </c>
      <c r="G257" s="1">
        <v>46172</v>
      </c>
      <c r="H257" s="2">
        <v>9</v>
      </c>
      <c r="I257" s="2">
        <v>134900</v>
      </c>
      <c r="J257" s="2" t="s">
        <v>1027</v>
      </c>
      <c r="K257" s="2" t="s">
        <v>1161</v>
      </c>
      <c r="L257" t="s">
        <v>1018</v>
      </c>
      <c r="M257" t="s">
        <v>1024</v>
      </c>
      <c r="N257">
        <v>5</v>
      </c>
    </row>
    <row r="258" spans="1:14" x14ac:dyDescent="0.3">
      <c r="A258" t="s">
        <v>477</v>
      </c>
      <c r="B258">
        <v>55</v>
      </c>
      <c r="C258" s="2" t="s">
        <v>1020</v>
      </c>
      <c r="D258" s="2" t="s">
        <v>1031</v>
      </c>
      <c r="E258" s="2" t="s">
        <v>1054</v>
      </c>
      <c r="F258" s="1">
        <v>46164</v>
      </c>
      <c r="G258" s="1">
        <v>46173</v>
      </c>
      <c r="H258" s="2">
        <v>9</v>
      </c>
      <c r="I258" s="2">
        <v>150000</v>
      </c>
      <c r="J258" s="2" t="s">
        <v>1027</v>
      </c>
      <c r="K258" s="2" t="s">
        <v>1161</v>
      </c>
      <c r="L258" t="s">
        <v>1037</v>
      </c>
      <c r="M258" s="2" t="s">
        <v>1024</v>
      </c>
      <c r="N258">
        <v>5</v>
      </c>
    </row>
    <row r="259" spans="1:14" x14ac:dyDescent="0.3">
      <c r="A259" t="s">
        <v>479</v>
      </c>
      <c r="B259">
        <v>65</v>
      </c>
      <c r="C259" s="2" t="s">
        <v>1020</v>
      </c>
      <c r="D259" s="2" t="s">
        <v>1031</v>
      </c>
      <c r="E259" s="2" t="s">
        <v>1054</v>
      </c>
      <c r="F259" s="1">
        <v>46166</v>
      </c>
      <c r="G259" s="1">
        <v>46170</v>
      </c>
      <c r="H259" s="2">
        <v>4</v>
      </c>
      <c r="I259" s="2">
        <v>120000</v>
      </c>
      <c r="J259" s="2" t="s">
        <v>1027</v>
      </c>
      <c r="K259" s="2" t="s">
        <v>1161</v>
      </c>
      <c r="L259" t="s">
        <v>1037</v>
      </c>
      <c r="M259" s="2" t="s">
        <v>1024</v>
      </c>
      <c r="N259">
        <v>4</v>
      </c>
    </row>
    <row r="260" spans="1:14" x14ac:dyDescent="0.3">
      <c r="A260" t="s">
        <v>480</v>
      </c>
      <c r="B260">
        <v>34</v>
      </c>
      <c r="C260" s="2" t="s">
        <v>1020</v>
      </c>
      <c r="D260" s="2" t="s">
        <v>1031</v>
      </c>
      <c r="E260" s="2" t="s">
        <v>1054</v>
      </c>
      <c r="F260" s="1">
        <v>46167</v>
      </c>
      <c r="G260" s="1">
        <v>45809</v>
      </c>
      <c r="H260" s="2">
        <v>7</v>
      </c>
      <c r="I260" s="2">
        <v>150000</v>
      </c>
      <c r="J260" s="2" t="s">
        <v>1027</v>
      </c>
      <c r="K260" s="2" t="s">
        <v>1161</v>
      </c>
      <c r="L260" t="s">
        <v>1037</v>
      </c>
      <c r="M260" t="s">
        <v>1024</v>
      </c>
      <c r="N260">
        <v>4</v>
      </c>
    </row>
    <row r="261" spans="1:14" x14ac:dyDescent="0.3">
      <c r="A261" t="s">
        <v>481</v>
      </c>
      <c r="B261">
        <v>45</v>
      </c>
      <c r="C261" s="2" t="s">
        <v>1020</v>
      </c>
      <c r="D261" s="2" t="s">
        <v>1031</v>
      </c>
      <c r="E261" s="2" t="s">
        <v>1053</v>
      </c>
      <c r="F261" s="1">
        <v>46168</v>
      </c>
      <c r="G261" s="1">
        <v>45810</v>
      </c>
      <c r="H261" s="2">
        <v>7</v>
      </c>
      <c r="I261" s="2">
        <v>49000</v>
      </c>
      <c r="J261" s="2" t="s">
        <v>1027</v>
      </c>
      <c r="K261" s="2" t="s">
        <v>1161</v>
      </c>
      <c r="L261" t="s">
        <v>1037</v>
      </c>
      <c r="M261" s="2" t="s">
        <v>1024</v>
      </c>
      <c r="N261">
        <v>4</v>
      </c>
    </row>
    <row r="262" spans="1:14" x14ac:dyDescent="0.3">
      <c r="A262" t="s">
        <v>506</v>
      </c>
      <c r="B262">
        <v>24</v>
      </c>
      <c r="C262" t="s">
        <v>1020</v>
      </c>
      <c r="D262" s="2" t="s">
        <v>1039</v>
      </c>
      <c r="E262" t="s">
        <v>1137</v>
      </c>
      <c r="F262" s="1">
        <v>46193</v>
      </c>
      <c r="G262" s="1">
        <v>46212</v>
      </c>
      <c r="H262" s="2">
        <v>19</v>
      </c>
      <c r="I262" s="2">
        <v>100000</v>
      </c>
      <c r="J262" s="2" t="s">
        <v>1027</v>
      </c>
      <c r="K262" t="s">
        <v>1059</v>
      </c>
      <c r="L262" t="s">
        <v>1018</v>
      </c>
      <c r="M262" t="s">
        <v>1024</v>
      </c>
      <c r="N262">
        <v>5</v>
      </c>
    </row>
    <row r="263" spans="1:14" x14ac:dyDescent="0.3">
      <c r="A263" t="s">
        <v>507</v>
      </c>
      <c r="B263">
        <v>54</v>
      </c>
      <c r="C263" t="s">
        <v>1020</v>
      </c>
      <c r="D263" s="2" t="s">
        <v>1039</v>
      </c>
      <c r="E263" t="s">
        <v>1164</v>
      </c>
      <c r="F263" s="1">
        <v>46194</v>
      </c>
      <c r="G263" s="1">
        <v>46213</v>
      </c>
      <c r="H263" s="2">
        <v>19</v>
      </c>
      <c r="I263" s="2">
        <v>13000</v>
      </c>
      <c r="J263" s="2" t="s">
        <v>1027</v>
      </c>
      <c r="K263" t="s">
        <v>1059</v>
      </c>
      <c r="L263" t="s">
        <v>1037</v>
      </c>
      <c r="M263" s="2" t="s">
        <v>1024</v>
      </c>
      <c r="N263">
        <v>4</v>
      </c>
    </row>
    <row r="264" spans="1:14" x14ac:dyDescent="0.3">
      <c r="A264" t="s">
        <v>508</v>
      </c>
      <c r="B264">
        <v>3</v>
      </c>
      <c r="C264" t="s">
        <v>1020</v>
      </c>
      <c r="D264" s="2" t="s">
        <v>1039</v>
      </c>
      <c r="E264" t="s">
        <v>1137</v>
      </c>
      <c r="F264" s="1">
        <v>46195</v>
      </c>
      <c r="G264" s="1">
        <v>46214</v>
      </c>
      <c r="H264" s="2">
        <v>19</v>
      </c>
      <c r="I264" s="2">
        <v>21000</v>
      </c>
      <c r="J264" s="2" t="s">
        <v>1027</v>
      </c>
      <c r="K264" t="s">
        <v>1059</v>
      </c>
      <c r="L264" t="s">
        <v>1018</v>
      </c>
      <c r="M264" t="s">
        <v>1024</v>
      </c>
    </row>
    <row r="265" spans="1:14" x14ac:dyDescent="0.3">
      <c r="A265" t="s">
        <v>509</v>
      </c>
      <c r="B265">
        <v>45</v>
      </c>
      <c r="C265" t="s">
        <v>1020</v>
      </c>
      <c r="D265" s="2" t="s">
        <v>1039</v>
      </c>
      <c r="E265" t="s">
        <v>1102</v>
      </c>
      <c r="F265" s="1">
        <v>46196</v>
      </c>
      <c r="G265" s="1">
        <v>46215</v>
      </c>
      <c r="H265" s="2">
        <v>19</v>
      </c>
      <c r="I265" s="2">
        <v>32000</v>
      </c>
      <c r="J265" s="2" t="s">
        <v>1027</v>
      </c>
      <c r="K265" t="s">
        <v>1059</v>
      </c>
      <c r="L265" t="s">
        <v>1037</v>
      </c>
      <c r="M265" s="2" t="s">
        <v>1024</v>
      </c>
      <c r="N265">
        <v>5</v>
      </c>
    </row>
    <row r="266" spans="1:14" x14ac:dyDescent="0.3">
      <c r="A266" t="s">
        <v>510</v>
      </c>
      <c r="B266">
        <v>44</v>
      </c>
      <c r="C266" t="s">
        <v>1014</v>
      </c>
      <c r="D266" s="2" t="s">
        <v>1039</v>
      </c>
      <c r="E266" t="s">
        <v>1165</v>
      </c>
      <c r="F266" s="1">
        <v>46197</v>
      </c>
      <c r="G266" s="1">
        <v>46216</v>
      </c>
      <c r="H266" s="2">
        <v>19</v>
      </c>
      <c r="I266" s="2">
        <v>42000</v>
      </c>
      <c r="J266" s="2" t="s">
        <v>1027</v>
      </c>
      <c r="K266" t="s">
        <v>1059</v>
      </c>
      <c r="L266" t="s">
        <v>1037</v>
      </c>
      <c r="M266" t="s">
        <v>1024</v>
      </c>
      <c r="N266">
        <v>3</v>
      </c>
    </row>
    <row r="267" spans="1:14" x14ac:dyDescent="0.3">
      <c r="A267" t="s">
        <v>511</v>
      </c>
      <c r="B267">
        <v>34</v>
      </c>
      <c r="C267" t="s">
        <v>1014</v>
      </c>
      <c r="D267" s="2" t="s">
        <v>1039</v>
      </c>
      <c r="E267" t="s">
        <v>1137</v>
      </c>
      <c r="F267" s="1">
        <v>46198</v>
      </c>
      <c r="G267" s="1">
        <v>46217</v>
      </c>
      <c r="H267" s="2">
        <v>19</v>
      </c>
      <c r="I267" s="2">
        <v>53000</v>
      </c>
      <c r="J267" s="2" t="s">
        <v>1027</v>
      </c>
      <c r="K267" t="s">
        <v>1059</v>
      </c>
      <c r="L267" t="s">
        <v>1037</v>
      </c>
      <c r="M267" s="2" t="s">
        <v>1024</v>
      </c>
      <c r="N267">
        <v>5</v>
      </c>
    </row>
    <row r="268" spans="1:14" x14ac:dyDescent="0.3">
      <c r="A268" t="s">
        <v>512</v>
      </c>
      <c r="B268">
        <v>21</v>
      </c>
      <c r="C268" t="s">
        <v>1020</v>
      </c>
      <c r="D268" s="2" t="s">
        <v>1039</v>
      </c>
      <c r="E268" t="s">
        <v>1165</v>
      </c>
      <c r="F268" s="1">
        <v>46199</v>
      </c>
      <c r="G268" s="1">
        <v>46218</v>
      </c>
      <c r="H268" s="2">
        <v>19</v>
      </c>
      <c r="I268" s="2">
        <v>56000</v>
      </c>
      <c r="J268" s="2" t="s">
        <v>1027</v>
      </c>
      <c r="K268" t="s">
        <v>1059</v>
      </c>
      <c r="L268" t="s">
        <v>1018</v>
      </c>
      <c r="M268" t="s">
        <v>1024</v>
      </c>
      <c r="N268">
        <v>4</v>
      </c>
    </row>
    <row r="269" spans="1:14" x14ac:dyDescent="0.3">
      <c r="A269" t="s">
        <v>513</v>
      </c>
      <c r="B269">
        <v>45</v>
      </c>
      <c r="C269" t="s">
        <v>1014</v>
      </c>
      <c r="D269" s="2" t="s">
        <v>1039</v>
      </c>
      <c r="E269" t="s">
        <v>1137</v>
      </c>
      <c r="F269" s="1">
        <v>46200</v>
      </c>
      <c r="G269" s="1">
        <v>46219</v>
      </c>
      <c r="H269" s="2">
        <v>19</v>
      </c>
      <c r="I269" s="2">
        <v>98000</v>
      </c>
      <c r="J269" s="2" t="s">
        <v>1027</v>
      </c>
      <c r="K269" t="s">
        <v>1059</v>
      </c>
      <c r="L269" t="s">
        <v>1018</v>
      </c>
      <c r="M269" s="2" t="s">
        <v>1024</v>
      </c>
      <c r="N269">
        <v>5</v>
      </c>
    </row>
    <row r="270" spans="1:14" x14ac:dyDescent="0.3">
      <c r="A270" t="s">
        <v>514</v>
      </c>
      <c r="B270">
        <v>44</v>
      </c>
      <c r="C270" t="s">
        <v>1020</v>
      </c>
      <c r="D270" s="2" t="s">
        <v>1039</v>
      </c>
      <c r="E270" t="s">
        <v>1137</v>
      </c>
      <c r="F270" s="1">
        <v>46201</v>
      </c>
      <c r="G270" s="1">
        <v>46220</v>
      </c>
      <c r="H270" s="2">
        <v>19</v>
      </c>
      <c r="I270" s="2">
        <v>78990</v>
      </c>
      <c r="J270" s="2" t="s">
        <v>1027</v>
      </c>
      <c r="K270" t="s">
        <v>1059</v>
      </c>
      <c r="L270" t="s">
        <v>1037</v>
      </c>
      <c r="M270" t="s">
        <v>1024</v>
      </c>
      <c r="N270">
        <v>4</v>
      </c>
    </row>
    <row r="271" spans="1:14" x14ac:dyDescent="0.3">
      <c r="A271" t="s">
        <v>515</v>
      </c>
      <c r="B271">
        <v>45</v>
      </c>
      <c r="C271" t="s">
        <v>1020</v>
      </c>
      <c r="D271" s="2" t="s">
        <v>1039</v>
      </c>
      <c r="E271" t="s">
        <v>1137</v>
      </c>
      <c r="F271" s="1">
        <v>46202</v>
      </c>
      <c r="G271" s="1">
        <v>46221</v>
      </c>
      <c r="H271" s="2">
        <v>19</v>
      </c>
      <c r="I271" s="2">
        <v>99900</v>
      </c>
      <c r="J271" s="2" t="s">
        <v>1027</v>
      </c>
      <c r="K271" t="s">
        <v>1059</v>
      </c>
      <c r="L271" t="s">
        <v>1018</v>
      </c>
      <c r="M271" s="2" t="s">
        <v>1024</v>
      </c>
      <c r="N271">
        <v>33</v>
      </c>
    </row>
    <row r="272" spans="1:14" x14ac:dyDescent="0.3">
      <c r="A272" t="s">
        <v>516</v>
      </c>
      <c r="B272">
        <v>46</v>
      </c>
      <c r="C272" t="s">
        <v>1020</v>
      </c>
      <c r="D272" s="2" t="s">
        <v>1039</v>
      </c>
      <c r="E272" t="s">
        <v>1137</v>
      </c>
      <c r="F272" s="1">
        <v>46203</v>
      </c>
      <c r="G272" s="1">
        <v>46222</v>
      </c>
      <c r="H272" s="2">
        <v>19</v>
      </c>
      <c r="I272" s="2">
        <v>23000</v>
      </c>
      <c r="J272" s="2" t="s">
        <v>1027</v>
      </c>
      <c r="K272" t="s">
        <v>1059</v>
      </c>
      <c r="L272" t="s">
        <v>1037</v>
      </c>
      <c r="M272" t="s">
        <v>1024</v>
      </c>
      <c r="N272">
        <v>2</v>
      </c>
    </row>
    <row r="273" spans="1:14" x14ac:dyDescent="0.3">
      <c r="A273" t="s">
        <v>517</v>
      </c>
      <c r="B273">
        <v>57</v>
      </c>
      <c r="C273" t="s">
        <v>1020</v>
      </c>
      <c r="D273" s="2" t="s">
        <v>1039</v>
      </c>
      <c r="E273" t="s">
        <v>1137</v>
      </c>
      <c r="F273" s="1">
        <v>46204</v>
      </c>
      <c r="G273" s="1">
        <v>46223</v>
      </c>
      <c r="H273" s="2">
        <v>19</v>
      </c>
      <c r="I273" s="2">
        <v>45000</v>
      </c>
      <c r="J273" s="2" t="s">
        <v>1027</v>
      </c>
      <c r="K273" t="s">
        <v>1059</v>
      </c>
      <c r="L273" t="s">
        <v>1037</v>
      </c>
      <c r="M273" s="2" t="s">
        <v>1024</v>
      </c>
    </row>
    <row r="274" spans="1:14" x14ac:dyDescent="0.3">
      <c r="A274" t="s">
        <v>518</v>
      </c>
      <c r="B274">
        <v>78</v>
      </c>
      <c r="C274" t="s">
        <v>1020</v>
      </c>
      <c r="D274" s="2" t="s">
        <v>1039</v>
      </c>
      <c r="E274" t="s">
        <v>1137</v>
      </c>
      <c r="F274" s="1">
        <v>46205</v>
      </c>
      <c r="G274" s="1">
        <v>46224</v>
      </c>
      <c r="H274" s="2">
        <v>19</v>
      </c>
      <c r="I274" s="2">
        <v>54000</v>
      </c>
      <c r="J274" s="2" t="s">
        <v>1027</v>
      </c>
      <c r="K274" t="s">
        <v>1059</v>
      </c>
      <c r="L274" t="s">
        <v>1018</v>
      </c>
      <c r="M274" t="s">
        <v>1024</v>
      </c>
      <c r="N274">
        <v>3</v>
      </c>
    </row>
    <row r="275" spans="1:14" x14ac:dyDescent="0.3">
      <c r="A275" t="s">
        <v>519</v>
      </c>
      <c r="B275">
        <v>67</v>
      </c>
      <c r="C275" t="s">
        <v>1020</v>
      </c>
      <c r="D275" s="2" t="s">
        <v>1039</v>
      </c>
      <c r="E275" t="s">
        <v>1137</v>
      </c>
      <c r="F275" s="1">
        <v>46206</v>
      </c>
      <c r="G275" s="1">
        <v>46225</v>
      </c>
      <c r="H275" s="2">
        <v>19</v>
      </c>
      <c r="I275" s="2">
        <v>43222</v>
      </c>
      <c r="J275" s="2" t="s">
        <v>1027</v>
      </c>
      <c r="K275" t="s">
        <v>1059</v>
      </c>
      <c r="L275" t="s">
        <v>1018</v>
      </c>
      <c r="M275" s="2" t="s">
        <v>1024</v>
      </c>
      <c r="N275">
        <v>4</v>
      </c>
    </row>
    <row r="276" spans="1:14" x14ac:dyDescent="0.3">
      <c r="A276" t="s">
        <v>536</v>
      </c>
      <c r="B276">
        <v>78</v>
      </c>
      <c r="C276" t="s">
        <v>1020</v>
      </c>
      <c r="D276" s="2" t="s">
        <v>1039</v>
      </c>
      <c r="E276" t="s">
        <v>1165</v>
      </c>
      <c r="F276" s="1">
        <v>46223</v>
      </c>
      <c r="G276" s="1">
        <v>46242</v>
      </c>
      <c r="H276" s="2">
        <v>19</v>
      </c>
      <c r="I276" s="2">
        <v>83000</v>
      </c>
      <c r="J276" s="2" t="s">
        <v>1023</v>
      </c>
      <c r="K276" t="s">
        <v>1059</v>
      </c>
      <c r="L276" t="s">
        <v>1018</v>
      </c>
      <c r="M276" t="s">
        <v>1024</v>
      </c>
      <c r="N276">
        <v>3</v>
      </c>
    </row>
    <row r="277" spans="1:14" x14ac:dyDescent="0.3">
      <c r="A277" t="s">
        <v>537</v>
      </c>
      <c r="B277">
        <v>78</v>
      </c>
      <c r="C277" t="s">
        <v>1020</v>
      </c>
      <c r="D277" s="2" t="s">
        <v>1039</v>
      </c>
      <c r="E277" t="s">
        <v>1165</v>
      </c>
      <c r="F277" s="1">
        <v>46224</v>
      </c>
      <c r="G277" s="1">
        <v>46243</v>
      </c>
      <c r="H277" s="2">
        <v>19</v>
      </c>
      <c r="I277" s="2">
        <v>12000</v>
      </c>
      <c r="J277" s="2" t="s">
        <v>1023</v>
      </c>
      <c r="K277" t="s">
        <v>1059</v>
      </c>
      <c r="L277" t="s">
        <v>1037</v>
      </c>
      <c r="M277" s="2" t="s">
        <v>1024</v>
      </c>
      <c r="N277">
        <v>4</v>
      </c>
    </row>
    <row r="278" spans="1:14" x14ac:dyDescent="0.3">
      <c r="A278" t="s">
        <v>538</v>
      </c>
      <c r="B278">
        <v>76</v>
      </c>
      <c r="C278" t="s">
        <v>1020</v>
      </c>
      <c r="D278" s="2" t="s">
        <v>1039</v>
      </c>
      <c r="E278" t="s">
        <v>1165</v>
      </c>
      <c r="F278" s="1">
        <v>46225</v>
      </c>
      <c r="G278" s="1">
        <v>46244</v>
      </c>
      <c r="H278" s="2">
        <v>19</v>
      </c>
      <c r="I278" s="2">
        <v>13000</v>
      </c>
      <c r="J278" s="2" t="s">
        <v>1023</v>
      </c>
      <c r="K278" t="s">
        <v>1059</v>
      </c>
      <c r="L278" t="s">
        <v>1018</v>
      </c>
      <c r="M278" t="s">
        <v>1024</v>
      </c>
      <c r="N278">
        <v>4</v>
      </c>
    </row>
    <row r="279" spans="1:14" x14ac:dyDescent="0.3">
      <c r="A279" t="s">
        <v>539</v>
      </c>
      <c r="B279">
        <v>54</v>
      </c>
      <c r="C279" t="s">
        <v>1020</v>
      </c>
      <c r="D279" s="2" t="s">
        <v>1039</v>
      </c>
      <c r="E279" t="s">
        <v>1165</v>
      </c>
      <c r="F279" s="1">
        <v>46226</v>
      </c>
      <c r="G279" s="1">
        <v>46245</v>
      </c>
      <c r="H279" s="2">
        <v>19</v>
      </c>
      <c r="I279" s="2">
        <v>67000</v>
      </c>
      <c r="J279" s="2" t="s">
        <v>1023</v>
      </c>
      <c r="K279" t="s">
        <v>1059</v>
      </c>
      <c r="L279" t="s">
        <v>1037</v>
      </c>
      <c r="M279" s="2" t="s">
        <v>1024</v>
      </c>
      <c r="N279">
        <v>4</v>
      </c>
    </row>
    <row r="280" spans="1:14" x14ac:dyDescent="0.3">
      <c r="A280" t="s">
        <v>540</v>
      </c>
      <c r="B280">
        <v>43</v>
      </c>
      <c r="C280" t="s">
        <v>1020</v>
      </c>
      <c r="D280" s="2" t="s">
        <v>1039</v>
      </c>
      <c r="E280" t="s">
        <v>1165</v>
      </c>
      <c r="F280" s="1">
        <v>46227</v>
      </c>
      <c r="G280" s="1">
        <v>46246</v>
      </c>
      <c r="H280" s="2">
        <v>19</v>
      </c>
      <c r="I280" s="2">
        <v>89000</v>
      </c>
      <c r="J280" s="2" t="s">
        <v>1023</v>
      </c>
      <c r="K280" t="s">
        <v>1059</v>
      </c>
      <c r="L280" t="s">
        <v>1037</v>
      </c>
      <c r="M280" s="2" t="s">
        <v>1024</v>
      </c>
      <c r="N280">
        <v>4</v>
      </c>
    </row>
    <row r="281" spans="1:14" x14ac:dyDescent="0.3">
      <c r="A281" t="s">
        <v>541</v>
      </c>
      <c r="B281">
        <v>32</v>
      </c>
      <c r="C281" t="s">
        <v>1020</v>
      </c>
      <c r="D281" s="2" t="s">
        <v>1039</v>
      </c>
      <c r="E281" t="s">
        <v>1165</v>
      </c>
      <c r="F281" s="1">
        <v>46228</v>
      </c>
      <c r="G281" s="1">
        <v>46247</v>
      </c>
      <c r="H281" s="2">
        <v>19</v>
      </c>
      <c r="I281" s="2">
        <v>87000</v>
      </c>
      <c r="J281" s="2" t="s">
        <v>1023</v>
      </c>
      <c r="K281" t="s">
        <v>1059</v>
      </c>
      <c r="L281" t="s">
        <v>1037</v>
      </c>
      <c r="M281" s="2" t="s">
        <v>1024</v>
      </c>
      <c r="N281">
        <v>4</v>
      </c>
    </row>
    <row r="282" spans="1:14" x14ac:dyDescent="0.3">
      <c r="A282" t="s">
        <v>542</v>
      </c>
      <c r="B282">
        <v>12</v>
      </c>
      <c r="C282" t="s">
        <v>1020</v>
      </c>
      <c r="D282" s="2" t="s">
        <v>1039</v>
      </c>
      <c r="E282" t="s">
        <v>1165</v>
      </c>
      <c r="F282" s="1">
        <v>46229</v>
      </c>
      <c r="G282" s="1">
        <v>46248</v>
      </c>
      <c r="H282" s="2">
        <v>19</v>
      </c>
      <c r="I282" s="2">
        <v>89900</v>
      </c>
      <c r="J282" s="2" t="s">
        <v>1023</v>
      </c>
      <c r="K282" t="s">
        <v>1059</v>
      </c>
      <c r="L282" t="s">
        <v>1018</v>
      </c>
      <c r="M282" t="s">
        <v>1024</v>
      </c>
      <c r="N282">
        <v>4</v>
      </c>
    </row>
    <row r="283" spans="1:14" x14ac:dyDescent="0.3">
      <c r="A283" t="s">
        <v>543</v>
      </c>
      <c r="B283">
        <v>45</v>
      </c>
      <c r="C283" t="s">
        <v>1020</v>
      </c>
      <c r="D283" s="2" t="s">
        <v>1039</v>
      </c>
      <c r="E283" t="s">
        <v>1165</v>
      </c>
      <c r="F283" s="1">
        <v>46230</v>
      </c>
      <c r="G283" s="1">
        <v>46249</v>
      </c>
      <c r="H283" s="2">
        <v>19</v>
      </c>
      <c r="I283" s="2">
        <v>98000</v>
      </c>
      <c r="J283" s="2" t="s">
        <v>1023</v>
      </c>
      <c r="K283" t="s">
        <v>1059</v>
      </c>
      <c r="L283" t="s">
        <v>1018</v>
      </c>
      <c r="M283" s="2" t="s">
        <v>1024</v>
      </c>
      <c r="N283">
        <v>4</v>
      </c>
    </row>
    <row r="284" spans="1:14" x14ac:dyDescent="0.3">
      <c r="A284" t="s">
        <v>544</v>
      </c>
      <c r="B284">
        <v>67</v>
      </c>
      <c r="C284" t="s">
        <v>1020</v>
      </c>
      <c r="D284" s="2" t="s">
        <v>1039</v>
      </c>
      <c r="E284" t="s">
        <v>1165</v>
      </c>
      <c r="F284" s="1">
        <v>46231</v>
      </c>
      <c r="G284" s="1">
        <v>46250</v>
      </c>
      <c r="H284" s="2">
        <v>19</v>
      </c>
      <c r="I284" s="2">
        <v>120000</v>
      </c>
      <c r="J284" s="2" t="s">
        <v>1023</v>
      </c>
      <c r="K284" t="s">
        <v>1059</v>
      </c>
      <c r="L284" t="s">
        <v>1037</v>
      </c>
      <c r="M284" t="s">
        <v>1024</v>
      </c>
      <c r="N284">
        <v>4</v>
      </c>
    </row>
    <row r="285" spans="1:14" x14ac:dyDescent="0.3">
      <c r="A285" t="s">
        <v>545</v>
      </c>
      <c r="B285">
        <v>65</v>
      </c>
      <c r="C285" t="s">
        <v>1020</v>
      </c>
      <c r="D285" s="2" t="s">
        <v>1039</v>
      </c>
      <c r="E285" t="s">
        <v>1165</v>
      </c>
      <c r="F285" s="1">
        <v>46232</v>
      </c>
      <c r="G285" s="1">
        <v>46251</v>
      </c>
      <c r="H285" s="2">
        <v>19</v>
      </c>
      <c r="I285" s="2">
        <v>39000</v>
      </c>
      <c r="J285" s="2" t="s">
        <v>1023</v>
      </c>
      <c r="K285" t="s">
        <v>1059</v>
      </c>
      <c r="L285" t="s">
        <v>1018</v>
      </c>
      <c r="M285" s="2" t="s">
        <v>1024</v>
      </c>
      <c r="N285">
        <v>4</v>
      </c>
    </row>
    <row r="286" spans="1:14" x14ac:dyDescent="0.3">
      <c r="A286" t="s">
        <v>546</v>
      </c>
      <c r="B286">
        <v>54</v>
      </c>
      <c r="C286" t="s">
        <v>1020</v>
      </c>
      <c r="D286" s="2" t="s">
        <v>1039</v>
      </c>
      <c r="E286" t="s">
        <v>1165</v>
      </c>
      <c r="F286" s="1">
        <v>46233</v>
      </c>
      <c r="G286" s="1">
        <v>46252</v>
      </c>
      <c r="H286" s="2">
        <v>19</v>
      </c>
      <c r="I286" s="2">
        <v>49000</v>
      </c>
      <c r="J286" s="2" t="s">
        <v>1023</v>
      </c>
      <c r="K286" t="s">
        <v>1059</v>
      </c>
      <c r="L286" t="s">
        <v>1037</v>
      </c>
      <c r="M286" t="s">
        <v>1024</v>
      </c>
      <c r="N286">
        <v>4</v>
      </c>
    </row>
    <row r="287" spans="1:14" x14ac:dyDescent="0.3">
      <c r="A287" t="s">
        <v>547</v>
      </c>
      <c r="B287">
        <v>43</v>
      </c>
      <c r="C287" t="s">
        <v>1020</v>
      </c>
      <c r="D287" s="2" t="s">
        <v>1039</v>
      </c>
      <c r="E287" t="s">
        <v>1165</v>
      </c>
      <c r="F287" s="1">
        <v>46234</v>
      </c>
      <c r="G287" s="1">
        <v>46253</v>
      </c>
      <c r="H287" s="2">
        <v>19</v>
      </c>
      <c r="I287" s="2">
        <v>59000</v>
      </c>
      <c r="J287" s="2" t="s">
        <v>1023</v>
      </c>
      <c r="K287" t="s">
        <v>1059</v>
      </c>
      <c r="L287" t="s">
        <v>1037</v>
      </c>
      <c r="M287" s="2" t="s">
        <v>1024</v>
      </c>
      <c r="N287">
        <v>4</v>
      </c>
    </row>
    <row r="288" spans="1:14" x14ac:dyDescent="0.3">
      <c r="A288" t="s">
        <v>548</v>
      </c>
      <c r="B288">
        <v>23</v>
      </c>
      <c r="C288" t="s">
        <v>1020</v>
      </c>
      <c r="D288" s="2" t="s">
        <v>1039</v>
      </c>
      <c r="E288" t="s">
        <v>1165</v>
      </c>
      <c r="F288" s="1">
        <v>46235</v>
      </c>
      <c r="G288" s="1">
        <v>46254</v>
      </c>
      <c r="H288" s="2">
        <v>19</v>
      </c>
      <c r="I288" s="2">
        <v>69000</v>
      </c>
      <c r="J288" s="2" t="s">
        <v>1023</v>
      </c>
      <c r="K288" t="s">
        <v>1059</v>
      </c>
      <c r="L288" t="s">
        <v>1018</v>
      </c>
      <c r="M288" t="s">
        <v>1024</v>
      </c>
      <c r="N288">
        <v>4</v>
      </c>
    </row>
    <row r="289" spans="1:14" x14ac:dyDescent="0.3">
      <c r="A289" t="s">
        <v>549</v>
      </c>
      <c r="B289">
        <v>34</v>
      </c>
      <c r="C289" t="s">
        <v>1020</v>
      </c>
      <c r="D289" s="2" t="s">
        <v>1039</v>
      </c>
      <c r="E289" t="s">
        <v>1165</v>
      </c>
      <c r="F289" s="1">
        <v>46236</v>
      </c>
      <c r="G289" s="1">
        <v>46255</v>
      </c>
      <c r="H289" s="2">
        <v>19</v>
      </c>
      <c r="I289" s="2">
        <v>79000</v>
      </c>
      <c r="J289" s="2" t="s">
        <v>1023</v>
      </c>
      <c r="K289" t="s">
        <v>1059</v>
      </c>
      <c r="L289" t="s">
        <v>1018</v>
      </c>
      <c r="M289" s="2" t="s">
        <v>1024</v>
      </c>
      <c r="N289">
        <v>4</v>
      </c>
    </row>
    <row r="290" spans="1:14" x14ac:dyDescent="0.3">
      <c r="A290" t="s">
        <v>550</v>
      </c>
      <c r="B290">
        <v>56</v>
      </c>
      <c r="C290" t="s">
        <v>1020</v>
      </c>
      <c r="D290" s="2" t="s">
        <v>1039</v>
      </c>
      <c r="E290" t="s">
        <v>1165</v>
      </c>
      <c r="F290" s="1">
        <v>46237</v>
      </c>
      <c r="G290" s="1">
        <v>46256</v>
      </c>
      <c r="H290" s="2">
        <v>19</v>
      </c>
      <c r="I290" s="2">
        <v>89000</v>
      </c>
      <c r="J290" s="2" t="s">
        <v>1023</v>
      </c>
      <c r="K290" t="s">
        <v>1059</v>
      </c>
      <c r="L290" t="s">
        <v>1037</v>
      </c>
      <c r="M290" t="s">
        <v>1024</v>
      </c>
      <c r="N290">
        <v>4</v>
      </c>
    </row>
    <row r="291" spans="1:14" x14ac:dyDescent="0.3">
      <c r="A291" t="s">
        <v>551</v>
      </c>
      <c r="B291">
        <v>55</v>
      </c>
      <c r="C291" t="s">
        <v>1020</v>
      </c>
      <c r="D291" s="2" t="s">
        <v>1039</v>
      </c>
      <c r="E291" t="s">
        <v>1165</v>
      </c>
      <c r="F291" s="1">
        <v>46238</v>
      </c>
      <c r="G291" s="1">
        <v>46257</v>
      </c>
      <c r="H291" s="2">
        <v>19</v>
      </c>
      <c r="I291" s="2">
        <v>78000</v>
      </c>
      <c r="J291" s="2" t="s">
        <v>1023</v>
      </c>
      <c r="K291" t="s">
        <v>1059</v>
      </c>
      <c r="L291" t="s">
        <v>1018</v>
      </c>
      <c r="M291" s="2" t="s">
        <v>1024</v>
      </c>
      <c r="N291">
        <v>4</v>
      </c>
    </row>
    <row r="292" spans="1:14" x14ac:dyDescent="0.3">
      <c r="A292" t="s">
        <v>552</v>
      </c>
      <c r="B292">
        <v>44</v>
      </c>
      <c r="C292" t="s">
        <v>1020</v>
      </c>
      <c r="D292" s="2" t="s">
        <v>1039</v>
      </c>
      <c r="E292" t="s">
        <v>1165</v>
      </c>
      <c r="F292" s="1">
        <v>46239</v>
      </c>
      <c r="G292" s="1">
        <v>46258</v>
      </c>
      <c r="H292" s="2">
        <v>19</v>
      </c>
      <c r="I292" s="2">
        <v>13000</v>
      </c>
      <c r="J292" s="2" t="s">
        <v>1023</v>
      </c>
      <c r="K292" t="s">
        <v>1059</v>
      </c>
      <c r="L292" t="s">
        <v>1037</v>
      </c>
      <c r="M292" t="s">
        <v>1024</v>
      </c>
      <c r="N292">
        <v>4</v>
      </c>
    </row>
    <row r="293" spans="1:14" x14ac:dyDescent="0.3">
      <c r="A293" t="s">
        <v>553</v>
      </c>
      <c r="B293">
        <v>33</v>
      </c>
      <c r="C293" t="s">
        <v>1020</v>
      </c>
      <c r="D293" s="2" t="s">
        <v>1039</v>
      </c>
      <c r="E293" t="s">
        <v>1165</v>
      </c>
      <c r="F293" s="1">
        <v>46240</v>
      </c>
      <c r="G293" s="1">
        <v>46259</v>
      </c>
      <c r="H293" s="2">
        <v>19</v>
      </c>
      <c r="I293" s="2">
        <v>51000</v>
      </c>
      <c r="J293" s="2" t="s">
        <v>1023</v>
      </c>
      <c r="K293" t="s">
        <v>1059</v>
      </c>
      <c r="L293" t="s">
        <v>1018</v>
      </c>
      <c r="M293" s="2" t="s">
        <v>1024</v>
      </c>
      <c r="N293">
        <v>4</v>
      </c>
    </row>
    <row r="294" spans="1:14" x14ac:dyDescent="0.3">
      <c r="A294" t="s">
        <v>554</v>
      </c>
      <c r="B294">
        <v>22</v>
      </c>
      <c r="C294" t="s">
        <v>1020</v>
      </c>
      <c r="D294" s="2" t="s">
        <v>1039</v>
      </c>
      <c r="E294" t="s">
        <v>1165</v>
      </c>
      <c r="F294" s="1">
        <v>46241</v>
      </c>
      <c r="G294" s="1">
        <v>46260</v>
      </c>
      <c r="H294" s="2">
        <v>19</v>
      </c>
      <c r="I294" s="2">
        <v>52000</v>
      </c>
      <c r="J294" s="2" t="s">
        <v>1023</v>
      </c>
      <c r="K294" t="s">
        <v>1059</v>
      </c>
      <c r="L294" t="s">
        <v>1037</v>
      </c>
      <c r="M294" t="s">
        <v>1024</v>
      </c>
      <c r="N294">
        <v>4</v>
      </c>
    </row>
    <row r="295" spans="1:14" x14ac:dyDescent="0.3">
      <c r="A295" t="s">
        <v>555</v>
      </c>
      <c r="B295">
        <v>33</v>
      </c>
      <c r="C295" t="s">
        <v>1020</v>
      </c>
      <c r="D295" s="2" t="s">
        <v>1039</v>
      </c>
      <c r="E295" t="s">
        <v>1165</v>
      </c>
      <c r="F295" s="1">
        <v>46242</v>
      </c>
      <c r="G295" s="1">
        <v>46261</v>
      </c>
      <c r="H295" s="2">
        <v>19</v>
      </c>
      <c r="I295" s="2">
        <v>31000</v>
      </c>
      <c r="J295" s="2" t="s">
        <v>1023</v>
      </c>
      <c r="K295" t="s">
        <v>1059</v>
      </c>
      <c r="L295" t="s">
        <v>1037</v>
      </c>
      <c r="M295" s="2" t="s">
        <v>1024</v>
      </c>
      <c r="N295">
        <v>4</v>
      </c>
    </row>
    <row r="296" spans="1:14" x14ac:dyDescent="0.3">
      <c r="A296" t="s">
        <v>556</v>
      </c>
      <c r="B296">
        <v>44</v>
      </c>
      <c r="C296" t="s">
        <v>1020</v>
      </c>
      <c r="D296" s="2" t="s">
        <v>1039</v>
      </c>
      <c r="E296" t="s">
        <v>1165</v>
      </c>
      <c r="F296" s="1">
        <v>46243</v>
      </c>
      <c r="G296" s="1">
        <v>46262</v>
      </c>
      <c r="H296" s="2">
        <v>19</v>
      </c>
      <c r="I296" s="2">
        <v>43000</v>
      </c>
      <c r="J296" s="2" t="s">
        <v>1023</v>
      </c>
      <c r="K296" t="s">
        <v>1059</v>
      </c>
      <c r="L296" t="s">
        <v>1037</v>
      </c>
      <c r="M296" t="s">
        <v>1024</v>
      </c>
      <c r="N296">
        <v>4</v>
      </c>
    </row>
    <row r="297" spans="1:14" x14ac:dyDescent="0.3">
      <c r="A297" t="s">
        <v>557</v>
      </c>
      <c r="B297">
        <v>66</v>
      </c>
      <c r="C297" t="s">
        <v>1020</v>
      </c>
      <c r="D297" s="2" t="s">
        <v>1039</v>
      </c>
      <c r="E297" t="s">
        <v>1165</v>
      </c>
      <c r="F297" s="1">
        <v>46244</v>
      </c>
      <c r="G297" s="1">
        <v>46263</v>
      </c>
      <c r="H297" s="2">
        <v>19</v>
      </c>
      <c r="I297" s="2">
        <v>54000</v>
      </c>
      <c r="J297" s="2" t="s">
        <v>1023</v>
      </c>
      <c r="K297" t="s">
        <v>1059</v>
      </c>
      <c r="L297" t="s">
        <v>1018</v>
      </c>
      <c r="M297" s="2" t="s">
        <v>1024</v>
      </c>
      <c r="N297">
        <v>4</v>
      </c>
    </row>
    <row r="298" spans="1:14" x14ac:dyDescent="0.3">
      <c r="A298" t="s">
        <v>558</v>
      </c>
      <c r="B298">
        <v>4</v>
      </c>
      <c r="C298" t="s">
        <v>1020</v>
      </c>
      <c r="D298" s="2" t="s">
        <v>1039</v>
      </c>
      <c r="E298" t="s">
        <v>1165</v>
      </c>
      <c r="F298" s="1">
        <v>46245</v>
      </c>
      <c r="G298" s="1">
        <v>46255</v>
      </c>
      <c r="H298" s="2">
        <v>10</v>
      </c>
      <c r="I298" s="2">
        <v>64000</v>
      </c>
      <c r="J298" s="2" t="s">
        <v>1023</v>
      </c>
      <c r="K298" t="s">
        <v>1059</v>
      </c>
      <c r="L298" t="s">
        <v>1018</v>
      </c>
      <c r="M298" t="s">
        <v>1024</v>
      </c>
      <c r="N298">
        <v>4</v>
      </c>
    </row>
    <row r="299" spans="1:14" x14ac:dyDescent="0.3">
      <c r="A299" t="s">
        <v>559</v>
      </c>
      <c r="B299">
        <v>77</v>
      </c>
      <c r="C299" t="s">
        <v>1020</v>
      </c>
      <c r="D299" s="2" t="s">
        <v>1039</v>
      </c>
      <c r="E299" t="s">
        <v>1165</v>
      </c>
      <c r="F299" s="1">
        <v>46246</v>
      </c>
      <c r="G299" s="1">
        <v>46256</v>
      </c>
      <c r="H299" s="2">
        <v>10</v>
      </c>
      <c r="I299" s="2">
        <v>47000</v>
      </c>
      <c r="J299" s="2" t="s">
        <v>1023</v>
      </c>
      <c r="K299" t="s">
        <v>1059</v>
      </c>
      <c r="L299" t="s">
        <v>1037</v>
      </c>
      <c r="M299" s="2" t="s">
        <v>1024</v>
      </c>
      <c r="N299">
        <v>4</v>
      </c>
    </row>
    <row r="300" spans="1:14" x14ac:dyDescent="0.3">
      <c r="A300" t="s">
        <v>560</v>
      </c>
      <c r="B300">
        <v>5</v>
      </c>
      <c r="C300" t="s">
        <v>1020</v>
      </c>
      <c r="D300" s="2" t="s">
        <v>1039</v>
      </c>
      <c r="E300" t="s">
        <v>1165</v>
      </c>
      <c r="F300" s="1">
        <v>46247</v>
      </c>
      <c r="G300" s="1">
        <v>46257</v>
      </c>
      <c r="H300" s="2">
        <v>10</v>
      </c>
      <c r="I300" s="2">
        <v>78000</v>
      </c>
      <c r="J300" s="2" t="s">
        <v>1023</v>
      </c>
      <c r="K300" t="s">
        <v>1059</v>
      </c>
      <c r="L300" t="s">
        <v>1018</v>
      </c>
      <c r="M300" t="s">
        <v>1024</v>
      </c>
      <c r="N300">
        <v>4</v>
      </c>
    </row>
    <row r="301" spans="1:14" x14ac:dyDescent="0.3">
      <c r="A301" t="s">
        <v>958</v>
      </c>
      <c r="B301">
        <v>68</v>
      </c>
      <c r="C301" t="s">
        <v>1014</v>
      </c>
      <c r="D301" s="2" t="s">
        <v>1124</v>
      </c>
      <c r="E301" t="s">
        <v>1168</v>
      </c>
      <c r="F301" s="1">
        <v>44940</v>
      </c>
      <c r="G301" s="1">
        <v>44945</v>
      </c>
      <c r="H301" s="2">
        <v>5</v>
      </c>
      <c r="I301" s="2">
        <v>120000</v>
      </c>
      <c r="J301" s="2" t="s">
        <v>1027</v>
      </c>
      <c r="K301" t="s">
        <v>1044</v>
      </c>
      <c r="L301" t="s">
        <v>1018</v>
      </c>
      <c r="M301" s="2" t="s">
        <v>1019</v>
      </c>
      <c r="N301">
        <v>3.6</v>
      </c>
    </row>
    <row r="302" spans="1:14" x14ac:dyDescent="0.3">
      <c r="A302" t="s">
        <v>959</v>
      </c>
      <c r="B302">
        <v>77</v>
      </c>
      <c r="C302" t="s">
        <v>1014</v>
      </c>
      <c r="D302" s="2" t="s">
        <v>1124</v>
      </c>
      <c r="E302" t="s">
        <v>1168</v>
      </c>
      <c r="F302" s="1">
        <v>44941</v>
      </c>
      <c r="G302" s="1">
        <v>44946</v>
      </c>
      <c r="H302" s="2">
        <v>5</v>
      </c>
      <c r="I302" s="2">
        <v>119000</v>
      </c>
      <c r="J302" s="2" t="s">
        <v>1027</v>
      </c>
      <c r="K302" t="s">
        <v>1044</v>
      </c>
      <c r="L302" t="s">
        <v>1037</v>
      </c>
      <c r="M302" s="2" t="s">
        <v>1019</v>
      </c>
      <c r="N302">
        <v>3.6</v>
      </c>
    </row>
    <row r="303" spans="1:14" x14ac:dyDescent="0.3">
      <c r="A303" t="s">
        <v>960</v>
      </c>
      <c r="B303">
        <v>66</v>
      </c>
      <c r="C303" t="s">
        <v>1014</v>
      </c>
      <c r="D303" s="2" t="s">
        <v>1124</v>
      </c>
      <c r="E303" t="s">
        <v>1168</v>
      </c>
      <c r="F303" s="1">
        <v>44942</v>
      </c>
      <c r="G303" s="1">
        <v>44947</v>
      </c>
      <c r="H303" s="2">
        <v>5</v>
      </c>
      <c r="I303" s="2">
        <v>119000</v>
      </c>
      <c r="J303" s="2" t="s">
        <v>1027</v>
      </c>
      <c r="K303" t="s">
        <v>1044</v>
      </c>
      <c r="L303" t="s">
        <v>1037</v>
      </c>
      <c r="M303" s="2" t="s">
        <v>1019</v>
      </c>
      <c r="N303">
        <v>3.6</v>
      </c>
    </row>
    <row r="304" spans="1:14" x14ac:dyDescent="0.3">
      <c r="A304" t="s">
        <v>961</v>
      </c>
      <c r="B304">
        <v>88</v>
      </c>
      <c r="C304" t="s">
        <v>1014</v>
      </c>
      <c r="D304" s="2" t="s">
        <v>1124</v>
      </c>
      <c r="E304" t="s">
        <v>1168</v>
      </c>
      <c r="F304" s="1">
        <v>44943</v>
      </c>
      <c r="G304" s="1">
        <v>44948</v>
      </c>
      <c r="H304" s="2">
        <v>5</v>
      </c>
      <c r="I304" s="2">
        <v>119000</v>
      </c>
      <c r="J304" s="2" t="s">
        <v>1027</v>
      </c>
      <c r="K304" t="s">
        <v>1044</v>
      </c>
      <c r="L304" t="s">
        <v>1037</v>
      </c>
      <c r="M304" s="2" t="s">
        <v>1019</v>
      </c>
      <c r="N304">
        <v>3.6</v>
      </c>
    </row>
    <row r="305" spans="1:14" x14ac:dyDescent="0.3">
      <c r="A305" t="s">
        <v>962</v>
      </c>
      <c r="B305">
        <v>77</v>
      </c>
      <c r="C305" t="s">
        <v>1014</v>
      </c>
      <c r="D305" s="2" t="s">
        <v>1124</v>
      </c>
      <c r="E305" t="s">
        <v>1168</v>
      </c>
      <c r="F305" s="1">
        <v>44944</v>
      </c>
      <c r="G305" s="1">
        <v>44949</v>
      </c>
      <c r="H305" s="2">
        <v>5</v>
      </c>
      <c r="I305" s="2">
        <v>119000</v>
      </c>
      <c r="J305" s="2" t="s">
        <v>1027</v>
      </c>
      <c r="K305" t="s">
        <v>1044</v>
      </c>
      <c r="L305" t="s">
        <v>1018</v>
      </c>
      <c r="M305" s="2" t="s">
        <v>1019</v>
      </c>
      <c r="N305">
        <v>3.6</v>
      </c>
    </row>
    <row r="306" spans="1:14" x14ac:dyDescent="0.3">
      <c r="A306" t="s">
        <v>963</v>
      </c>
      <c r="B306">
        <v>71</v>
      </c>
      <c r="C306" t="s">
        <v>1014</v>
      </c>
      <c r="D306" s="2" t="s">
        <v>1124</v>
      </c>
      <c r="E306" t="s">
        <v>1168</v>
      </c>
      <c r="F306" s="1">
        <v>44945</v>
      </c>
      <c r="G306" s="1">
        <v>44950</v>
      </c>
      <c r="H306" s="2">
        <v>5</v>
      </c>
      <c r="I306" s="2">
        <v>119000</v>
      </c>
      <c r="J306" s="2" t="s">
        <v>1027</v>
      </c>
      <c r="K306" t="s">
        <v>1044</v>
      </c>
      <c r="L306" t="s">
        <v>1018</v>
      </c>
      <c r="M306" s="2" t="s">
        <v>1019</v>
      </c>
      <c r="N306">
        <v>3.6</v>
      </c>
    </row>
    <row r="307" spans="1:14" x14ac:dyDescent="0.3">
      <c r="A307" t="s">
        <v>964</v>
      </c>
      <c r="B307">
        <v>72</v>
      </c>
      <c r="C307" t="s">
        <v>1014</v>
      </c>
      <c r="D307" s="2" t="s">
        <v>1124</v>
      </c>
      <c r="E307" t="s">
        <v>1168</v>
      </c>
      <c r="F307" s="1">
        <v>44946</v>
      </c>
      <c r="G307" s="1">
        <v>44951</v>
      </c>
      <c r="H307" s="2">
        <v>5</v>
      </c>
      <c r="I307" s="2">
        <v>119000</v>
      </c>
      <c r="J307" s="2" t="s">
        <v>1027</v>
      </c>
      <c r="K307" t="s">
        <v>1044</v>
      </c>
      <c r="L307" t="s">
        <v>1037</v>
      </c>
      <c r="M307" s="2" t="s">
        <v>1019</v>
      </c>
      <c r="N307">
        <v>3.6</v>
      </c>
    </row>
    <row r="308" spans="1:14" x14ac:dyDescent="0.3">
      <c r="A308" t="s">
        <v>965</v>
      </c>
      <c r="B308">
        <v>73</v>
      </c>
      <c r="C308" t="s">
        <v>1014</v>
      </c>
      <c r="D308" s="2" t="s">
        <v>1124</v>
      </c>
      <c r="E308" t="s">
        <v>1168</v>
      </c>
      <c r="F308" s="1">
        <v>44947</v>
      </c>
      <c r="G308" s="1">
        <v>44952</v>
      </c>
      <c r="H308" s="2">
        <v>5</v>
      </c>
      <c r="I308" s="2">
        <v>119000</v>
      </c>
      <c r="J308" s="2" t="s">
        <v>1027</v>
      </c>
      <c r="K308" t="s">
        <v>1044</v>
      </c>
      <c r="L308" t="s">
        <v>1018</v>
      </c>
      <c r="M308" s="2" t="s">
        <v>1019</v>
      </c>
      <c r="N308">
        <v>3.6</v>
      </c>
    </row>
    <row r="309" spans="1:14" x14ac:dyDescent="0.3">
      <c r="A309" t="s">
        <v>966</v>
      </c>
      <c r="B309">
        <v>74</v>
      </c>
      <c r="C309" t="s">
        <v>1014</v>
      </c>
      <c r="D309" s="2" t="s">
        <v>1124</v>
      </c>
      <c r="E309" t="s">
        <v>1168</v>
      </c>
      <c r="F309" s="1">
        <v>44948</v>
      </c>
      <c r="G309" s="1">
        <v>44953</v>
      </c>
      <c r="H309" s="2">
        <v>5</v>
      </c>
      <c r="I309" s="2">
        <v>119000</v>
      </c>
      <c r="J309" s="2" t="s">
        <v>1027</v>
      </c>
      <c r="K309" t="s">
        <v>1044</v>
      </c>
      <c r="L309" t="s">
        <v>1037</v>
      </c>
      <c r="M309" s="2" t="s">
        <v>1019</v>
      </c>
      <c r="N309">
        <v>3.6</v>
      </c>
    </row>
    <row r="310" spans="1:14" x14ac:dyDescent="0.3">
      <c r="A310" t="s">
        <v>967</v>
      </c>
      <c r="B310">
        <v>75</v>
      </c>
      <c r="C310" t="s">
        <v>1014</v>
      </c>
      <c r="D310" s="2" t="s">
        <v>1124</v>
      </c>
      <c r="E310" t="s">
        <v>1168</v>
      </c>
      <c r="F310" s="1">
        <v>44949</v>
      </c>
      <c r="G310" s="1">
        <v>44954</v>
      </c>
      <c r="H310" s="2">
        <v>5</v>
      </c>
      <c r="I310" s="2">
        <v>119000</v>
      </c>
      <c r="J310" s="2" t="s">
        <v>1027</v>
      </c>
      <c r="K310" t="s">
        <v>1044</v>
      </c>
      <c r="M310" s="2" t="s">
        <v>1019</v>
      </c>
      <c r="N310">
        <v>3.6</v>
      </c>
    </row>
    <row r="311" spans="1:14" x14ac:dyDescent="0.3">
      <c r="A311" t="s">
        <v>968</v>
      </c>
      <c r="B311">
        <v>76</v>
      </c>
      <c r="C311" t="s">
        <v>1014</v>
      </c>
      <c r="D311" s="2" t="s">
        <v>1124</v>
      </c>
      <c r="E311" t="s">
        <v>1168</v>
      </c>
      <c r="F311" s="1">
        <v>44950</v>
      </c>
      <c r="G311" s="1">
        <v>44955</v>
      </c>
      <c r="H311" s="2">
        <v>5</v>
      </c>
      <c r="I311" s="2">
        <v>119000</v>
      </c>
      <c r="J311" s="2" t="s">
        <v>1027</v>
      </c>
      <c r="K311" t="s">
        <v>1044</v>
      </c>
      <c r="L311" t="s">
        <v>1018</v>
      </c>
      <c r="M311" s="2" t="s">
        <v>1019</v>
      </c>
      <c r="N311">
        <v>3.6</v>
      </c>
    </row>
    <row r="312" spans="1:14" x14ac:dyDescent="0.3">
      <c r="A312" t="s">
        <v>969</v>
      </c>
      <c r="B312">
        <v>78</v>
      </c>
      <c r="C312" t="s">
        <v>1014</v>
      </c>
      <c r="D312" s="2" t="s">
        <v>1124</v>
      </c>
      <c r="E312" t="s">
        <v>1168</v>
      </c>
      <c r="F312" s="1">
        <v>44951</v>
      </c>
      <c r="G312" s="1">
        <v>44956</v>
      </c>
      <c r="H312" s="2">
        <v>5</v>
      </c>
      <c r="I312" s="2">
        <v>119000</v>
      </c>
      <c r="J312" s="2" t="s">
        <v>1027</v>
      </c>
      <c r="K312" t="s">
        <v>1044</v>
      </c>
      <c r="L312" t="s">
        <v>1018</v>
      </c>
      <c r="M312" s="2" t="s">
        <v>1019</v>
      </c>
      <c r="N312">
        <v>3.6</v>
      </c>
    </row>
    <row r="313" spans="1:14" x14ac:dyDescent="0.3">
      <c r="A313" t="s">
        <v>970</v>
      </c>
      <c r="B313">
        <v>78</v>
      </c>
      <c r="C313" t="s">
        <v>1014</v>
      </c>
      <c r="D313" s="2" t="s">
        <v>1124</v>
      </c>
      <c r="E313" t="s">
        <v>1168</v>
      </c>
      <c r="F313" s="1">
        <v>44952</v>
      </c>
      <c r="G313" s="1">
        <v>44957</v>
      </c>
      <c r="H313" s="2">
        <v>5</v>
      </c>
      <c r="I313" s="2">
        <v>119000</v>
      </c>
      <c r="J313" s="2" t="s">
        <v>1027</v>
      </c>
      <c r="K313" t="s">
        <v>1044</v>
      </c>
      <c r="L313" t="s">
        <v>1037</v>
      </c>
      <c r="M313" s="2" t="s">
        <v>1019</v>
      </c>
      <c r="N313">
        <v>3.6</v>
      </c>
    </row>
    <row r="314" spans="1:14" x14ac:dyDescent="0.3">
      <c r="A314" t="s">
        <v>971</v>
      </c>
      <c r="B314">
        <v>78</v>
      </c>
      <c r="C314" t="s">
        <v>1014</v>
      </c>
      <c r="D314" s="2" t="s">
        <v>1124</v>
      </c>
      <c r="E314" t="s">
        <v>1168</v>
      </c>
      <c r="F314" s="1">
        <v>44953</v>
      </c>
      <c r="G314" s="1">
        <v>44965</v>
      </c>
      <c r="H314" s="2">
        <v>12</v>
      </c>
      <c r="I314" s="2">
        <v>119000</v>
      </c>
      <c r="J314" s="2" t="s">
        <v>1027</v>
      </c>
      <c r="K314" t="s">
        <v>1044</v>
      </c>
      <c r="L314" t="s">
        <v>1018</v>
      </c>
      <c r="M314" s="2" t="s">
        <v>1019</v>
      </c>
      <c r="N314">
        <v>3.6</v>
      </c>
    </row>
    <row r="315" spans="1:14" x14ac:dyDescent="0.3">
      <c r="A315" t="s">
        <v>972</v>
      </c>
      <c r="B315">
        <v>76</v>
      </c>
      <c r="C315" t="s">
        <v>1014</v>
      </c>
      <c r="D315" s="2" t="s">
        <v>1124</v>
      </c>
      <c r="E315" t="s">
        <v>1168</v>
      </c>
      <c r="F315" s="1">
        <v>44954</v>
      </c>
      <c r="G315" s="1">
        <v>44966</v>
      </c>
      <c r="H315" s="2">
        <v>12</v>
      </c>
      <c r="I315" s="2">
        <v>119000</v>
      </c>
      <c r="J315" s="2" t="s">
        <v>1027</v>
      </c>
      <c r="K315" t="s">
        <v>1044</v>
      </c>
      <c r="L315" t="s">
        <v>1037</v>
      </c>
      <c r="M315" s="2" t="s">
        <v>1019</v>
      </c>
      <c r="N315">
        <v>3.6</v>
      </c>
    </row>
    <row r="316" spans="1:14" x14ac:dyDescent="0.3">
      <c r="A316" t="s">
        <v>973</v>
      </c>
      <c r="B316">
        <v>55</v>
      </c>
      <c r="C316" t="s">
        <v>1014</v>
      </c>
      <c r="D316" s="2" t="s">
        <v>1124</v>
      </c>
      <c r="E316" t="s">
        <v>1168</v>
      </c>
      <c r="F316" s="1">
        <v>44955</v>
      </c>
      <c r="G316" s="1">
        <v>44967</v>
      </c>
      <c r="H316" s="2">
        <v>12</v>
      </c>
      <c r="I316" s="2">
        <v>119000</v>
      </c>
      <c r="J316" s="2" t="s">
        <v>1027</v>
      </c>
      <c r="K316" t="s">
        <v>1044</v>
      </c>
      <c r="L316" t="s">
        <v>1018</v>
      </c>
      <c r="M316" s="2" t="s">
        <v>1019</v>
      </c>
      <c r="N316">
        <v>3.6</v>
      </c>
    </row>
    <row r="317" spans="1:14" x14ac:dyDescent="0.3">
      <c r="A317" t="s">
        <v>974</v>
      </c>
      <c r="B317">
        <v>66</v>
      </c>
      <c r="C317" t="s">
        <v>1014</v>
      </c>
      <c r="D317" s="2" t="s">
        <v>1124</v>
      </c>
      <c r="E317" t="s">
        <v>1168</v>
      </c>
      <c r="F317" s="1">
        <v>44956</v>
      </c>
      <c r="G317" s="1">
        <v>44968</v>
      </c>
      <c r="H317" s="2">
        <v>12</v>
      </c>
      <c r="I317" s="2">
        <v>119000</v>
      </c>
      <c r="J317" s="2" t="s">
        <v>1027</v>
      </c>
      <c r="K317" t="s">
        <v>1044</v>
      </c>
      <c r="L317" t="s">
        <v>1037</v>
      </c>
      <c r="M317" s="2" t="s">
        <v>1019</v>
      </c>
      <c r="N317">
        <v>3.6</v>
      </c>
    </row>
    <row r="318" spans="1:14" x14ac:dyDescent="0.3">
      <c r="A318" t="s">
        <v>975</v>
      </c>
      <c r="B318">
        <v>77</v>
      </c>
      <c r="C318" t="s">
        <v>1014</v>
      </c>
      <c r="D318" s="2" t="s">
        <v>1124</v>
      </c>
      <c r="E318" t="s">
        <v>1168</v>
      </c>
      <c r="F318" s="1">
        <v>44957</v>
      </c>
      <c r="G318" s="1">
        <v>44969</v>
      </c>
      <c r="H318" s="2">
        <v>12</v>
      </c>
      <c r="I318" s="2">
        <v>119000</v>
      </c>
      <c r="J318" s="2" t="s">
        <v>1027</v>
      </c>
      <c r="K318" t="s">
        <v>1044</v>
      </c>
      <c r="L318" t="s">
        <v>1037</v>
      </c>
      <c r="M318" s="2" t="s">
        <v>1019</v>
      </c>
      <c r="N318">
        <v>3.6</v>
      </c>
    </row>
    <row r="319" spans="1:14" x14ac:dyDescent="0.3">
      <c r="A319" t="s">
        <v>976</v>
      </c>
      <c r="B319">
        <v>55</v>
      </c>
      <c r="C319" t="s">
        <v>1014</v>
      </c>
      <c r="D319" s="2" t="s">
        <v>1124</v>
      </c>
      <c r="E319" t="s">
        <v>1168</v>
      </c>
      <c r="F319" s="1">
        <v>44958</v>
      </c>
      <c r="G319" s="1">
        <v>44970</v>
      </c>
      <c r="H319" s="2">
        <v>12</v>
      </c>
      <c r="I319" s="2">
        <v>119000</v>
      </c>
      <c r="J319" s="2" t="s">
        <v>1027</v>
      </c>
      <c r="K319" t="s">
        <v>1044</v>
      </c>
      <c r="L319" t="s">
        <v>1037</v>
      </c>
      <c r="M319" s="2" t="s">
        <v>1019</v>
      </c>
      <c r="N319">
        <v>3.6</v>
      </c>
    </row>
    <row r="320" spans="1:14" x14ac:dyDescent="0.3">
      <c r="A320" t="s">
        <v>977</v>
      </c>
      <c r="B320">
        <v>66</v>
      </c>
      <c r="C320" t="s">
        <v>1014</v>
      </c>
      <c r="D320" s="2" t="s">
        <v>1124</v>
      </c>
      <c r="E320" t="s">
        <v>1168</v>
      </c>
      <c r="F320" s="1">
        <v>44959</v>
      </c>
      <c r="G320" s="1">
        <v>44971</v>
      </c>
      <c r="H320" s="2">
        <v>12</v>
      </c>
      <c r="I320" s="2">
        <v>119000</v>
      </c>
      <c r="J320" s="2" t="s">
        <v>1027</v>
      </c>
      <c r="K320" t="s">
        <v>1044</v>
      </c>
      <c r="L320" t="s">
        <v>1018</v>
      </c>
      <c r="M320" s="2" t="s">
        <v>1019</v>
      </c>
      <c r="N320">
        <v>3.6</v>
      </c>
    </row>
    <row r="321" spans="1:14" x14ac:dyDescent="0.3">
      <c r="A321" t="s">
        <v>978</v>
      </c>
      <c r="B321">
        <v>44</v>
      </c>
      <c r="C321" t="s">
        <v>1014</v>
      </c>
      <c r="D321" s="2" t="s">
        <v>1124</v>
      </c>
      <c r="E321" t="s">
        <v>1168</v>
      </c>
      <c r="F321" s="1">
        <v>44960</v>
      </c>
      <c r="G321" s="1">
        <v>44972</v>
      </c>
      <c r="H321" s="2">
        <v>12</v>
      </c>
      <c r="I321" s="2">
        <v>119000</v>
      </c>
      <c r="J321" s="2" t="s">
        <v>1027</v>
      </c>
      <c r="K321" t="s">
        <v>1044</v>
      </c>
      <c r="L321" t="s">
        <v>1018</v>
      </c>
      <c r="M321" s="2" t="s">
        <v>1019</v>
      </c>
      <c r="N321">
        <v>3.6</v>
      </c>
    </row>
    <row r="322" spans="1:14" x14ac:dyDescent="0.3">
      <c r="A322" t="s">
        <v>979</v>
      </c>
      <c r="B322">
        <v>88</v>
      </c>
      <c r="C322" t="s">
        <v>1014</v>
      </c>
      <c r="D322" s="2" t="s">
        <v>1124</v>
      </c>
      <c r="E322" t="s">
        <v>1168</v>
      </c>
      <c r="F322" s="1">
        <v>44961</v>
      </c>
      <c r="G322" s="1">
        <v>44973</v>
      </c>
      <c r="H322" s="2">
        <v>12</v>
      </c>
      <c r="I322" s="2">
        <v>119000</v>
      </c>
      <c r="J322" s="2" t="s">
        <v>1027</v>
      </c>
      <c r="K322" t="s">
        <v>1044</v>
      </c>
      <c r="L322" t="s">
        <v>1037</v>
      </c>
      <c r="M322" s="2" t="s">
        <v>1019</v>
      </c>
      <c r="N322">
        <v>3.6</v>
      </c>
    </row>
    <row r="323" spans="1:14" x14ac:dyDescent="0.3">
      <c r="A323" t="s">
        <v>980</v>
      </c>
      <c r="B323">
        <v>56</v>
      </c>
      <c r="C323" t="s">
        <v>1014</v>
      </c>
      <c r="D323" s="2" t="s">
        <v>1124</v>
      </c>
      <c r="E323" t="s">
        <v>1168</v>
      </c>
      <c r="F323" s="1">
        <v>44962</v>
      </c>
      <c r="G323" s="1">
        <v>44974</v>
      </c>
      <c r="H323" s="2">
        <v>12</v>
      </c>
      <c r="I323" s="2">
        <v>119000</v>
      </c>
      <c r="J323" s="2" t="s">
        <v>1027</v>
      </c>
      <c r="K323" t="s">
        <v>1044</v>
      </c>
      <c r="L323" t="s">
        <v>1018</v>
      </c>
      <c r="M323" s="2" t="s">
        <v>1019</v>
      </c>
      <c r="N323">
        <v>3.6</v>
      </c>
    </row>
    <row r="324" spans="1:14" x14ac:dyDescent="0.3">
      <c r="A324" t="s">
        <v>981</v>
      </c>
      <c r="B324">
        <v>65</v>
      </c>
      <c r="C324" t="s">
        <v>1014</v>
      </c>
      <c r="D324" s="2" t="s">
        <v>1031</v>
      </c>
      <c r="E324" t="s">
        <v>1032</v>
      </c>
      <c r="F324" s="1">
        <v>44963</v>
      </c>
      <c r="G324" s="1">
        <v>44975</v>
      </c>
      <c r="H324" s="2">
        <v>12</v>
      </c>
      <c r="I324" s="2">
        <v>119000</v>
      </c>
      <c r="J324" s="2" t="s">
        <v>1027</v>
      </c>
      <c r="K324" t="s">
        <v>1161</v>
      </c>
      <c r="L324" t="s">
        <v>1037</v>
      </c>
      <c r="M324" s="2" t="s">
        <v>1019</v>
      </c>
      <c r="N324">
        <v>3.6</v>
      </c>
    </row>
    <row r="325" spans="1:14" x14ac:dyDescent="0.3">
      <c r="A325" t="s">
        <v>982</v>
      </c>
      <c r="B325">
        <v>67</v>
      </c>
      <c r="C325" t="s">
        <v>1014</v>
      </c>
      <c r="D325" s="2" t="s">
        <v>1031</v>
      </c>
      <c r="E325" t="s">
        <v>1032</v>
      </c>
      <c r="F325" s="1">
        <v>44964</v>
      </c>
      <c r="G325" s="1">
        <v>44976</v>
      </c>
      <c r="H325" s="2">
        <v>12</v>
      </c>
      <c r="I325" s="2">
        <v>119000</v>
      </c>
      <c r="J325" s="2" t="s">
        <v>1027</v>
      </c>
      <c r="K325" t="s">
        <v>1161</v>
      </c>
      <c r="L325" t="s">
        <v>1037</v>
      </c>
      <c r="M325" s="2" t="s">
        <v>1019</v>
      </c>
      <c r="N325">
        <v>3.6</v>
      </c>
    </row>
    <row r="326" spans="1:14" x14ac:dyDescent="0.3">
      <c r="A326" t="s">
        <v>983</v>
      </c>
      <c r="B326">
        <v>78</v>
      </c>
      <c r="C326" t="s">
        <v>1014</v>
      </c>
      <c r="D326" s="2" t="s">
        <v>1031</v>
      </c>
      <c r="E326" t="s">
        <v>1032</v>
      </c>
      <c r="F326" s="1">
        <v>44965</v>
      </c>
      <c r="G326" s="1">
        <v>44977</v>
      </c>
      <c r="H326" s="2">
        <v>12</v>
      </c>
      <c r="I326" s="2">
        <v>119000</v>
      </c>
      <c r="J326" s="2" t="s">
        <v>1027</v>
      </c>
      <c r="K326" t="s">
        <v>1161</v>
      </c>
      <c r="L326" t="s">
        <v>1018</v>
      </c>
      <c r="M326" s="2" t="s">
        <v>1019</v>
      </c>
      <c r="N326">
        <v>3.6</v>
      </c>
    </row>
    <row r="327" spans="1:14" x14ac:dyDescent="0.3">
      <c r="A327" t="s">
        <v>984</v>
      </c>
      <c r="B327">
        <v>76</v>
      </c>
      <c r="C327" t="s">
        <v>1014</v>
      </c>
      <c r="D327" s="2" t="s">
        <v>1031</v>
      </c>
      <c r="E327" t="s">
        <v>1032</v>
      </c>
      <c r="F327" s="1">
        <v>44966</v>
      </c>
      <c r="G327" s="1">
        <v>44978</v>
      </c>
      <c r="H327" s="2">
        <v>12</v>
      </c>
      <c r="I327" s="2">
        <v>119000</v>
      </c>
      <c r="J327" s="2" t="s">
        <v>1027</v>
      </c>
      <c r="K327" t="s">
        <v>1161</v>
      </c>
      <c r="L327" t="s">
        <v>1018</v>
      </c>
      <c r="M327" s="2" t="s">
        <v>1019</v>
      </c>
      <c r="N327">
        <v>3.6</v>
      </c>
    </row>
    <row r="328" spans="1:14" x14ac:dyDescent="0.3">
      <c r="A328" t="s">
        <v>985</v>
      </c>
      <c r="B328">
        <v>65</v>
      </c>
      <c r="C328" t="s">
        <v>1014</v>
      </c>
      <c r="D328" s="2" t="s">
        <v>1031</v>
      </c>
      <c r="E328" t="s">
        <v>1032</v>
      </c>
      <c r="F328" s="1">
        <v>44967</v>
      </c>
      <c r="G328" s="1">
        <v>44979</v>
      </c>
      <c r="H328" s="2">
        <v>12</v>
      </c>
      <c r="I328" s="2">
        <v>119000</v>
      </c>
      <c r="J328" s="2" t="s">
        <v>1027</v>
      </c>
      <c r="K328" t="s">
        <v>1161</v>
      </c>
      <c r="L328" t="s">
        <v>1037</v>
      </c>
      <c r="M328" s="2" t="s">
        <v>1019</v>
      </c>
      <c r="N328">
        <v>3.6</v>
      </c>
    </row>
    <row r="329" spans="1:14" x14ac:dyDescent="0.3">
      <c r="A329" t="s">
        <v>986</v>
      </c>
      <c r="B329">
        <v>54</v>
      </c>
      <c r="C329" t="s">
        <v>1014</v>
      </c>
      <c r="D329" s="2" t="s">
        <v>1031</v>
      </c>
      <c r="E329" t="s">
        <v>1032</v>
      </c>
      <c r="F329" s="1">
        <v>44968</v>
      </c>
      <c r="G329" s="1">
        <v>44980</v>
      </c>
      <c r="H329" s="2">
        <v>12</v>
      </c>
      <c r="I329" s="2">
        <v>119000</v>
      </c>
      <c r="J329" s="2" t="s">
        <v>1027</v>
      </c>
      <c r="K329" t="s">
        <v>1161</v>
      </c>
      <c r="L329" t="s">
        <v>1018</v>
      </c>
      <c r="M329" s="2" t="s">
        <v>1019</v>
      </c>
      <c r="N329">
        <v>3.6</v>
      </c>
    </row>
    <row r="330" spans="1:14" x14ac:dyDescent="0.3">
      <c r="A330" t="s">
        <v>987</v>
      </c>
      <c r="B330">
        <v>53</v>
      </c>
      <c r="C330" t="s">
        <v>1020</v>
      </c>
      <c r="D330" s="2" t="s">
        <v>1031</v>
      </c>
      <c r="E330" t="s">
        <v>1032</v>
      </c>
      <c r="F330" s="1">
        <v>44969</v>
      </c>
      <c r="G330" s="1">
        <v>44981</v>
      </c>
      <c r="H330" s="2">
        <v>12</v>
      </c>
      <c r="I330" s="2">
        <v>119000</v>
      </c>
      <c r="J330" s="2" t="s">
        <v>1027</v>
      </c>
      <c r="K330" t="s">
        <v>1161</v>
      </c>
      <c r="L330" t="s">
        <v>1037</v>
      </c>
      <c r="M330" s="2" t="s">
        <v>1019</v>
      </c>
      <c r="N330">
        <v>3.6</v>
      </c>
    </row>
    <row r="331" spans="1:14" x14ac:dyDescent="0.3">
      <c r="A331" t="s">
        <v>586</v>
      </c>
      <c r="B331">
        <v>89</v>
      </c>
      <c r="C331" t="s">
        <v>1020</v>
      </c>
      <c r="D331" s="2" t="s">
        <v>1039</v>
      </c>
      <c r="E331" t="s">
        <v>1165</v>
      </c>
      <c r="F331" s="1">
        <v>45299</v>
      </c>
      <c r="G331" s="1">
        <v>45309</v>
      </c>
      <c r="H331" s="2">
        <v>10</v>
      </c>
      <c r="I331" s="2">
        <v>98000</v>
      </c>
      <c r="J331" s="2" t="s">
        <v>1023</v>
      </c>
      <c r="K331" t="s">
        <v>1059</v>
      </c>
      <c r="L331" t="s">
        <v>1037</v>
      </c>
      <c r="M331" t="s">
        <v>1019</v>
      </c>
      <c r="N331">
        <v>5</v>
      </c>
    </row>
    <row r="332" spans="1:14" x14ac:dyDescent="0.3">
      <c r="A332" t="s">
        <v>587</v>
      </c>
      <c r="B332">
        <v>87</v>
      </c>
      <c r="C332" t="s">
        <v>1020</v>
      </c>
      <c r="D332" s="2" t="s">
        <v>1039</v>
      </c>
      <c r="E332" t="s">
        <v>1165</v>
      </c>
      <c r="F332" s="1">
        <v>45300</v>
      </c>
      <c r="G332" s="1">
        <v>45310</v>
      </c>
      <c r="H332" s="2">
        <v>10</v>
      </c>
      <c r="I332" s="2">
        <v>12000</v>
      </c>
      <c r="J332" s="2" t="s">
        <v>1023</v>
      </c>
      <c r="K332" t="s">
        <v>1059</v>
      </c>
      <c r="L332" t="s">
        <v>1018</v>
      </c>
      <c r="M332" s="2" t="s">
        <v>1019</v>
      </c>
      <c r="N332">
        <v>5</v>
      </c>
    </row>
    <row r="333" spans="1:14" x14ac:dyDescent="0.3">
      <c r="A333" t="s">
        <v>588</v>
      </c>
      <c r="B333">
        <v>12</v>
      </c>
      <c r="C333" t="s">
        <v>1020</v>
      </c>
      <c r="D333" s="2" t="s">
        <v>1039</v>
      </c>
      <c r="E333" t="s">
        <v>1165</v>
      </c>
      <c r="F333" s="1">
        <v>45301</v>
      </c>
      <c r="G333" s="1">
        <v>45311</v>
      </c>
      <c r="H333" s="2">
        <v>10</v>
      </c>
      <c r="I333" s="2">
        <v>31000</v>
      </c>
      <c r="J333" s="2" t="s">
        <v>1023</v>
      </c>
      <c r="K333" t="s">
        <v>1059</v>
      </c>
      <c r="L333" t="s">
        <v>1018</v>
      </c>
      <c r="M333" t="s">
        <v>1019</v>
      </c>
      <c r="N333">
        <v>5</v>
      </c>
    </row>
    <row r="334" spans="1:14" x14ac:dyDescent="0.3">
      <c r="A334" t="s">
        <v>589</v>
      </c>
      <c r="B334">
        <v>34</v>
      </c>
      <c r="C334" t="s">
        <v>1020</v>
      </c>
      <c r="D334" s="2" t="s">
        <v>1039</v>
      </c>
      <c r="E334" t="s">
        <v>1165</v>
      </c>
      <c r="F334" s="1">
        <v>45302</v>
      </c>
      <c r="G334" s="1">
        <v>45312</v>
      </c>
      <c r="H334" s="2">
        <v>10</v>
      </c>
      <c r="I334" s="2">
        <v>32000</v>
      </c>
      <c r="J334" s="2" t="s">
        <v>1023</v>
      </c>
      <c r="K334" t="s">
        <v>1059</v>
      </c>
      <c r="L334" t="s">
        <v>1037</v>
      </c>
      <c r="M334" s="2" t="s">
        <v>1019</v>
      </c>
      <c r="N334">
        <v>5</v>
      </c>
    </row>
    <row r="335" spans="1:14" x14ac:dyDescent="0.3">
      <c r="A335" t="s">
        <v>590</v>
      </c>
      <c r="B335">
        <v>56</v>
      </c>
      <c r="C335" t="s">
        <v>1020</v>
      </c>
      <c r="D335" s="2" t="s">
        <v>1039</v>
      </c>
      <c r="E335" t="s">
        <v>1165</v>
      </c>
      <c r="F335" s="1">
        <v>45303</v>
      </c>
      <c r="G335" s="1">
        <v>45313</v>
      </c>
      <c r="H335" s="2">
        <v>10</v>
      </c>
      <c r="I335" s="2">
        <v>43000</v>
      </c>
      <c r="J335" s="2" t="s">
        <v>1023</v>
      </c>
      <c r="K335" t="s">
        <v>1059</v>
      </c>
      <c r="L335" t="s">
        <v>1018</v>
      </c>
      <c r="M335" t="s">
        <v>1019</v>
      </c>
      <c r="N335">
        <v>5</v>
      </c>
    </row>
    <row r="336" spans="1:14" x14ac:dyDescent="0.3">
      <c r="A336" t="s">
        <v>591</v>
      </c>
      <c r="B336">
        <v>45</v>
      </c>
      <c r="C336" t="s">
        <v>1020</v>
      </c>
      <c r="D336" s="2" t="s">
        <v>1039</v>
      </c>
      <c r="E336" t="s">
        <v>1165</v>
      </c>
      <c r="F336" s="1">
        <v>45304</v>
      </c>
      <c r="G336" s="1">
        <v>45314</v>
      </c>
      <c r="H336" s="2">
        <v>10</v>
      </c>
      <c r="I336" s="2">
        <v>54000</v>
      </c>
      <c r="J336" s="2" t="s">
        <v>1023</v>
      </c>
      <c r="K336" t="s">
        <v>1059</v>
      </c>
      <c r="L336" t="s">
        <v>1037</v>
      </c>
      <c r="M336" s="2" t="s">
        <v>1019</v>
      </c>
      <c r="N336">
        <v>5</v>
      </c>
    </row>
    <row r="337" spans="1:14" x14ac:dyDescent="0.3">
      <c r="A337" t="s">
        <v>592</v>
      </c>
      <c r="B337">
        <v>43</v>
      </c>
      <c r="C337" t="s">
        <v>1020</v>
      </c>
      <c r="D337" s="2" t="s">
        <v>1039</v>
      </c>
      <c r="E337" t="s">
        <v>1165</v>
      </c>
      <c r="F337" s="1">
        <v>45305</v>
      </c>
      <c r="G337" s="1">
        <v>45315</v>
      </c>
      <c r="H337" s="2">
        <v>10</v>
      </c>
      <c r="I337" s="2">
        <v>45000</v>
      </c>
      <c r="J337" s="2" t="s">
        <v>1017</v>
      </c>
      <c r="K337" t="s">
        <v>1059</v>
      </c>
      <c r="L337" t="s">
        <v>1018</v>
      </c>
      <c r="M337" t="s">
        <v>1019</v>
      </c>
      <c r="N337">
        <v>5</v>
      </c>
    </row>
    <row r="338" spans="1:14" x14ac:dyDescent="0.3">
      <c r="A338" t="s">
        <v>593</v>
      </c>
      <c r="B338">
        <v>43</v>
      </c>
      <c r="C338" t="s">
        <v>1020</v>
      </c>
      <c r="D338" s="2" t="s">
        <v>1039</v>
      </c>
      <c r="E338" t="s">
        <v>1165</v>
      </c>
      <c r="F338" s="1">
        <v>45306</v>
      </c>
      <c r="G338" s="1">
        <v>45316</v>
      </c>
      <c r="H338" s="2">
        <v>10</v>
      </c>
      <c r="I338" s="2">
        <v>87000</v>
      </c>
      <c r="J338" s="2" t="s">
        <v>1017</v>
      </c>
      <c r="K338" t="s">
        <v>1059</v>
      </c>
      <c r="L338" t="s">
        <v>1018</v>
      </c>
      <c r="M338" s="2" t="s">
        <v>1019</v>
      </c>
      <c r="N338">
        <v>5</v>
      </c>
    </row>
    <row r="339" spans="1:14" x14ac:dyDescent="0.3">
      <c r="A339" t="s">
        <v>594</v>
      </c>
      <c r="B339">
        <v>45</v>
      </c>
      <c r="C339" t="s">
        <v>1014</v>
      </c>
      <c r="D339" s="2" t="s">
        <v>1039</v>
      </c>
      <c r="E339" t="s">
        <v>1165</v>
      </c>
      <c r="F339" s="1">
        <v>45307</v>
      </c>
      <c r="G339" s="1">
        <v>45317</v>
      </c>
      <c r="H339" s="2">
        <v>10</v>
      </c>
      <c r="I339" s="2">
        <v>98000</v>
      </c>
      <c r="J339" s="2" t="s">
        <v>1017</v>
      </c>
      <c r="K339" t="s">
        <v>1059</v>
      </c>
      <c r="L339" t="s">
        <v>1018</v>
      </c>
      <c r="M339" t="s">
        <v>1019</v>
      </c>
      <c r="N339">
        <v>5</v>
      </c>
    </row>
    <row r="340" spans="1:14" x14ac:dyDescent="0.3">
      <c r="A340" t="s">
        <v>595</v>
      </c>
      <c r="B340">
        <v>56</v>
      </c>
      <c r="C340" t="s">
        <v>1014</v>
      </c>
      <c r="D340" s="2" t="s">
        <v>1039</v>
      </c>
      <c r="E340" t="s">
        <v>1165</v>
      </c>
      <c r="F340" s="1">
        <v>45308</v>
      </c>
      <c r="G340" s="1">
        <v>45318</v>
      </c>
      <c r="H340" s="2">
        <v>10</v>
      </c>
      <c r="I340" s="2">
        <v>34000</v>
      </c>
      <c r="J340" s="2" t="s">
        <v>1017</v>
      </c>
      <c r="K340" t="s">
        <v>1059</v>
      </c>
      <c r="L340" t="s">
        <v>1037</v>
      </c>
      <c r="M340" s="2" t="s">
        <v>1019</v>
      </c>
      <c r="N340">
        <v>5</v>
      </c>
    </row>
    <row r="341" spans="1:14" x14ac:dyDescent="0.3">
      <c r="A341" t="s">
        <v>596</v>
      </c>
      <c r="B341">
        <v>56</v>
      </c>
      <c r="C341" t="s">
        <v>1014</v>
      </c>
      <c r="D341" s="2" t="s">
        <v>1039</v>
      </c>
      <c r="E341" t="s">
        <v>1165</v>
      </c>
      <c r="F341" s="1">
        <v>45309</v>
      </c>
      <c r="G341" s="1">
        <v>45319</v>
      </c>
      <c r="H341" s="2">
        <v>10</v>
      </c>
      <c r="I341" s="2">
        <v>45000</v>
      </c>
      <c r="J341" s="2" t="s">
        <v>1017</v>
      </c>
      <c r="K341" t="s">
        <v>1059</v>
      </c>
      <c r="L341" t="s">
        <v>1018</v>
      </c>
      <c r="M341" t="s">
        <v>1019</v>
      </c>
      <c r="N341">
        <v>5</v>
      </c>
    </row>
    <row r="342" spans="1:14" x14ac:dyDescent="0.3">
      <c r="A342" t="s">
        <v>597</v>
      </c>
      <c r="B342">
        <v>67</v>
      </c>
      <c r="C342" t="s">
        <v>1014</v>
      </c>
      <c r="D342" s="2" t="s">
        <v>1039</v>
      </c>
      <c r="E342" t="s">
        <v>1165</v>
      </c>
      <c r="F342" s="1">
        <v>45310</v>
      </c>
      <c r="G342" s="1">
        <v>45320</v>
      </c>
      <c r="H342" s="2">
        <v>10</v>
      </c>
      <c r="I342" s="2">
        <v>39000</v>
      </c>
      <c r="J342" s="2" t="s">
        <v>1017</v>
      </c>
      <c r="K342" t="s">
        <v>1059</v>
      </c>
      <c r="L342" t="s">
        <v>1037</v>
      </c>
      <c r="M342" s="2" t="s">
        <v>1019</v>
      </c>
      <c r="N342">
        <v>5</v>
      </c>
    </row>
    <row r="343" spans="1:14" x14ac:dyDescent="0.3">
      <c r="A343" t="s">
        <v>598</v>
      </c>
      <c r="B343">
        <v>78</v>
      </c>
      <c r="C343" t="s">
        <v>1014</v>
      </c>
      <c r="D343" s="2" t="s">
        <v>1039</v>
      </c>
      <c r="E343" t="s">
        <v>1164</v>
      </c>
      <c r="F343" s="1">
        <v>45311</v>
      </c>
      <c r="G343" s="1">
        <v>45321</v>
      </c>
      <c r="H343" s="2">
        <v>10</v>
      </c>
      <c r="I343" s="2">
        <v>45000</v>
      </c>
      <c r="J343" s="2" t="s">
        <v>1017</v>
      </c>
      <c r="K343" t="s">
        <v>1059</v>
      </c>
      <c r="L343" t="s">
        <v>1018</v>
      </c>
      <c r="M343" t="s">
        <v>1019</v>
      </c>
      <c r="N343">
        <v>5</v>
      </c>
    </row>
    <row r="344" spans="1:14" x14ac:dyDescent="0.3">
      <c r="A344" t="s">
        <v>599</v>
      </c>
      <c r="B344">
        <v>87</v>
      </c>
      <c r="C344" t="s">
        <v>1014</v>
      </c>
      <c r="D344" s="2" t="s">
        <v>1039</v>
      </c>
      <c r="E344" t="s">
        <v>1164</v>
      </c>
      <c r="F344" s="1">
        <v>45312</v>
      </c>
      <c r="G344" s="1">
        <v>45322</v>
      </c>
      <c r="H344" s="2">
        <v>10</v>
      </c>
      <c r="I344" s="2">
        <v>23000</v>
      </c>
      <c r="J344" s="2" t="s">
        <v>1017</v>
      </c>
      <c r="K344" t="s">
        <v>1059</v>
      </c>
      <c r="L344" t="s">
        <v>1037</v>
      </c>
      <c r="M344" s="2" t="s">
        <v>1019</v>
      </c>
      <c r="N344">
        <v>5</v>
      </c>
    </row>
    <row r="345" spans="1:14" x14ac:dyDescent="0.3">
      <c r="A345" t="s">
        <v>600</v>
      </c>
      <c r="B345">
        <v>65</v>
      </c>
      <c r="C345" t="s">
        <v>1014</v>
      </c>
      <c r="D345" s="2" t="s">
        <v>1039</v>
      </c>
      <c r="E345" t="s">
        <v>1164</v>
      </c>
      <c r="F345" s="1">
        <v>45313</v>
      </c>
      <c r="G345" s="1">
        <v>45323</v>
      </c>
      <c r="H345" s="2">
        <v>10</v>
      </c>
      <c r="I345" s="2">
        <v>40000</v>
      </c>
      <c r="J345" s="2" t="s">
        <v>1017</v>
      </c>
      <c r="K345" t="s">
        <v>1059</v>
      </c>
      <c r="L345" t="s">
        <v>1037</v>
      </c>
      <c r="M345" t="s">
        <v>1019</v>
      </c>
      <c r="N345">
        <v>5</v>
      </c>
    </row>
    <row r="346" spans="1:14" x14ac:dyDescent="0.3">
      <c r="A346" t="s">
        <v>601</v>
      </c>
      <c r="B346">
        <v>45</v>
      </c>
      <c r="C346" t="s">
        <v>1014</v>
      </c>
      <c r="D346" s="2" t="s">
        <v>1039</v>
      </c>
      <c r="E346" t="s">
        <v>1164</v>
      </c>
      <c r="F346" s="1">
        <v>45314</v>
      </c>
      <c r="G346" s="1">
        <v>45324</v>
      </c>
      <c r="H346" s="2">
        <v>10</v>
      </c>
      <c r="I346" s="2">
        <v>45000</v>
      </c>
      <c r="J346" s="2" t="s">
        <v>1017</v>
      </c>
      <c r="K346" t="s">
        <v>1059</v>
      </c>
      <c r="L346" t="s">
        <v>1037</v>
      </c>
      <c r="M346" s="2" t="s">
        <v>1019</v>
      </c>
      <c r="N346">
        <v>5</v>
      </c>
    </row>
    <row r="347" spans="1:14" x14ac:dyDescent="0.3">
      <c r="A347" t="s">
        <v>602</v>
      </c>
      <c r="B347">
        <v>43</v>
      </c>
      <c r="C347" t="s">
        <v>1014</v>
      </c>
      <c r="D347" s="2" t="s">
        <v>1039</v>
      </c>
      <c r="E347" t="s">
        <v>1164</v>
      </c>
      <c r="F347" s="1">
        <v>45315</v>
      </c>
      <c r="G347" s="1">
        <v>45325</v>
      </c>
      <c r="H347" s="2">
        <v>10</v>
      </c>
      <c r="I347" s="2">
        <v>67000</v>
      </c>
      <c r="J347" s="2" t="s">
        <v>1017</v>
      </c>
      <c r="K347" t="s">
        <v>1059</v>
      </c>
      <c r="L347" t="s">
        <v>1018</v>
      </c>
      <c r="M347" t="s">
        <v>1019</v>
      </c>
      <c r="N347">
        <v>5</v>
      </c>
    </row>
    <row r="348" spans="1:14" x14ac:dyDescent="0.3">
      <c r="A348" t="s">
        <v>603</v>
      </c>
      <c r="B348">
        <v>23</v>
      </c>
      <c r="C348" t="s">
        <v>1014</v>
      </c>
      <c r="D348" s="2" t="s">
        <v>1039</v>
      </c>
      <c r="E348" t="s">
        <v>1164</v>
      </c>
      <c r="F348" s="1">
        <v>45316</v>
      </c>
      <c r="G348" s="1">
        <v>45326</v>
      </c>
      <c r="H348" s="2">
        <v>10</v>
      </c>
      <c r="I348" s="2">
        <v>45000</v>
      </c>
      <c r="J348" s="2" t="s">
        <v>1017</v>
      </c>
      <c r="K348" t="s">
        <v>1059</v>
      </c>
      <c r="L348" t="s">
        <v>1018</v>
      </c>
      <c r="M348" s="2" t="s">
        <v>1019</v>
      </c>
      <c r="N348">
        <v>5</v>
      </c>
    </row>
    <row r="349" spans="1:14" x14ac:dyDescent="0.3">
      <c r="A349" t="s">
        <v>604</v>
      </c>
      <c r="B349">
        <v>56</v>
      </c>
      <c r="C349" t="s">
        <v>1014</v>
      </c>
      <c r="D349" s="2" t="s">
        <v>1039</v>
      </c>
      <c r="E349" t="s">
        <v>1164</v>
      </c>
      <c r="F349" s="1">
        <v>45317</v>
      </c>
      <c r="G349" s="1">
        <v>45327</v>
      </c>
      <c r="H349" s="2">
        <v>10</v>
      </c>
      <c r="I349" s="2">
        <v>69000</v>
      </c>
      <c r="J349" s="2" t="s">
        <v>1017</v>
      </c>
      <c r="K349" t="s">
        <v>1059</v>
      </c>
      <c r="L349" t="s">
        <v>1037</v>
      </c>
      <c r="M349" t="s">
        <v>1019</v>
      </c>
      <c r="N349">
        <v>5</v>
      </c>
    </row>
    <row r="350" spans="1:14" x14ac:dyDescent="0.3">
      <c r="A350" t="s">
        <v>605</v>
      </c>
      <c r="B350">
        <v>34</v>
      </c>
      <c r="C350" t="s">
        <v>1014</v>
      </c>
      <c r="D350" s="2" t="s">
        <v>1039</v>
      </c>
      <c r="E350" t="s">
        <v>1164</v>
      </c>
      <c r="F350" s="1">
        <v>45318</v>
      </c>
      <c r="G350" s="1">
        <v>45328</v>
      </c>
      <c r="H350" s="2">
        <v>10</v>
      </c>
      <c r="I350" s="2">
        <v>40000</v>
      </c>
      <c r="J350" s="2" t="s">
        <v>1017</v>
      </c>
      <c r="K350" t="s">
        <v>1059</v>
      </c>
      <c r="L350" t="s">
        <v>1018</v>
      </c>
      <c r="M350" s="2" t="s">
        <v>1019</v>
      </c>
      <c r="N350">
        <v>5</v>
      </c>
    </row>
    <row r="351" spans="1:14" x14ac:dyDescent="0.3">
      <c r="A351" t="s">
        <v>606</v>
      </c>
      <c r="B351">
        <v>35</v>
      </c>
      <c r="C351" t="s">
        <v>1014</v>
      </c>
      <c r="D351" s="2" t="s">
        <v>1039</v>
      </c>
      <c r="E351" t="s">
        <v>1164</v>
      </c>
      <c r="F351" s="1">
        <v>45319</v>
      </c>
      <c r="G351" s="1">
        <v>45329</v>
      </c>
      <c r="H351" s="2">
        <v>10</v>
      </c>
      <c r="I351" s="2">
        <v>32000</v>
      </c>
      <c r="J351" s="2" t="s">
        <v>1017</v>
      </c>
      <c r="K351" t="s">
        <v>1059</v>
      </c>
      <c r="L351" t="s">
        <v>1037</v>
      </c>
      <c r="M351" t="s">
        <v>1019</v>
      </c>
      <c r="N351">
        <v>5</v>
      </c>
    </row>
    <row r="352" spans="1:14" x14ac:dyDescent="0.3">
      <c r="A352" t="s">
        <v>607</v>
      </c>
      <c r="B352">
        <v>45</v>
      </c>
      <c r="C352" t="s">
        <v>1014</v>
      </c>
      <c r="D352" s="2" t="s">
        <v>1039</v>
      </c>
      <c r="E352" t="s">
        <v>1164</v>
      </c>
      <c r="F352" s="1">
        <v>45320</v>
      </c>
      <c r="G352" s="1">
        <v>45330</v>
      </c>
      <c r="H352" s="2">
        <v>10</v>
      </c>
      <c r="I352" s="2">
        <v>54000</v>
      </c>
      <c r="J352" s="2" t="s">
        <v>1017</v>
      </c>
      <c r="K352" t="s">
        <v>1059</v>
      </c>
      <c r="L352" t="s">
        <v>1037</v>
      </c>
      <c r="M352" s="2" t="s">
        <v>1019</v>
      </c>
      <c r="N352">
        <v>5</v>
      </c>
    </row>
    <row r="353" spans="1:14" x14ac:dyDescent="0.3">
      <c r="A353" t="s">
        <v>621</v>
      </c>
      <c r="B353">
        <v>56</v>
      </c>
      <c r="C353" t="s">
        <v>1014</v>
      </c>
      <c r="D353" s="2" t="s">
        <v>1039</v>
      </c>
      <c r="E353" t="s">
        <v>1164</v>
      </c>
      <c r="F353" s="1">
        <v>45334</v>
      </c>
      <c r="G353" s="1">
        <v>45344</v>
      </c>
      <c r="H353" s="2">
        <v>10</v>
      </c>
      <c r="I353" s="2">
        <v>56700</v>
      </c>
      <c r="J353" s="2" t="s">
        <v>1017</v>
      </c>
      <c r="K353" t="s">
        <v>1059</v>
      </c>
      <c r="L353" t="s">
        <v>1037</v>
      </c>
      <c r="M353" t="s">
        <v>1019</v>
      </c>
      <c r="N353">
        <v>5</v>
      </c>
    </row>
    <row r="354" spans="1:14" x14ac:dyDescent="0.3">
      <c r="A354" t="s">
        <v>630</v>
      </c>
      <c r="B354">
        <v>34</v>
      </c>
      <c r="C354" t="s">
        <v>1014</v>
      </c>
      <c r="D354" s="2" t="s">
        <v>1039</v>
      </c>
      <c r="E354" t="s">
        <v>1164</v>
      </c>
      <c r="F354" s="1">
        <v>45343</v>
      </c>
      <c r="G354" s="1">
        <v>45353</v>
      </c>
      <c r="H354" s="2">
        <v>10</v>
      </c>
      <c r="I354" s="2">
        <v>12000</v>
      </c>
      <c r="J354" s="2" t="s">
        <v>1017</v>
      </c>
      <c r="K354" t="s">
        <v>1059</v>
      </c>
      <c r="L354" t="s">
        <v>1037</v>
      </c>
      <c r="M354" s="2" t="s">
        <v>1019</v>
      </c>
      <c r="N354">
        <v>5</v>
      </c>
    </row>
    <row r="355" spans="1:14" x14ac:dyDescent="0.3">
      <c r="A355" t="s">
        <v>631</v>
      </c>
      <c r="B355">
        <v>45</v>
      </c>
      <c r="C355" t="s">
        <v>1014</v>
      </c>
      <c r="D355" s="2" t="s">
        <v>1039</v>
      </c>
      <c r="E355" t="s">
        <v>1164</v>
      </c>
      <c r="F355" s="1">
        <v>45344</v>
      </c>
      <c r="G355" s="1">
        <v>45354</v>
      </c>
      <c r="H355" s="2">
        <v>10</v>
      </c>
      <c r="I355" s="2">
        <v>45000</v>
      </c>
      <c r="J355" s="2" t="s">
        <v>1017</v>
      </c>
      <c r="K355" t="s">
        <v>1059</v>
      </c>
      <c r="L355" t="s">
        <v>1037</v>
      </c>
      <c r="M355" s="2" t="s">
        <v>1019</v>
      </c>
      <c r="N355">
        <v>5</v>
      </c>
    </row>
    <row r="356" spans="1:14" x14ac:dyDescent="0.3">
      <c r="A356" t="s">
        <v>632</v>
      </c>
      <c r="B356">
        <v>45</v>
      </c>
      <c r="C356" t="s">
        <v>1014</v>
      </c>
      <c r="D356" s="2" t="s">
        <v>1039</v>
      </c>
      <c r="E356" t="s">
        <v>1164</v>
      </c>
      <c r="F356" s="1">
        <v>45345</v>
      </c>
      <c r="G356" s="1">
        <v>45355</v>
      </c>
      <c r="H356" s="2">
        <v>10</v>
      </c>
      <c r="I356" s="2">
        <v>89000</v>
      </c>
      <c r="J356" s="2" t="s">
        <v>1023</v>
      </c>
      <c r="K356" t="s">
        <v>1059</v>
      </c>
      <c r="L356" t="s">
        <v>1018</v>
      </c>
      <c r="M356" s="2" t="s">
        <v>1019</v>
      </c>
      <c r="N356">
        <v>5</v>
      </c>
    </row>
    <row r="357" spans="1:14" x14ac:dyDescent="0.3">
      <c r="A357" t="s">
        <v>633</v>
      </c>
      <c r="B357">
        <v>56</v>
      </c>
      <c r="C357" t="s">
        <v>1014</v>
      </c>
      <c r="D357" s="2" t="s">
        <v>1039</v>
      </c>
      <c r="E357" t="s">
        <v>1164</v>
      </c>
      <c r="F357" s="1">
        <v>45346</v>
      </c>
      <c r="G357" s="1">
        <v>45356</v>
      </c>
      <c r="H357" s="2">
        <v>10</v>
      </c>
      <c r="I357" s="2">
        <v>12000</v>
      </c>
      <c r="J357" s="2" t="s">
        <v>1023</v>
      </c>
      <c r="K357" t="s">
        <v>1059</v>
      </c>
      <c r="L357" t="s">
        <v>1018</v>
      </c>
      <c r="M357" s="2" t="s">
        <v>1019</v>
      </c>
      <c r="N357">
        <v>5</v>
      </c>
    </row>
    <row r="358" spans="1:14" x14ac:dyDescent="0.3">
      <c r="A358" t="s">
        <v>634</v>
      </c>
      <c r="B358">
        <v>56</v>
      </c>
      <c r="C358" t="s">
        <v>1014</v>
      </c>
      <c r="D358" s="2" t="s">
        <v>1039</v>
      </c>
      <c r="E358" t="s">
        <v>1164</v>
      </c>
      <c r="F358" s="1">
        <v>45347</v>
      </c>
      <c r="G358" s="1">
        <v>45357</v>
      </c>
      <c r="H358" s="2">
        <v>10</v>
      </c>
      <c r="I358" s="2">
        <v>23000</v>
      </c>
      <c r="J358" s="2" t="s">
        <v>1023</v>
      </c>
      <c r="K358" t="s">
        <v>1059</v>
      </c>
      <c r="L358" t="s">
        <v>1037</v>
      </c>
      <c r="M358" s="2" t="s">
        <v>1019</v>
      </c>
      <c r="N358">
        <v>5</v>
      </c>
    </row>
    <row r="359" spans="1:14" x14ac:dyDescent="0.3">
      <c r="A359" t="s">
        <v>635</v>
      </c>
      <c r="B359">
        <v>65</v>
      </c>
      <c r="C359" t="s">
        <v>1014</v>
      </c>
      <c r="D359" s="2" t="s">
        <v>1039</v>
      </c>
      <c r="E359" t="s">
        <v>1164</v>
      </c>
      <c r="F359" s="1">
        <v>45348</v>
      </c>
      <c r="G359" s="1">
        <v>45358</v>
      </c>
      <c r="H359" s="2">
        <v>10</v>
      </c>
      <c r="I359" s="2">
        <v>3400</v>
      </c>
      <c r="J359" s="2" t="s">
        <v>1023</v>
      </c>
      <c r="K359" t="s">
        <v>1059</v>
      </c>
      <c r="L359" t="s">
        <v>1018</v>
      </c>
      <c r="M359" s="2" t="s">
        <v>1019</v>
      </c>
      <c r="N359">
        <v>5</v>
      </c>
    </row>
    <row r="360" spans="1:14" x14ac:dyDescent="0.3">
      <c r="A360" t="s">
        <v>636</v>
      </c>
      <c r="B360">
        <v>54</v>
      </c>
      <c r="C360" t="s">
        <v>1014</v>
      </c>
      <c r="D360" s="2" t="s">
        <v>1039</v>
      </c>
      <c r="E360" t="s">
        <v>1164</v>
      </c>
      <c r="F360" s="1">
        <v>45349</v>
      </c>
      <c r="G360" s="1">
        <v>45359</v>
      </c>
      <c r="H360" s="2">
        <v>10</v>
      </c>
      <c r="I360" s="2">
        <v>45000</v>
      </c>
      <c r="J360" s="2" t="s">
        <v>1023</v>
      </c>
      <c r="K360" t="s">
        <v>1059</v>
      </c>
      <c r="L360" t="s">
        <v>1037</v>
      </c>
      <c r="M360" s="2" t="s">
        <v>1019</v>
      </c>
      <c r="N360">
        <v>5</v>
      </c>
    </row>
    <row r="361" spans="1:14" x14ac:dyDescent="0.3">
      <c r="A361" t="s">
        <v>637</v>
      </c>
      <c r="B361">
        <v>43</v>
      </c>
      <c r="C361" t="s">
        <v>1014</v>
      </c>
      <c r="D361" s="2" t="s">
        <v>1039</v>
      </c>
      <c r="E361" t="s">
        <v>1164</v>
      </c>
      <c r="F361" s="1">
        <v>45350</v>
      </c>
      <c r="G361" s="1">
        <v>45360</v>
      </c>
      <c r="H361" s="2">
        <v>10</v>
      </c>
      <c r="I361" s="2">
        <v>56000</v>
      </c>
      <c r="J361" s="2" t="s">
        <v>1023</v>
      </c>
      <c r="K361" t="s">
        <v>1059</v>
      </c>
      <c r="L361" t="s">
        <v>1018</v>
      </c>
      <c r="M361" s="2" t="s">
        <v>1019</v>
      </c>
      <c r="N361">
        <v>5</v>
      </c>
    </row>
    <row r="362" spans="1:14" x14ac:dyDescent="0.3">
      <c r="A362" t="s">
        <v>764</v>
      </c>
      <c r="B362">
        <v>55</v>
      </c>
      <c r="C362" t="s">
        <v>1020</v>
      </c>
      <c r="D362" s="2" t="s">
        <v>1015</v>
      </c>
      <c r="E362" t="s">
        <v>1016</v>
      </c>
      <c r="F362" s="1">
        <v>45477</v>
      </c>
      <c r="G362" s="1">
        <v>45496</v>
      </c>
      <c r="H362" s="2">
        <v>19</v>
      </c>
      <c r="I362" s="2">
        <v>178000</v>
      </c>
      <c r="J362" s="2" t="s">
        <v>1027</v>
      </c>
      <c r="K362" t="s">
        <v>1052</v>
      </c>
      <c r="L362" t="s">
        <v>1037</v>
      </c>
      <c r="M362" s="2" t="s">
        <v>1019</v>
      </c>
      <c r="N362">
        <v>3.6</v>
      </c>
    </row>
    <row r="363" spans="1:14" x14ac:dyDescent="0.3">
      <c r="A363" t="s">
        <v>765</v>
      </c>
      <c r="B363">
        <v>44</v>
      </c>
      <c r="C363" t="s">
        <v>1020</v>
      </c>
      <c r="D363" s="2" t="s">
        <v>1015</v>
      </c>
      <c r="E363" t="s">
        <v>1016</v>
      </c>
      <c r="F363" s="1">
        <v>45478</v>
      </c>
      <c r="G363" s="1">
        <v>45497</v>
      </c>
      <c r="H363" s="2">
        <v>19</v>
      </c>
      <c r="I363" s="2">
        <v>167880</v>
      </c>
      <c r="J363" s="2" t="s">
        <v>1027</v>
      </c>
      <c r="K363" t="s">
        <v>1052</v>
      </c>
      <c r="L363" t="s">
        <v>1037</v>
      </c>
      <c r="M363" s="2" t="s">
        <v>1019</v>
      </c>
      <c r="N363">
        <v>3.6</v>
      </c>
    </row>
    <row r="364" spans="1:14" x14ac:dyDescent="0.3">
      <c r="A364" t="s">
        <v>766</v>
      </c>
      <c r="B364">
        <v>66</v>
      </c>
      <c r="C364" t="s">
        <v>1020</v>
      </c>
      <c r="D364" s="2" t="s">
        <v>1015</v>
      </c>
      <c r="E364" t="s">
        <v>1016</v>
      </c>
      <c r="F364" s="1">
        <v>45479</v>
      </c>
      <c r="G364" s="1">
        <v>45498</v>
      </c>
      <c r="H364" s="2">
        <v>19</v>
      </c>
      <c r="I364" s="2">
        <v>146700</v>
      </c>
      <c r="J364" s="2" t="s">
        <v>1027</v>
      </c>
      <c r="K364" t="s">
        <v>1052</v>
      </c>
      <c r="L364" t="s">
        <v>1037</v>
      </c>
      <c r="M364" s="2" t="s">
        <v>1019</v>
      </c>
      <c r="N364">
        <v>3.6</v>
      </c>
    </row>
    <row r="365" spans="1:14" x14ac:dyDescent="0.3">
      <c r="A365" t="s">
        <v>767</v>
      </c>
      <c r="B365">
        <v>77</v>
      </c>
      <c r="C365" t="s">
        <v>1020</v>
      </c>
      <c r="D365" s="2" t="s">
        <v>1015</v>
      </c>
      <c r="E365" t="s">
        <v>1016</v>
      </c>
      <c r="F365" s="1">
        <v>45480</v>
      </c>
      <c r="G365" s="1">
        <v>45499</v>
      </c>
      <c r="H365" s="2">
        <v>19</v>
      </c>
      <c r="I365" s="2">
        <v>89000</v>
      </c>
      <c r="J365" s="2" t="s">
        <v>1027</v>
      </c>
      <c r="K365" t="s">
        <v>1052</v>
      </c>
      <c r="L365" t="s">
        <v>1018</v>
      </c>
      <c r="M365" s="2" t="s">
        <v>1019</v>
      </c>
      <c r="N365">
        <v>3.6</v>
      </c>
    </row>
    <row r="366" spans="1:14" x14ac:dyDescent="0.3">
      <c r="A366" t="s">
        <v>768</v>
      </c>
      <c r="B366">
        <v>88</v>
      </c>
      <c r="C366" t="s">
        <v>1020</v>
      </c>
      <c r="D366" s="2" t="s">
        <v>1015</v>
      </c>
      <c r="E366" t="s">
        <v>1016</v>
      </c>
      <c r="F366" s="1">
        <v>45481</v>
      </c>
      <c r="G366" s="1">
        <v>45500</v>
      </c>
      <c r="H366" s="2">
        <v>19</v>
      </c>
      <c r="I366" s="2">
        <v>98000</v>
      </c>
      <c r="J366" s="2" t="s">
        <v>1027</v>
      </c>
      <c r="K366" t="s">
        <v>1052</v>
      </c>
      <c r="L366" t="s">
        <v>1018</v>
      </c>
      <c r="M366" s="2" t="s">
        <v>1019</v>
      </c>
      <c r="N366">
        <v>3.6</v>
      </c>
    </row>
    <row r="367" spans="1:14" x14ac:dyDescent="0.3">
      <c r="A367" t="s">
        <v>769</v>
      </c>
      <c r="B367">
        <v>99</v>
      </c>
      <c r="C367" t="s">
        <v>1020</v>
      </c>
      <c r="D367" s="2" t="s">
        <v>1015</v>
      </c>
      <c r="E367" t="s">
        <v>1016</v>
      </c>
      <c r="F367" s="1">
        <v>45482</v>
      </c>
      <c r="G367" s="1">
        <v>45501</v>
      </c>
      <c r="H367" s="2">
        <v>19</v>
      </c>
      <c r="I367" s="2">
        <v>78900</v>
      </c>
      <c r="J367" s="2" t="s">
        <v>1027</v>
      </c>
      <c r="K367" t="s">
        <v>1052</v>
      </c>
      <c r="L367" t="s">
        <v>1037</v>
      </c>
      <c r="M367" s="2" t="s">
        <v>1019</v>
      </c>
      <c r="N367">
        <v>3.6</v>
      </c>
    </row>
    <row r="368" spans="1:14" x14ac:dyDescent="0.3">
      <c r="A368" t="s">
        <v>770</v>
      </c>
      <c r="B368">
        <v>88</v>
      </c>
      <c r="C368" t="s">
        <v>1020</v>
      </c>
      <c r="D368" s="2" t="s">
        <v>1015</v>
      </c>
      <c r="E368" t="s">
        <v>1088</v>
      </c>
      <c r="F368" s="1">
        <v>45483</v>
      </c>
      <c r="G368" s="1">
        <v>45502</v>
      </c>
      <c r="H368" s="2">
        <v>19</v>
      </c>
      <c r="I368" s="2">
        <v>56799</v>
      </c>
      <c r="J368" s="2" t="s">
        <v>1027</v>
      </c>
      <c r="K368" t="s">
        <v>1052</v>
      </c>
      <c r="L368" t="s">
        <v>1018</v>
      </c>
      <c r="M368" s="2" t="s">
        <v>1019</v>
      </c>
      <c r="N368">
        <v>3.6</v>
      </c>
    </row>
    <row r="369" spans="1:14" x14ac:dyDescent="0.3">
      <c r="A369" t="s">
        <v>771</v>
      </c>
      <c r="B369">
        <v>77</v>
      </c>
      <c r="C369" t="s">
        <v>1020</v>
      </c>
      <c r="D369" s="2" t="s">
        <v>1015</v>
      </c>
      <c r="E369" t="s">
        <v>1088</v>
      </c>
      <c r="F369" s="1">
        <v>45484</v>
      </c>
      <c r="G369" s="1">
        <v>45503</v>
      </c>
      <c r="H369" s="2">
        <v>19</v>
      </c>
      <c r="I369" s="2">
        <v>87000</v>
      </c>
      <c r="J369" s="2" t="s">
        <v>1027</v>
      </c>
      <c r="K369" t="s">
        <v>1052</v>
      </c>
      <c r="L369" t="s">
        <v>1037</v>
      </c>
      <c r="M369" s="2" t="s">
        <v>1019</v>
      </c>
      <c r="N369">
        <v>3.6</v>
      </c>
    </row>
    <row r="370" spans="1:14" x14ac:dyDescent="0.3">
      <c r="A370" t="s">
        <v>772</v>
      </c>
      <c r="B370">
        <v>66</v>
      </c>
      <c r="C370" t="s">
        <v>1020</v>
      </c>
      <c r="D370" s="2" t="s">
        <v>1015</v>
      </c>
      <c r="E370" t="s">
        <v>1088</v>
      </c>
      <c r="F370" s="1">
        <v>45485</v>
      </c>
      <c r="G370" s="1">
        <v>45504</v>
      </c>
      <c r="H370" s="2">
        <v>19</v>
      </c>
      <c r="I370" s="2">
        <v>120000</v>
      </c>
      <c r="J370" s="2" t="s">
        <v>1027</v>
      </c>
      <c r="K370" t="s">
        <v>1052</v>
      </c>
      <c r="L370" t="s">
        <v>1018</v>
      </c>
      <c r="M370" s="2" t="s">
        <v>1019</v>
      </c>
      <c r="N370">
        <v>3.6</v>
      </c>
    </row>
    <row r="371" spans="1:14" x14ac:dyDescent="0.3">
      <c r="A371" t="s">
        <v>773</v>
      </c>
      <c r="B371">
        <v>56</v>
      </c>
      <c r="C371" t="s">
        <v>1020</v>
      </c>
      <c r="D371" s="2" t="s">
        <v>1015</v>
      </c>
      <c r="E371" t="s">
        <v>1088</v>
      </c>
      <c r="F371" s="1">
        <v>45486</v>
      </c>
      <c r="G371" s="1">
        <v>45505</v>
      </c>
      <c r="H371" s="2">
        <v>19</v>
      </c>
      <c r="I371" s="2">
        <v>131000</v>
      </c>
      <c r="J371" s="2" t="s">
        <v>1027</v>
      </c>
      <c r="K371" t="s">
        <v>1052</v>
      </c>
      <c r="L371" t="s">
        <v>1018</v>
      </c>
      <c r="M371" s="2" t="s">
        <v>1019</v>
      </c>
      <c r="N371">
        <v>3.6</v>
      </c>
    </row>
    <row r="372" spans="1:14" x14ac:dyDescent="0.3">
      <c r="A372" t="s">
        <v>774</v>
      </c>
      <c r="B372">
        <v>57</v>
      </c>
      <c r="C372" t="s">
        <v>1020</v>
      </c>
      <c r="D372" s="2" t="s">
        <v>1015</v>
      </c>
      <c r="E372" t="s">
        <v>1088</v>
      </c>
      <c r="F372" s="1">
        <v>45487</v>
      </c>
      <c r="G372" s="1">
        <v>45506</v>
      </c>
      <c r="H372" s="2">
        <v>19</v>
      </c>
      <c r="I372" s="2">
        <v>141000</v>
      </c>
      <c r="J372" s="2" t="s">
        <v>1027</v>
      </c>
      <c r="K372" t="s">
        <v>1052</v>
      </c>
      <c r="L372" t="s">
        <v>1018</v>
      </c>
      <c r="M372" s="2" t="s">
        <v>1019</v>
      </c>
      <c r="N372">
        <v>3.6</v>
      </c>
    </row>
    <row r="373" spans="1:14" x14ac:dyDescent="0.3">
      <c r="A373" t="s">
        <v>775</v>
      </c>
      <c r="B373">
        <v>58</v>
      </c>
      <c r="C373" t="s">
        <v>1020</v>
      </c>
      <c r="D373" s="2" t="s">
        <v>1015</v>
      </c>
      <c r="E373" t="s">
        <v>1088</v>
      </c>
      <c r="F373" s="1">
        <v>45488</v>
      </c>
      <c r="G373" s="1">
        <v>45507</v>
      </c>
      <c r="H373" s="2">
        <v>19</v>
      </c>
      <c r="I373" s="2">
        <v>151000</v>
      </c>
      <c r="J373" s="2" t="s">
        <v>1027</v>
      </c>
      <c r="K373" t="s">
        <v>1052</v>
      </c>
      <c r="L373" t="s">
        <v>1037</v>
      </c>
      <c r="M373" s="2" t="s">
        <v>1019</v>
      </c>
      <c r="N373">
        <v>3.6</v>
      </c>
    </row>
    <row r="374" spans="1:14" x14ac:dyDescent="0.3">
      <c r="A374" t="s">
        <v>776</v>
      </c>
      <c r="B374">
        <v>59</v>
      </c>
      <c r="C374" t="s">
        <v>1020</v>
      </c>
      <c r="D374" s="2" t="s">
        <v>1015</v>
      </c>
      <c r="E374" t="s">
        <v>1088</v>
      </c>
      <c r="F374" s="1">
        <v>45489</v>
      </c>
      <c r="G374" s="1">
        <v>45508</v>
      </c>
      <c r="H374" s="2">
        <v>19</v>
      </c>
      <c r="I374" s="2">
        <v>161000</v>
      </c>
      <c r="J374" s="2" t="s">
        <v>1027</v>
      </c>
      <c r="K374" t="s">
        <v>1052</v>
      </c>
      <c r="L374" t="s">
        <v>1018</v>
      </c>
      <c r="M374" s="2" t="s">
        <v>1019</v>
      </c>
      <c r="N374">
        <v>3.6</v>
      </c>
    </row>
    <row r="375" spans="1:14" x14ac:dyDescent="0.3">
      <c r="A375" t="s">
        <v>777</v>
      </c>
      <c r="B375">
        <v>45</v>
      </c>
      <c r="C375" t="s">
        <v>1020</v>
      </c>
      <c r="D375" s="2" t="s">
        <v>1015</v>
      </c>
      <c r="E375" t="s">
        <v>1088</v>
      </c>
      <c r="F375" s="1">
        <v>45490</v>
      </c>
      <c r="G375" s="1">
        <v>45509</v>
      </c>
      <c r="H375" s="2">
        <v>19</v>
      </c>
      <c r="I375" s="2">
        <v>100000</v>
      </c>
      <c r="J375" s="2" t="s">
        <v>1027</v>
      </c>
      <c r="K375" t="s">
        <v>1052</v>
      </c>
      <c r="L375" t="s">
        <v>1037</v>
      </c>
      <c r="M375" s="2" t="s">
        <v>1019</v>
      </c>
      <c r="N375">
        <v>3.6</v>
      </c>
    </row>
    <row r="376" spans="1:14" x14ac:dyDescent="0.3">
      <c r="A376" t="s">
        <v>778</v>
      </c>
      <c r="B376">
        <v>34</v>
      </c>
      <c r="C376" t="s">
        <v>1020</v>
      </c>
      <c r="D376" s="2" t="s">
        <v>1015</v>
      </c>
      <c r="E376" t="s">
        <v>1088</v>
      </c>
      <c r="F376" s="1">
        <v>45491</v>
      </c>
      <c r="G376" s="1">
        <v>45510</v>
      </c>
      <c r="H376" s="2">
        <v>19</v>
      </c>
      <c r="I376" s="2">
        <v>100000</v>
      </c>
      <c r="J376" s="2" t="s">
        <v>1027</v>
      </c>
      <c r="K376" t="s">
        <v>1052</v>
      </c>
      <c r="L376" t="s">
        <v>1018</v>
      </c>
      <c r="M376" s="2" t="s">
        <v>1019</v>
      </c>
      <c r="N376">
        <v>3.6</v>
      </c>
    </row>
    <row r="377" spans="1:14" x14ac:dyDescent="0.3">
      <c r="A377" t="s">
        <v>779</v>
      </c>
      <c r="B377">
        <v>32</v>
      </c>
      <c r="C377" t="s">
        <v>1020</v>
      </c>
      <c r="D377" s="2" t="s">
        <v>1015</v>
      </c>
      <c r="E377" t="s">
        <v>1088</v>
      </c>
      <c r="F377" s="1">
        <v>45492</v>
      </c>
      <c r="G377" s="1">
        <v>45511</v>
      </c>
      <c r="H377" s="2">
        <v>19</v>
      </c>
      <c r="I377" s="2">
        <v>100000</v>
      </c>
      <c r="J377" s="2" t="s">
        <v>1027</v>
      </c>
      <c r="K377" t="s">
        <v>1052</v>
      </c>
      <c r="L377" t="s">
        <v>1037</v>
      </c>
      <c r="M377" s="2" t="s">
        <v>1019</v>
      </c>
      <c r="N377">
        <v>3.6</v>
      </c>
    </row>
    <row r="378" spans="1:14" x14ac:dyDescent="0.3">
      <c r="A378" t="s">
        <v>780</v>
      </c>
      <c r="B378">
        <v>12</v>
      </c>
      <c r="C378" t="s">
        <v>1020</v>
      </c>
      <c r="D378" s="2" t="s">
        <v>1015</v>
      </c>
      <c r="E378" t="s">
        <v>1088</v>
      </c>
      <c r="F378" s="1">
        <v>45493</v>
      </c>
      <c r="G378" s="1">
        <v>45512</v>
      </c>
      <c r="H378" s="2">
        <v>19</v>
      </c>
      <c r="I378" s="2">
        <v>100000</v>
      </c>
      <c r="J378" s="2" t="s">
        <v>1027</v>
      </c>
      <c r="K378" t="s">
        <v>1052</v>
      </c>
      <c r="L378" t="s">
        <v>1037</v>
      </c>
      <c r="M378" s="2" t="s">
        <v>1019</v>
      </c>
      <c r="N378">
        <v>3.6</v>
      </c>
    </row>
    <row r="379" spans="1:14" x14ac:dyDescent="0.3">
      <c r="A379" t="s">
        <v>781</v>
      </c>
      <c r="B379">
        <v>34</v>
      </c>
      <c r="C379" t="s">
        <v>1020</v>
      </c>
      <c r="D379" s="2" t="s">
        <v>1015</v>
      </c>
      <c r="E379" t="s">
        <v>1088</v>
      </c>
      <c r="F379" s="1">
        <v>45494</v>
      </c>
      <c r="G379" s="1">
        <v>45513</v>
      </c>
      <c r="H379" s="2">
        <v>19</v>
      </c>
      <c r="I379" s="2">
        <v>100000</v>
      </c>
      <c r="J379" s="2" t="s">
        <v>1027</v>
      </c>
      <c r="K379" t="s">
        <v>1052</v>
      </c>
      <c r="L379" t="s">
        <v>1037</v>
      </c>
      <c r="M379" s="2" t="s">
        <v>1019</v>
      </c>
      <c r="N379">
        <v>3.6</v>
      </c>
    </row>
    <row r="380" spans="1:14" x14ac:dyDescent="0.3">
      <c r="A380" t="s">
        <v>782</v>
      </c>
      <c r="B380">
        <v>12</v>
      </c>
      <c r="C380" t="s">
        <v>1020</v>
      </c>
      <c r="D380" s="2" t="s">
        <v>1015</v>
      </c>
      <c r="E380" t="s">
        <v>1166</v>
      </c>
      <c r="F380" s="1">
        <v>45495</v>
      </c>
      <c r="G380" s="1">
        <v>45514</v>
      </c>
      <c r="H380" s="2">
        <v>19</v>
      </c>
      <c r="I380" s="2">
        <v>100000</v>
      </c>
      <c r="J380" s="2" t="s">
        <v>1027</v>
      </c>
      <c r="K380" t="s">
        <v>1052</v>
      </c>
      <c r="L380" t="s">
        <v>1018</v>
      </c>
      <c r="M380" s="2" t="s">
        <v>1019</v>
      </c>
      <c r="N380">
        <v>3.6</v>
      </c>
    </row>
    <row r="381" spans="1:14" x14ac:dyDescent="0.3">
      <c r="A381" t="s">
        <v>783</v>
      </c>
      <c r="B381">
        <v>44</v>
      </c>
      <c r="C381" t="s">
        <v>1020</v>
      </c>
      <c r="D381" s="2" t="s">
        <v>1015</v>
      </c>
      <c r="E381" t="s">
        <v>1166</v>
      </c>
      <c r="F381" s="1">
        <v>45496</v>
      </c>
      <c r="G381" s="1">
        <v>45515</v>
      </c>
      <c r="H381" s="2">
        <v>19</v>
      </c>
      <c r="I381" s="2">
        <v>100000</v>
      </c>
      <c r="J381" s="2" t="s">
        <v>1027</v>
      </c>
      <c r="K381" t="s">
        <v>1052</v>
      </c>
      <c r="L381" t="s">
        <v>1018</v>
      </c>
      <c r="M381" s="2" t="s">
        <v>1019</v>
      </c>
      <c r="N381">
        <v>3.6</v>
      </c>
    </row>
    <row r="382" spans="1:14" x14ac:dyDescent="0.3">
      <c r="A382" t="s">
        <v>784</v>
      </c>
      <c r="B382">
        <v>34</v>
      </c>
      <c r="C382" t="s">
        <v>1020</v>
      </c>
      <c r="D382" s="2" t="s">
        <v>1015</v>
      </c>
      <c r="E382" t="s">
        <v>1166</v>
      </c>
      <c r="F382" s="1">
        <v>45497</v>
      </c>
      <c r="G382" s="1">
        <v>45516</v>
      </c>
      <c r="H382" s="2">
        <v>19</v>
      </c>
      <c r="I382" s="2">
        <v>100000</v>
      </c>
      <c r="J382" s="2" t="s">
        <v>1027</v>
      </c>
      <c r="K382" t="s">
        <v>1052</v>
      </c>
      <c r="L382" t="s">
        <v>1037</v>
      </c>
      <c r="M382" s="2" t="s">
        <v>1019</v>
      </c>
      <c r="N382">
        <v>3.6</v>
      </c>
    </row>
    <row r="383" spans="1:14" x14ac:dyDescent="0.3">
      <c r="A383" t="s">
        <v>785</v>
      </c>
      <c r="B383">
        <v>56</v>
      </c>
      <c r="C383" t="s">
        <v>1020</v>
      </c>
      <c r="D383" s="2" t="s">
        <v>1015</v>
      </c>
      <c r="E383" t="s">
        <v>1166</v>
      </c>
      <c r="F383" s="1">
        <v>45498</v>
      </c>
      <c r="G383" s="1">
        <v>45517</v>
      </c>
      <c r="H383" s="2">
        <v>19</v>
      </c>
      <c r="I383" s="2">
        <v>100000</v>
      </c>
      <c r="J383" s="2" t="s">
        <v>1027</v>
      </c>
      <c r="K383" t="s">
        <v>1052</v>
      </c>
      <c r="L383" t="s">
        <v>1018</v>
      </c>
      <c r="M383" s="2" t="s">
        <v>1019</v>
      </c>
      <c r="N383">
        <v>3.6</v>
      </c>
    </row>
    <row r="384" spans="1:14" x14ac:dyDescent="0.3">
      <c r="A384" t="s">
        <v>786</v>
      </c>
      <c r="B384">
        <v>32</v>
      </c>
      <c r="C384" t="s">
        <v>1020</v>
      </c>
      <c r="D384" s="2" t="s">
        <v>1015</v>
      </c>
      <c r="E384" t="s">
        <v>1166</v>
      </c>
      <c r="F384" s="1">
        <v>45499</v>
      </c>
      <c r="G384" s="1">
        <v>45518</v>
      </c>
      <c r="H384" s="2">
        <v>19</v>
      </c>
      <c r="I384" s="2">
        <v>100000</v>
      </c>
      <c r="J384" s="2" t="s">
        <v>1027</v>
      </c>
      <c r="K384" t="s">
        <v>1052</v>
      </c>
      <c r="L384" t="s">
        <v>1037</v>
      </c>
      <c r="M384" s="2" t="s">
        <v>1019</v>
      </c>
      <c r="N384">
        <v>3.6</v>
      </c>
    </row>
    <row r="385" spans="1:14" x14ac:dyDescent="0.3">
      <c r="A385" t="s">
        <v>787</v>
      </c>
      <c r="B385">
        <v>45</v>
      </c>
      <c r="C385" t="s">
        <v>1020</v>
      </c>
      <c r="D385" s="2" t="s">
        <v>1015</v>
      </c>
      <c r="E385" t="s">
        <v>1166</v>
      </c>
      <c r="F385" s="1">
        <v>45500</v>
      </c>
      <c r="G385" s="1">
        <v>45519</v>
      </c>
      <c r="H385" s="2">
        <v>19</v>
      </c>
      <c r="I385" s="2">
        <v>100000</v>
      </c>
      <c r="J385" s="2" t="s">
        <v>1027</v>
      </c>
      <c r="K385" t="s">
        <v>1052</v>
      </c>
      <c r="L385" t="s">
        <v>1018</v>
      </c>
      <c r="M385" s="2" t="s">
        <v>1019</v>
      </c>
      <c r="N385">
        <v>3.6</v>
      </c>
    </row>
    <row r="386" spans="1:14" x14ac:dyDescent="0.3">
      <c r="A386" t="s">
        <v>788</v>
      </c>
      <c r="B386">
        <v>34</v>
      </c>
      <c r="C386" t="s">
        <v>1020</v>
      </c>
      <c r="D386" s="2" t="s">
        <v>1015</v>
      </c>
      <c r="E386" t="s">
        <v>1166</v>
      </c>
      <c r="F386" s="1">
        <v>45501</v>
      </c>
      <c r="G386" s="1">
        <v>45520</v>
      </c>
      <c r="H386" s="2">
        <v>19</v>
      </c>
      <c r="I386" s="2">
        <v>100000</v>
      </c>
      <c r="J386" s="2" t="s">
        <v>1027</v>
      </c>
      <c r="K386" t="s">
        <v>1052</v>
      </c>
      <c r="L386" t="s">
        <v>1018</v>
      </c>
      <c r="M386" s="2" t="s">
        <v>1019</v>
      </c>
      <c r="N386">
        <v>3.6</v>
      </c>
    </row>
    <row r="387" spans="1:14" x14ac:dyDescent="0.3">
      <c r="A387" t="s">
        <v>789</v>
      </c>
      <c r="B387">
        <v>32</v>
      </c>
      <c r="C387" t="s">
        <v>1020</v>
      </c>
      <c r="D387" s="2" t="s">
        <v>1015</v>
      </c>
      <c r="E387" t="s">
        <v>1166</v>
      </c>
      <c r="F387" s="1">
        <v>45502</v>
      </c>
      <c r="G387" s="1">
        <v>45521</v>
      </c>
      <c r="H387" s="2">
        <v>19</v>
      </c>
      <c r="I387" s="2">
        <v>100000</v>
      </c>
      <c r="J387" s="2" t="s">
        <v>1027</v>
      </c>
      <c r="K387" t="s">
        <v>1052</v>
      </c>
      <c r="L387" t="s">
        <v>1018</v>
      </c>
      <c r="M387" s="2" t="s">
        <v>1019</v>
      </c>
      <c r="N387">
        <v>3.6</v>
      </c>
    </row>
    <row r="388" spans="1:14" x14ac:dyDescent="0.3">
      <c r="A388" t="s">
        <v>790</v>
      </c>
      <c r="B388">
        <v>21</v>
      </c>
      <c r="C388" t="s">
        <v>1020</v>
      </c>
      <c r="D388" s="2" t="s">
        <v>1015</v>
      </c>
      <c r="E388" t="s">
        <v>1166</v>
      </c>
      <c r="F388" s="1">
        <v>45503</v>
      </c>
      <c r="G388" s="1">
        <v>45522</v>
      </c>
      <c r="H388" s="2">
        <v>19</v>
      </c>
      <c r="I388" s="2">
        <v>100000</v>
      </c>
      <c r="J388" s="2" t="s">
        <v>1027</v>
      </c>
      <c r="K388" t="s">
        <v>1052</v>
      </c>
      <c r="L388" t="s">
        <v>1037</v>
      </c>
      <c r="M388" s="2" t="s">
        <v>1019</v>
      </c>
      <c r="N388">
        <v>3.6</v>
      </c>
    </row>
    <row r="389" spans="1:14" x14ac:dyDescent="0.3">
      <c r="A389" t="s">
        <v>791</v>
      </c>
      <c r="B389">
        <v>32</v>
      </c>
      <c r="C389" t="s">
        <v>1020</v>
      </c>
      <c r="D389" s="2" t="s">
        <v>1015</v>
      </c>
      <c r="E389" t="s">
        <v>1166</v>
      </c>
      <c r="F389" s="1">
        <v>45504</v>
      </c>
      <c r="G389" s="1">
        <v>45523</v>
      </c>
      <c r="H389" s="2">
        <v>19</v>
      </c>
      <c r="I389" s="2">
        <v>100000</v>
      </c>
      <c r="J389" s="2" t="s">
        <v>1027</v>
      </c>
      <c r="K389" t="s">
        <v>1052</v>
      </c>
      <c r="L389" t="s">
        <v>1018</v>
      </c>
      <c r="M389" s="2" t="s">
        <v>1019</v>
      </c>
      <c r="N389">
        <v>3.6</v>
      </c>
    </row>
    <row r="390" spans="1:14" x14ac:dyDescent="0.3">
      <c r="A390" t="s">
        <v>792</v>
      </c>
      <c r="B390">
        <v>44</v>
      </c>
      <c r="C390" t="s">
        <v>1020</v>
      </c>
      <c r="D390" s="2" t="s">
        <v>1015</v>
      </c>
      <c r="E390" t="s">
        <v>1166</v>
      </c>
      <c r="F390" s="1">
        <v>45505</v>
      </c>
      <c r="G390" s="1">
        <v>45524</v>
      </c>
      <c r="H390" s="2">
        <v>19</v>
      </c>
      <c r="I390" s="2">
        <v>100000</v>
      </c>
      <c r="J390" s="2" t="s">
        <v>1027</v>
      </c>
      <c r="K390" t="s">
        <v>1052</v>
      </c>
      <c r="L390" t="s">
        <v>1037</v>
      </c>
      <c r="M390" s="2" t="s">
        <v>1019</v>
      </c>
      <c r="N390">
        <v>3.6</v>
      </c>
    </row>
    <row r="391" spans="1:14" x14ac:dyDescent="0.3">
      <c r="A391" t="s">
        <v>793</v>
      </c>
      <c r="B391">
        <v>54</v>
      </c>
      <c r="C391" t="s">
        <v>1020</v>
      </c>
      <c r="D391" s="2" t="s">
        <v>1015</v>
      </c>
      <c r="E391" t="s">
        <v>1166</v>
      </c>
      <c r="F391" s="1">
        <v>45506</v>
      </c>
      <c r="G391" s="1">
        <v>45525</v>
      </c>
      <c r="H391" s="2">
        <v>19</v>
      </c>
      <c r="I391" s="2">
        <v>100000</v>
      </c>
      <c r="J391" s="2" t="s">
        <v>1027</v>
      </c>
      <c r="K391" t="s">
        <v>1052</v>
      </c>
      <c r="L391" t="s">
        <v>1018</v>
      </c>
      <c r="M391" s="2" t="s">
        <v>1019</v>
      </c>
      <c r="N391">
        <v>3.6</v>
      </c>
    </row>
    <row r="392" spans="1:14" x14ac:dyDescent="0.3">
      <c r="A392" t="s">
        <v>794</v>
      </c>
      <c r="B392">
        <v>53</v>
      </c>
      <c r="C392" t="s">
        <v>1020</v>
      </c>
      <c r="D392" s="2" t="s">
        <v>1015</v>
      </c>
      <c r="E392" t="s">
        <v>1166</v>
      </c>
      <c r="F392" s="1">
        <v>45507</v>
      </c>
      <c r="G392" s="1">
        <v>45526</v>
      </c>
      <c r="H392" s="2">
        <v>19</v>
      </c>
      <c r="I392" s="2">
        <v>120000</v>
      </c>
      <c r="J392" s="2" t="s">
        <v>1027</v>
      </c>
      <c r="K392" t="s">
        <v>1052</v>
      </c>
      <c r="L392" t="s">
        <v>1037</v>
      </c>
      <c r="M392" s="2" t="s">
        <v>1019</v>
      </c>
      <c r="N392">
        <v>3.6</v>
      </c>
    </row>
    <row r="393" spans="1:14" x14ac:dyDescent="0.3">
      <c r="A393" t="s">
        <v>795</v>
      </c>
      <c r="B393">
        <v>43</v>
      </c>
      <c r="C393" t="s">
        <v>1020</v>
      </c>
      <c r="D393" s="2" t="s">
        <v>1015</v>
      </c>
      <c r="E393" t="s">
        <v>1166</v>
      </c>
      <c r="F393" s="1">
        <v>45508</v>
      </c>
      <c r="G393" s="1">
        <v>45527</v>
      </c>
      <c r="H393" s="2">
        <v>19</v>
      </c>
      <c r="I393" s="2">
        <v>120000</v>
      </c>
      <c r="J393" s="2" t="s">
        <v>1027</v>
      </c>
      <c r="K393" t="s">
        <v>1052</v>
      </c>
      <c r="L393" t="s">
        <v>1037</v>
      </c>
      <c r="M393" s="2" t="s">
        <v>1019</v>
      </c>
      <c r="N393">
        <v>3.6</v>
      </c>
    </row>
    <row r="394" spans="1:14" x14ac:dyDescent="0.3">
      <c r="A394" t="s">
        <v>796</v>
      </c>
      <c r="B394">
        <v>42</v>
      </c>
      <c r="C394" t="s">
        <v>1020</v>
      </c>
      <c r="D394" s="2" t="s">
        <v>1015</v>
      </c>
      <c r="E394" t="s">
        <v>1167</v>
      </c>
      <c r="F394" s="1">
        <v>45509</v>
      </c>
      <c r="G394" s="1">
        <v>45528</v>
      </c>
      <c r="H394" s="2">
        <v>19</v>
      </c>
      <c r="I394" s="2">
        <v>120000</v>
      </c>
      <c r="J394" s="2" t="s">
        <v>1027</v>
      </c>
      <c r="K394" t="s">
        <v>1052</v>
      </c>
      <c r="L394" t="s">
        <v>1037</v>
      </c>
      <c r="M394" s="2" t="s">
        <v>1019</v>
      </c>
      <c r="N394">
        <v>3.6</v>
      </c>
    </row>
    <row r="395" spans="1:14" x14ac:dyDescent="0.3">
      <c r="A395" t="s">
        <v>797</v>
      </c>
      <c r="B395">
        <v>41</v>
      </c>
      <c r="C395" t="s">
        <v>1020</v>
      </c>
      <c r="D395" s="2" t="s">
        <v>1015</v>
      </c>
      <c r="E395" t="s">
        <v>1167</v>
      </c>
      <c r="F395" s="1">
        <v>45510</v>
      </c>
      <c r="G395" s="1">
        <v>45529</v>
      </c>
      <c r="H395" s="2">
        <v>19</v>
      </c>
      <c r="I395" s="2">
        <v>120000</v>
      </c>
      <c r="J395" s="2" t="s">
        <v>1027</v>
      </c>
      <c r="K395" t="s">
        <v>1052</v>
      </c>
      <c r="L395" t="s">
        <v>1018</v>
      </c>
      <c r="M395" s="2" t="s">
        <v>1019</v>
      </c>
      <c r="N395">
        <v>3.6</v>
      </c>
    </row>
    <row r="396" spans="1:14" x14ac:dyDescent="0.3">
      <c r="A396" t="s">
        <v>798</v>
      </c>
      <c r="B396">
        <v>32</v>
      </c>
      <c r="C396" t="s">
        <v>1020</v>
      </c>
      <c r="D396" s="2" t="s">
        <v>1015</v>
      </c>
      <c r="E396" t="s">
        <v>1167</v>
      </c>
      <c r="F396" s="1">
        <v>45511</v>
      </c>
      <c r="G396" s="1">
        <v>45532</v>
      </c>
      <c r="H396" s="2">
        <v>21</v>
      </c>
      <c r="I396" s="2">
        <v>120000</v>
      </c>
      <c r="J396" s="2" t="s">
        <v>1027</v>
      </c>
      <c r="K396" t="s">
        <v>1052</v>
      </c>
      <c r="L396" t="s">
        <v>1018</v>
      </c>
      <c r="M396" s="2" t="s">
        <v>1019</v>
      </c>
      <c r="N396">
        <v>3.6</v>
      </c>
    </row>
    <row r="397" spans="1:14" x14ac:dyDescent="0.3">
      <c r="A397" t="s">
        <v>799</v>
      </c>
      <c r="B397">
        <v>34</v>
      </c>
      <c r="C397" t="s">
        <v>1020</v>
      </c>
      <c r="D397" s="2" t="s">
        <v>1015</v>
      </c>
      <c r="E397" t="s">
        <v>1167</v>
      </c>
      <c r="F397" s="1">
        <v>45512</v>
      </c>
      <c r="G397" s="1">
        <v>45533</v>
      </c>
      <c r="H397" s="2">
        <v>21</v>
      </c>
      <c r="I397" s="2">
        <v>120000</v>
      </c>
      <c r="J397" s="2" t="s">
        <v>1027</v>
      </c>
      <c r="K397" t="s">
        <v>1052</v>
      </c>
      <c r="L397" t="s">
        <v>1037</v>
      </c>
      <c r="M397" s="2" t="s">
        <v>1019</v>
      </c>
      <c r="N397">
        <v>3.6</v>
      </c>
    </row>
    <row r="398" spans="1:14" x14ac:dyDescent="0.3">
      <c r="A398" t="s">
        <v>800</v>
      </c>
      <c r="B398">
        <v>35</v>
      </c>
      <c r="C398" t="s">
        <v>1020</v>
      </c>
      <c r="D398" s="2" t="s">
        <v>1015</v>
      </c>
      <c r="E398" t="s">
        <v>1167</v>
      </c>
      <c r="F398" s="1">
        <v>45513</v>
      </c>
      <c r="G398" s="1">
        <v>45534</v>
      </c>
      <c r="H398" s="2">
        <v>21</v>
      </c>
      <c r="I398" s="2">
        <v>120000</v>
      </c>
      <c r="J398" s="2" t="s">
        <v>1027</v>
      </c>
      <c r="K398" t="s">
        <v>1052</v>
      </c>
      <c r="L398" t="s">
        <v>1018</v>
      </c>
      <c r="M398" s="2" t="s">
        <v>1019</v>
      </c>
      <c r="N398">
        <v>3.6</v>
      </c>
    </row>
    <row r="399" spans="1:14" x14ac:dyDescent="0.3">
      <c r="A399" t="s">
        <v>801</v>
      </c>
      <c r="B399">
        <v>36</v>
      </c>
      <c r="C399" t="s">
        <v>1020</v>
      </c>
      <c r="D399" s="2" t="s">
        <v>1015</v>
      </c>
      <c r="E399" t="s">
        <v>1167</v>
      </c>
      <c r="F399" s="1">
        <v>45514</v>
      </c>
      <c r="G399" s="1">
        <v>45535</v>
      </c>
      <c r="H399" s="2">
        <v>21</v>
      </c>
      <c r="I399" s="2">
        <v>120000</v>
      </c>
      <c r="J399" s="2" t="s">
        <v>1027</v>
      </c>
      <c r="K399" t="s">
        <v>1052</v>
      </c>
      <c r="L399" t="s">
        <v>1037</v>
      </c>
      <c r="M399" s="2" t="s">
        <v>1019</v>
      </c>
      <c r="N399">
        <v>3.6</v>
      </c>
    </row>
    <row r="400" spans="1:14" x14ac:dyDescent="0.3">
      <c r="A400" t="s">
        <v>802</v>
      </c>
      <c r="B400">
        <v>37</v>
      </c>
      <c r="C400" t="s">
        <v>1020</v>
      </c>
      <c r="D400" s="2" t="s">
        <v>1015</v>
      </c>
      <c r="E400" t="s">
        <v>1167</v>
      </c>
      <c r="F400" s="1">
        <v>45515</v>
      </c>
      <c r="G400" s="1">
        <v>45536</v>
      </c>
      <c r="H400" s="2">
        <v>21</v>
      </c>
      <c r="I400" s="2">
        <v>120000</v>
      </c>
      <c r="J400" s="2" t="s">
        <v>1027</v>
      </c>
      <c r="K400" t="s">
        <v>1052</v>
      </c>
      <c r="L400" t="s">
        <v>1018</v>
      </c>
      <c r="M400" s="2" t="s">
        <v>1019</v>
      </c>
      <c r="N400">
        <v>3.6</v>
      </c>
    </row>
    <row r="401" spans="1:14" x14ac:dyDescent="0.3">
      <c r="A401" t="s">
        <v>803</v>
      </c>
      <c r="B401">
        <v>39</v>
      </c>
      <c r="C401" t="s">
        <v>1020</v>
      </c>
      <c r="D401" s="2" t="s">
        <v>1015</v>
      </c>
      <c r="E401" t="s">
        <v>1167</v>
      </c>
      <c r="F401" s="1">
        <v>45516</v>
      </c>
      <c r="G401" s="1">
        <v>45537</v>
      </c>
      <c r="H401" s="2">
        <v>21</v>
      </c>
      <c r="I401" s="2">
        <v>120000</v>
      </c>
      <c r="J401" s="2" t="s">
        <v>1027</v>
      </c>
      <c r="K401" t="s">
        <v>1052</v>
      </c>
      <c r="L401" t="s">
        <v>1018</v>
      </c>
      <c r="M401" s="2" t="s">
        <v>1019</v>
      </c>
      <c r="N401">
        <v>3.6</v>
      </c>
    </row>
    <row r="402" spans="1:14" x14ac:dyDescent="0.3">
      <c r="A402" t="s">
        <v>804</v>
      </c>
      <c r="B402">
        <v>30</v>
      </c>
      <c r="C402" t="s">
        <v>1020</v>
      </c>
      <c r="D402" s="2" t="s">
        <v>1015</v>
      </c>
      <c r="E402" t="s">
        <v>1167</v>
      </c>
      <c r="F402" s="1">
        <v>45517</v>
      </c>
      <c r="G402" s="1">
        <v>45538</v>
      </c>
      <c r="H402" s="2">
        <v>21</v>
      </c>
      <c r="I402" s="2">
        <v>120000</v>
      </c>
      <c r="J402" s="2" t="s">
        <v>1027</v>
      </c>
      <c r="K402" t="s">
        <v>1052</v>
      </c>
      <c r="L402" t="s">
        <v>1018</v>
      </c>
      <c r="M402" s="2" t="s">
        <v>1019</v>
      </c>
      <c r="N402">
        <v>3.6</v>
      </c>
    </row>
    <row r="403" spans="1:14" x14ac:dyDescent="0.3">
      <c r="A403" t="s">
        <v>805</v>
      </c>
      <c r="B403">
        <v>33</v>
      </c>
      <c r="C403" t="s">
        <v>1020</v>
      </c>
      <c r="D403" s="2" t="s">
        <v>1015</v>
      </c>
      <c r="E403" t="s">
        <v>1167</v>
      </c>
      <c r="F403" s="1">
        <v>45518</v>
      </c>
      <c r="G403" s="1">
        <v>45539</v>
      </c>
      <c r="H403" s="2">
        <v>21</v>
      </c>
      <c r="I403" s="2">
        <v>120000</v>
      </c>
      <c r="J403" s="2" t="s">
        <v>1027</v>
      </c>
      <c r="K403" t="s">
        <v>1052</v>
      </c>
      <c r="L403" t="s">
        <v>1037</v>
      </c>
      <c r="M403" s="2" t="s">
        <v>1019</v>
      </c>
      <c r="N403">
        <v>3.6</v>
      </c>
    </row>
    <row r="404" spans="1:14" x14ac:dyDescent="0.3">
      <c r="A404" t="s">
        <v>806</v>
      </c>
      <c r="B404">
        <v>22</v>
      </c>
      <c r="C404" t="s">
        <v>1020</v>
      </c>
      <c r="D404" s="2" t="s">
        <v>1015</v>
      </c>
      <c r="E404" t="s">
        <v>1167</v>
      </c>
      <c r="F404" s="1">
        <v>45519</v>
      </c>
      <c r="G404" s="1">
        <v>45540</v>
      </c>
      <c r="H404" s="2">
        <v>21</v>
      </c>
      <c r="I404" s="2">
        <v>120000</v>
      </c>
      <c r="J404" s="2" t="s">
        <v>1027</v>
      </c>
      <c r="K404" t="s">
        <v>1052</v>
      </c>
      <c r="L404" t="s">
        <v>1018</v>
      </c>
      <c r="M404" s="2" t="s">
        <v>1019</v>
      </c>
      <c r="N404">
        <v>3.6</v>
      </c>
    </row>
    <row r="405" spans="1:14" x14ac:dyDescent="0.3">
      <c r="A405" t="s">
        <v>807</v>
      </c>
      <c r="B405">
        <v>32</v>
      </c>
      <c r="C405" t="s">
        <v>1020</v>
      </c>
      <c r="D405" s="2" t="s">
        <v>1015</v>
      </c>
      <c r="E405" t="s">
        <v>1167</v>
      </c>
      <c r="F405" s="1">
        <v>45520</v>
      </c>
      <c r="G405" s="1">
        <v>45541</v>
      </c>
      <c r="H405" s="2">
        <v>21</v>
      </c>
      <c r="I405" s="2">
        <v>120000</v>
      </c>
      <c r="J405" s="2" t="s">
        <v>1027</v>
      </c>
      <c r="K405" t="s">
        <v>1052</v>
      </c>
      <c r="L405" t="s">
        <v>1037</v>
      </c>
      <c r="M405" s="2" t="s">
        <v>1019</v>
      </c>
      <c r="N405">
        <v>3.6</v>
      </c>
    </row>
    <row r="406" spans="1:14" x14ac:dyDescent="0.3">
      <c r="A406" t="s">
        <v>808</v>
      </c>
      <c r="B406">
        <v>21</v>
      </c>
      <c r="C406" t="s">
        <v>1020</v>
      </c>
      <c r="D406" s="2" t="s">
        <v>1015</v>
      </c>
      <c r="E406" t="s">
        <v>1167</v>
      </c>
      <c r="F406" s="1">
        <v>45521</v>
      </c>
      <c r="G406" s="1">
        <v>45542</v>
      </c>
      <c r="H406" s="2">
        <v>21</v>
      </c>
      <c r="I406" s="2">
        <v>120000</v>
      </c>
      <c r="J406" s="2" t="s">
        <v>1027</v>
      </c>
      <c r="K406" t="s">
        <v>1052</v>
      </c>
      <c r="L406" t="s">
        <v>1018</v>
      </c>
      <c r="M406" s="2" t="s">
        <v>1019</v>
      </c>
      <c r="N406">
        <v>3.6</v>
      </c>
    </row>
    <row r="407" spans="1:14" x14ac:dyDescent="0.3">
      <c r="A407" t="s">
        <v>809</v>
      </c>
      <c r="B407">
        <v>34</v>
      </c>
      <c r="C407" t="s">
        <v>1020</v>
      </c>
      <c r="D407" s="2" t="s">
        <v>1015</v>
      </c>
      <c r="E407" t="s">
        <v>1167</v>
      </c>
      <c r="F407" s="1">
        <v>45522</v>
      </c>
      <c r="G407" s="1">
        <v>45543</v>
      </c>
      <c r="H407" s="2">
        <v>21</v>
      </c>
      <c r="I407" s="2">
        <v>120000</v>
      </c>
      <c r="J407" s="2" t="s">
        <v>1027</v>
      </c>
      <c r="K407" t="s">
        <v>1052</v>
      </c>
      <c r="L407" t="s">
        <v>1037</v>
      </c>
      <c r="M407" s="2" t="s">
        <v>1019</v>
      </c>
      <c r="N407">
        <v>3.6</v>
      </c>
    </row>
    <row r="408" spans="1:14" x14ac:dyDescent="0.3">
      <c r="A408" t="s">
        <v>810</v>
      </c>
      <c r="B408">
        <v>32</v>
      </c>
      <c r="C408" t="s">
        <v>1020</v>
      </c>
      <c r="D408" s="2" t="s">
        <v>1015</v>
      </c>
      <c r="E408" t="s">
        <v>1167</v>
      </c>
      <c r="F408" s="1">
        <v>45523</v>
      </c>
      <c r="G408" s="1">
        <v>45544</v>
      </c>
      <c r="H408" s="2">
        <v>21</v>
      </c>
      <c r="I408" s="2">
        <v>120000</v>
      </c>
      <c r="J408" s="2" t="s">
        <v>1027</v>
      </c>
      <c r="K408" t="s">
        <v>1052</v>
      </c>
      <c r="L408" t="s">
        <v>1037</v>
      </c>
      <c r="M408" s="2" t="s">
        <v>1019</v>
      </c>
      <c r="N408">
        <v>3.6</v>
      </c>
    </row>
    <row r="409" spans="1:14" x14ac:dyDescent="0.3">
      <c r="A409" t="s">
        <v>811</v>
      </c>
      <c r="B409">
        <v>34</v>
      </c>
      <c r="C409" t="s">
        <v>1020</v>
      </c>
      <c r="D409" s="2" t="s">
        <v>1015</v>
      </c>
      <c r="E409" t="s">
        <v>1167</v>
      </c>
      <c r="F409" s="1">
        <v>45524</v>
      </c>
      <c r="G409" s="1">
        <v>45545</v>
      </c>
      <c r="H409" s="2">
        <v>21</v>
      </c>
      <c r="I409" s="2">
        <v>120000</v>
      </c>
      <c r="J409" s="2" t="s">
        <v>1027</v>
      </c>
      <c r="K409" t="s">
        <v>1052</v>
      </c>
      <c r="L409" t="s">
        <v>1037</v>
      </c>
      <c r="M409" s="2" t="s">
        <v>1019</v>
      </c>
      <c r="N409">
        <v>3.6</v>
      </c>
    </row>
    <row r="410" spans="1:14" x14ac:dyDescent="0.3">
      <c r="A410" t="s">
        <v>812</v>
      </c>
      <c r="B410">
        <v>60</v>
      </c>
      <c r="C410" t="s">
        <v>1020</v>
      </c>
      <c r="D410" s="2" t="s">
        <v>1015</v>
      </c>
      <c r="E410" t="s">
        <v>1167</v>
      </c>
      <c r="F410" s="1">
        <v>45525</v>
      </c>
      <c r="G410" s="1">
        <v>45546</v>
      </c>
      <c r="H410" s="2">
        <v>21</v>
      </c>
      <c r="I410" s="2">
        <v>120000</v>
      </c>
      <c r="J410" s="2" t="s">
        <v>1027</v>
      </c>
      <c r="K410" t="s">
        <v>1052</v>
      </c>
      <c r="L410" t="s">
        <v>1018</v>
      </c>
      <c r="M410" s="2" t="s">
        <v>1019</v>
      </c>
      <c r="N410">
        <v>3.6</v>
      </c>
    </row>
    <row r="411" spans="1:14" x14ac:dyDescent="0.3">
      <c r="A411" t="s">
        <v>813</v>
      </c>
      <c r="B411">
        <v>44</v>
      </c>
      <c r="C411" t="s">
        <v>1020</v>
      </c>
      <c r="D411" s="2" t="s">
        <v>1015</v>
      </c>
      <c r="E411" t="s">
        <v>1167</v>
      </c>
      <c r="F411" s="1">
        <v>45526</v>
      </c>
      <c r="G411" s="1">
        <v>45547</v>
      </c>
      <c r="H411" s="2">
        <v>21</v>
      </c>
      <c r="I411" s="2">
        <v>120000</v>
      </c>
      <c r="J411" s="2" t="s">
        <v>1027</v>
      </c>
      <c r="K411" t="s">
        <v>1052</v>
      </c>
      <c r="L411" t="s">
        <v>1018</v>
      </c>
      <c r="M411" s="2" t="s">
        <v>1019</v>
      </c>
      <c r="N411">
        <v>3.6</v>
      </c>
    </row>
    <row r="412" spans="1:14" x14ac:dyDescent="0.3">
      <c r="A412" t="s">
        <v>814</v>
      </c>
      <c r="B412">
        <v>65</v>
      </c>
      <c r="C412" t="s">
        <v>1020</v>
      </c>
      <c r="D412" s="2" t="s">
        <v>1015</v>
      </c>
      <c r="E412" t="s">
        <v>1016</v>
      </c>
      <c r="F412" s="1">
        <v>45527</v>
      </c>
      <c r="G412" s="1">
        <v>45548</v>
      </c>
      <c r="H412" s="2">
        <v>21</v>
      </c>
      <c r="I412" s="2">
        <v>120000</v>
      </c>
      <c r="J412" s="2" t="s">
        <v>1027</v>
      </c>
      <c r="K412" t="s">
        <v>1052</v>
      </c>
      <c r="L412" t="s">
        <v>1037</v>
      </c>
      <c r="M412" s="2" t="s">
        <v>1019</v>
      </c>
      <c r="N412">
        <v>3.6</v>
      </c>
    </row>
    <row r="413" spans="1:14" x14ac:dyDescent="0.3">
      <c r="A413" t="s">
        <v>815</v>
      </c>
      <c r="B413">
        <v>54</v>
      </c>
      <c r="C413" t="s">
        <v>1014</v>
      </c>
      <c r="D413" s="2" t="s">
        <v>1015</v>
      </c>
      <c r="E413" t="s">
        <v>1016</v>
      </c>
      <c r="F413" s="1">
        <v>45528</v>
      </c>
      <c r="G413" s="1">
        <v>45549</v>
      </c>
      <c r="H413" s="2">
        <v>21</v>
      </c>
      <c r="I413" s="2">
        <v>120000</v>
      </c>
      <c r="J413" s="2" t="s">
        <v>1027</v>
      </c>
      <c r="K413" t="s">
        <v>1052</v>
      </c>
      <c r="L413" t="s">
        <v>1018</v>
      </c>
      <c r="M413" s="2" t="s">
        <v>1019</v>
      </c>
      <c r="N413">
        <v>3.6</v>
      </c>
    </row>
    <row r="414" spans="1:14" x14ac:dyDescent="0.3">
      <c r="A414" t="s">
        <v>816</v>
      </c>
      <c r="B414">
        <v>76</v>
      </c>
      <c r="C414" t="s">
        <v>1014</v>
      </c>
      <c r="D414" s="2" t="s">
        <v>1015</v>
      </c>
      <c r="E414" t="s">
        <v>1016</v>
      </c>
      <c r="F414" s="1">
        <v>45529</v>
      </c>
      <c r="G414" s="1">
        <v>45550</v>
      </c>
      <c r="H414" s="2">
        <v>21</v>
      </c>
      <c r="I414" s="2">
        <v>120000</v>
      </c>
      <c r="J414" s="2" t="s">
        <v>1027</v>
      </c>
      <c r="K414" t="s">
        <v>1052</v>
      </c>
      <c r="L414" t="s">
        <v>1037</v>
      </c>
      <c r="M414" s="2" t="s">
        <v>1019</v>
      </c>
      <c r="N414">
        <v>3.6</v>
      </c>
    </row>
    <row r="415" spans="1:14" x14ac:dyDescent="0.3">
      <c r="A415" t="s">
        <v>817</v>
      </c>
      <c r="B415">
        <v>65</v>
      </c>
      <c r="C415" t="s">
        <v>1014</v>
      </c>
      <c r="D415" s="2" t="s">
        <v>1015</v>
      </c>
      <c r="E415" t="s">
        <v>1016</v>
      </c>
      <c r="F415" s="1">
        <v>45530</v>
      </c>
      <c r="G415" s="1">
        <v>45551</v>
      </c>
      <c r="H415" s="2">
        <v>21</v>
      </c>
      <c r="I415" s="2">
        <v>120000</v>
      </c>
      <c r="J415" s="2" t="s">
        <v>1027</v>
      </c>
      <c r="K415" t="s">
        <v>1052</v>
      </c>
      <c r="L415" t="s">
        <v>1018</v>
      </c>
      <c r="M415" s="2" t="s">
        <v>1019</v>
      </c>
      <c r="N415">
        <v>3.6</v>
      </c>
    </row>
    <row r="416" spans="1:14" x14ac:dyDescent="0.3">
      <c r="A416" t="s">
        <v>818</v>
      </c>
      <c r="B416">
        <v>54</v>
      </c>
      <c r="C416" t="s">
        <v>1014</v>
      </c>
      <c r="D416" s="2" t="s">
        <v>1015</v>
      </c>
      <c r="E416" t="s">
        <v>1016</v>
      </c>
      <c r="F416" s="1">
        <v>45531</v>
      </c>
      <c r="G416" s="1">
        <v>45552</v>
      </c>
      <c r="H416" s="2">
        <v>21</v>
      </c>
      <c r="I416" s="2">
        <v>120000</v>
      </c>
      <c r="J416" s="2" t="s">
        <v>1027</v>
      </c>
      <c r="K416" t="s">
        <v>1052</v>
      </c>
      <c r="L416" t="s">
        <v>1018</v>
      </c>
      <c r="M416" s="2" t="s">
        <v>1019</v>
      </c>
      <c r="N416">
        <v>3.6</v>
      </c>
    </row>
    <row r="417" spans="1:14" x14ac:dyDescent="0.3">
      <c r="A417" t="s">
        <v>819</v>
      </c>
      <c r="B417">
        <v>65</v>
      </c>
      <c r="C417" t="s">
        <v>1014</v>
      </c>
      <c r="D417" s="2" t="s">
        <v>1015</v>
      </c>
      <c r="E417" t="s">
        <v>1016</v>
      </c>
      <c r="F417" s="1">
        <v>45532</v>
      </c>
      <c r="G417" s="1">
        <v>45553</v>
      </c>
      <c r="H417" s="2">
        <v>21</v>
      </c>
      <c r="I417" s="2">
        <v>120000</v>
      </c>
      <c r="J417" s="2" t="s">
        <v>1027</v>
      </c>
      <c r="K417" t="s">
        <v>1052</v>
      </c>
      <c r="L417" t="s">
        <v>1018</v>
      </c>
      <c r="M417" s="2" t="s">
        <v>1019</v>
      </c>
      <c r="N417">
        <v>3.6</v>
      </c>
    </row>
    <row r="418" spans="1:14" x14ac:dyDescent="0.3">
      <c r="A418" t="s">
        <v>820</v>
      </c>
      <c r="B418">
        <v>76</v>
      </c>
      <c r="C418" t="s">
        <v>1014</v>
      </c>
      <c r="D418" s="2" t="s">
        <v>1015</v>
      </c>
      <c r="E418" t="s">
        <v>1016</v>
      </c>
      <c r="F418" s="1">
        <v>45533</v>
      </c>
      <c r="G418" s="1">
        <v>45554</v>
      </c>
      <c r="H418" s="2">
        <v>21</v>
      </c>
      <c r="I418" s="2">
        <v>120000</v>
      </c>
      <c r="J418" s="2" t="s">
        <v>1027</v>
      </c>
      <c r="K418" t="s">
        <v>1052</v>
      </c>
      <c r="L418" t="s">
        <v>1037</v>
      </c>
      <c r="M418" s="2" t="s">
        <v>1019</v>
      </c>
      <c r="N418">
        <v>3.6</v>
      </c>
    </row>
    <row r="419" spans="1:14" x14ac:dyDescent="0.3">
      <c r="A419" t="s">
        <v>821</v>
      </c>
      <c r="B419">
        <v>54</v>
      </c>
      <c r="C419" t="s">
        <v>1014</v>
      </c>
      <c r="D419" s="2" t="s">
        <v>1015</v>
      </c>
      <c r="E419" t="s">
        <v>1016</v>
      </c>
      <c r="F419" s="1">
        <v>45534</v>
      </c>
      <c r="G419" s="1">
        <v>45555</v>
      </c>
      <c r="H419" s="2">
        <v>21</v>
      </c>
      <c r="I419" s="2">
        <v>120000</v>
      </c>
      <c r="J419" s="2" t="s">
        <v>1027</v>
      </c>
      <c r="K419" t="s">
        <v>1052</v>
      </c>
      <c r="L419" t="s">
        <v>1018</v>
      </c>
      <c r="M419" s="2" t="s">
        <v>1019</v>
      </c>
      <c r="N419">
        <v>3.6</v>
      </c>
    </row>
    <row r="420" spans="1:14" x14ac:dyDescent="0.3">
      <c r="A420" t="s">
        <v>822</v>
      </c>
      <c r="B420">
        <v>65</v>
      </c>
      <c r="C420" t="s">
        <v>1014</v>
      </c>
      <c r="D420" s="2" t="s">
        <v>1015</v>
      </c>
      <c r="E420" t="s">
        <v>1016</v>
      </c>
      <c r="F420" s="1">
        <v>45535</v>
      </c>
      <c r="G420" s="1">
        <v>45556</v>
      </c>
      <c r="H420" s="2">
        <v>21</v>
      </c>
      <c r="I420" s="2">
        <v>120000</v>
      </c>
      <c r="J420" s="2" t="s">
        <v>1027</v>
      </c>
      <c r="K420" t="s">
        <v>1052</v>
      </c>
      <c r="L420" t="s">
        <v>1037</v>
      </c>
      <c r="M420" s="2" t="s">
        <v>1019</v>
      </c>
      <c r="N420">
        <v>3.6</v>
      </c>
    </row>
    <row r="421" spans="1:14" x14ac:dyDescent="0.3">
      <c r="A421" t="s">
        <v>823</v>
      </c>
      <c r="B421">
        <v>53</v>
      </c>
      <c r="C421" t="s">
        <v>1014</v>
      </c>
      <c r="D421" s="2" t="s">
        <v>1015</v>
      </c>
      <c r="E421" t="s">
        <v>1016</v>
      </c>
      <c r="F421" s="1">
        <v>45536</v>
      </c>
      <c r="G421" s="1">
        <v>45557</v>
      </c>
      <c r="H421" s="2">
        <v>21</v>
      </c>
      <c r="I421" s="2">
        <v>120000</v>
      </c>
      <c r="J421" s="2" t="s">
        <v>1027</v>
      </c>
      <c r="K421" t="s">
        <v>1052</v>
      </c>
      <c r="L421" t="s">
        <v>1018</v>
      </c>
      <c r="M421" s="2" t="s">
        <v>1019</v>
      </c>
      <c r="N421">
        <v>3.6</v>
      </c>
    </row>
    <row r="422" spans="1:14" x14ac:dyDescent="0.3">
      <c r="A422" t="s">
        <v>824</v>
      </c>
      <c r="B422">
        <v>52</v>
      </c>
      <c r="C422" t="s">
        <v>1014</v>
      </c>
      <c r="D422" s="2" t="s">
        <v>1015</v>
      </c>
      <c r="E422" t="s">
        <v>1016</v>
      </c>
      <c r="F422" s="1">
        <v>45537</v>
      </c>
      <c r="G422" s="1">
        <v>45558</v>
      </c>
      <c r="H422" s="2">
        <v>21</v>
      </c>
      <c r="I422" s="2">
        <v>120000</v>
      </c>
      <c r="J422" s="2" t="s">
        <v>1027</v>
      </c>
      <c r="K422" t="s">
        <v>1052</v>
      </c>
      <c r="L422" t="s">
        <v>1037</v>
      </c>
      <c r="M422" s="2" t="s">
        <v>1019</v>
      </c>
      <c r="N422">
        <v>3.6</v>
      </c>
    </row>
    <row r="423" spans="1:14" x14ac:dyDescent="0.3">
      <c r="A423" t="s">
        <v>825</v>
      </c>
      <c r="B423">
        <v>51</v>
      </c>
      <c r="C423" t="s">
        <v>1014</v>
      </c>
      <c r="D423" s="2" t="s">
        <v>1015</v>
      </c>
      <c r="E423" t="s">
        <v>1016</v>
      </c>
      <c r="F423" s="1">
        <v>45538</v>
      </c>
      <c r="G423" s="1">
        <v>45559</v>
      </c>
      <c r="H423" s="2">
        <v>21</v>
      </c>
      <c r="I423" s="2">
        <v>120000</v>
      </c>
      <c r="J423" s="2" t="s">
        <v>1027</v>
      </c>
      <c r="K423" t="s">
        <v>1052</v>
      </c>
      <c r="L423" t="s">
        <v>1037</v>
      </c>
      <c r="M423" s="2" t="s">
        <v>1019</v>
      </c>
      <c r="N423">
        <v>3.6</v>
      </c>
    </row>
    <row r="424" spans="1:14" x14ac:dyDescent="0.3">
      <c r="A424" t="s">
        <v>826</v>
      </c>
      <c r="B424">
        <v>54</v>
      </c>
      <c r="C424" t="s">
        <v>1014</v>
      </c>
      <c r="D424" s="2" t="s">
        <v>1015</v>
      </c>
      <c r="E424" t="s">
        <v>1016</v>
      </c>
      <c r="F424" s="1">
        <v>45539</v>
      </c>
      <c r="G424" s="1">
        <v>45560</v>
      </c>
      <c r="H424" s="2">
        <v>21</v>
      </c>
      <c r="I424" s="2">
        <v>120000</v>
      </c>
      <c r="J424" s="2" t="s">
        <v>1027</v>
      </c>
      <c r="K424" t="s">
        <v>1052</v>
      </c>
      <c r="L424" t="s">
        <v>1037</v>
      </c>
      <c r="M424" s="2" t="s">
        <v>1019</v>
      </c>
      <c r="N424">
        <v>3.6</v>
      </c>
    </row>
    <row r="425" spans="1:14" x14ac:dyDescent="0.3">
      <c r="A425" t="s">
        <v>827</v>
      </c>
      <c r="B425">
        <v>32</v>
      </c>
      <c r="C425" t="s">
        <v>1014</v>
      </c>
      <c r="D425" s="2" t="s">
        <v>1015</v>
      </c>
      <c r="E425" t="s">
        <v>1016</v>
      </c>
      <c r="F425" s="1">
        <v>45540</v>
      </c>
      <c r="G425" s="1">
        <v>45556</v>
      </c>
      <c r="H425" s="2">
        <v>16</v>
      </c>
      <c r="I425" s="2">
        <v>120000</v>
      </c>
      <c r="J425" s="2" t="s">
        <v>1027</v>
      </c>
      <c r="K425" t="s">
        <v>1052</v>
      </c>
      <c r="L425" t="s">
        <v>1018</v>
      </c>
      <c r="M425" s="2" t="s">
        <v>1019</v>
      </c>
      <c r="N425">
        <v>3.6</v>
      </c>
    </row>
    <row r="426" spans="1:14" x14ac:dyDescent="0.3">
      <c r="A426" t="s">
        <v>828</v>
      </c>
      <c r="B426">
        <v>34</v>
      </c>
      <c r="C426" t="s">
        <v>1014</v>
      </c>
      <c r="D426" s="2" t="s">
        <v>1015</v>
      </c>
      <c r="E426" t="s">
        <v>1016</v>
      </c>
      <c r="F426" s="1">
        <v>45541</v>
      </c>
      <c r="G426" s="1">
        <v>45557</v>
      </c>
      <c r="H426" s="2">
        <v>16</v>
      </c>
      <c r="I426" s="2">
        <v>120000</v>
      </c>
      <c r="J426" s="2" t="s">
        <v>1027</v>
      </c>
      <c r="K426" t="s">
        <v>1052</v>
      </c>
      <c r="L426" t="s">
        <v>1018</v>
      </c>
      <c r="M426" s="2" t="s">
        <v>1019</v>
      </c>
      <c r="N426">
        <v>3.6</v>
      </c>
    </row>
    <row r="427" spans="1:14" x14ac:dyDescent="0.3">
      <c r="A427" t="s">
        <v>829</v>
      </c>
      <c r="B427">
        <v>35</v>
      </c>
      <c r="C427" t="s">
        <v>1014</v>
      </c>
      <c r="D427" s="2" t="s">
        <v>1015</v>
      </c>
      <c r="E427" t="s">
        <v>1016</v>
      </c>
      <c r="F427" s="1">
        <v>45542</v>
      </c>
      <c r="G427" s="1">
        <v>45558</v>
      </c>
      <c r="H427" s="2">
        <v>16</v>
      </c>
      <c r="I427" s="2">
        <v>120000</v>
      </c>
      <c r="J427" s="2" t="s">
        <v>1027</v>
      </c>
      <c r="K427" t="s">
        <v>1052</v>
      </c>
      <c r="L427" t="s">
        <v>1037</v>
      </c>
      <c r="M427" s="2" t="s">
        <v>1019</v>
      </c>
      <c r="N427">
        <v>3.6</v>
      </c>
    </row>
    <row r="428" spans="1:14" x14ac:dyDescent="0.3">
      <c r="A428" t="s">
        <v>830</v>
      </c>
      <c r="B428">
        <v>36</v>
      </c>
      <c r="C428" t="s">
        <v>1014</v>
      </c>
      <c r="D428" s="2" t="s">
        <v>1015</v>
      </c>
      <c r="E428" t="s">
        <v>1016</v>
      </c>
      <c r="F428" s="1">
        <v>45543</v>
      </c>
      <c r="G428" s="1">
        <v>45559</v>
      </c>
      <c r="H428" s="2">
        <v>16</v>
      </c>
      <c r="I428" s="2">
        <v>120000</v>
      </c>
      <c r="J428" s="2" t="s">
        <v>1027</v>
      </c>
      <c r="K428" t="s">
        <v>1052</v>
      </c>
      <c r="L428" t="s">
        <v>1018</v>
      </c>
      <c r="M428" s="2" t="s">
        <v>1019</v>
      </c>
      <c r="N428">
        <v>3.6</v>
      </c>
    </row>
    <row r="429" spans="1:14" x14ac:dyDescent="0.3">
      <c r="A429" t="s">
        <v>831</v>
      </c>
      <c r="B429">
        <v>33</v>
      </c>
      <c r="C429" t="s">
        <v>1014</v>
      </c>
      <c r="D429" s="2" t="s">
        <v>1015</v>
      </c>
      <c r="E429" t="s">
        <v>1016</v>
      </c>
      <c r="F429" s="1">
        <v>45544</v>
      </c>
      <c r="G429" s="1">
        <v>45560</v>
      </c>
      <c r="H429" s="2">
        <v>16</v>
      </c>
      <c r="I429" s="2">
        <v>120000</v>
      </c>
      <c r="J429" s="2" t="s">
        <v>1027</v>
      </c>
      <c r="K429" t="s">
        <v>1052</v>
      </c>
      <c r="L429" t="s">
        <v>1037</v>
      </c>
      <c r="M429" s="2" t="s">
        <v>1019</v>
      </c>
      <c r="N429">
        <v>3.6</v>
      </c>
    </row>
    <row r="430" spans="1:14" x14ac:dyDescent="0.3">
      <c r="A430" t="s">
        <v>832</v>
      </c>
      <c r="B430">
        <v>56</v>
      </c>
      <c r="C430" t="s">
        <v>1014</v>
      </c>
      <c r="D430" s="2" t="s">
        <v>1015</v>
      </c>
      <c r="E430" t="s">
        <v>1016</v>
      </c>
      <c r="F430" s="1">
        <v>45545</v>
      </c>
      <c r="G430" s="1">
        <v>45561</v>
      </c>
      <c r="H430" s="2">
        <v>16</v>
      </c>
      <c r="I430" s="2">
        <v>120000</v>
      </c>
      <c r="J430" s="2" t="s">
        <v>1027</v>
      </c>
      <c r="K430" t="s">
        <v>1052</v>
      </c>
      <c r="L430" t="s">
        <v>1018</v>
      </c>
      <c r="M430" s="2" t="s">
        <v>1019</v>
      </c>
      <c r="N430">
        <v>3.6</v>
      </c>
    </row>
    <row r="431" spans="1:14" x14ac:dyDescent="0.3">
      <c r="A431" t="s">
        <v>833</v>
      </c>
      <c r="B431">
        <v>57</v>
      </c>
      <c r="C431" t="s">
        <v>1014</v>
      </c>
      <c r="D431" s="2" t="s">
        <v>1015</v>
      </c>
      <c r="E431" t="s">
        <v>1016</v>
      </c>
      <c r="F431" s="1">
        <v>45546</v>
      </c>
      <c r="G431" s="1">
        <v>45562</v>
      </c>
      <c r="H431" s="2">
        <v>16</v>
      </c>
      <c r="I431" s="2">
        <v>120000</v>
      </c>
      <c r="J431" s="2" t="s">
        <v>1027</v>
      </c>
      <c r="K431" t="s">
        <v>1052</v>
      </c>
      <c r="L431" t="s">
        <v>1018</v>
      </c>
      <c r="M431" s="2" t="s">
        <v>1019</v>
      </c>
      <c r="N431">
        <v>3.6</v>
      </c>
    </row>
    <row r="432" spans="1:14" x14ac:dyDescent="0.3">
      <c r="A432" t="s">
        <v>834</v>
      </c>
      <c r="B432">
        <v>58</v>
      </c>
      <c r="C432" t="s">
        <v>1014</v>
      </c>
      <c r="D432" s="2" t="s">
        <v>1015</v>
      </c>
      <c r="E432" t="s">
        <v>1016</v>
      </c>
      <c r="F432" s="1">
        <v>45547</v>
      </c>
      <c r="G432" s="1">
        <v>45563</v>
      </c>
      <c r="H432" s="2">
        <v>16</v>
      </c>
      <c r="I432" s="2">
        <v>120000</v>
      </c>
      <c r="J432" s="2" t="s">
        <v>1027</v>
      </c>
      <c r="K432" t="s">
        <v>1052</v>
      </c>
      <c r="L432" t="s">
        <v>1018</v>
      </c>
      <c r="M432" s="2" t="s">
        <v>1019</v>
      </c>
      <c r="N432">
        <v>3.6</v>
      </c>
    </row>
    <row r="433" spans="1:14" x14ac:dyDescent="0.3">
      <c r="A433" t="s">
        <v>835</v>
      </c>
      <c r="B433">
        <v>59</v>
      </c>
      <c r="C433" t="s">
        <v>1014</v>
      </c>
      <c r="D433" s="2" t="s">
        <v>1015</v>
      </c>
      <c r="E433" t="s">
        <v>1016</v>
      </c>
      <c r="F433" s="1">
        <v>45548</v>
      </c>
      <c r="G433" s="1">
        <v>45564</v>
      </c>
      <c r="H433" s="2">
        <v>16</v>
      </c>
      <c r="I433" s="2">
        <v>120000</v>
      </c>
      <c r="J433" s="2" t="s">
        <v>1027</v>
      </c>
      <c r="K433" t="s">
        <v>1052</v>
      </c>
      <c r="L433" t="s">
        <v>1037</v>
      </c>
      <c r="M433" s="2" t="s">
        <v>1019</v>
      </c>
      <c r="N433">
        <v>3.6</v>
      </c>
    </row>
    <row r="434" spans="1:14" x14ac:dyDescent="0.3">
      <c r="A434" t="s">
        <v>836</v>
      </c>
      <c r="B434">
        <v>50</v>
      </c>
      <c r="C434" t="s">
        <v>1014</v>
      </c>
      <c r="D434" s="2" t="s">
        <v>1015</v>
      </c>
      <c r="E434" t="s">
        <v>1016</v>
      </c>
      <c r="F434" s="1">
        <v>45549</v>
      </c>
      <c r="G434" s="1">
        <v>45565</v>
      </c>
      <c r="H434" s="2">
        <v>16</v>
      </c>
      <c r="I434" s="2">
        <v>120000</v>
      </c>
      <c r="J434" s="2" t="s">
        <v>1027</v>
      </c>
      <c r="K434" t="s">
        <v>1052</v>
      </c>
      <c r="L434" t="s">
        <v>1018</v>
      </c>
      <c r="M434" s="2" t="s">
        <v>1019</v>
      </c>
      <c r="N434">
        <v>3.6</v>
      </c>
    </row>
    <row r="435" spans="1:14" x14ac:dyDescent="0.3">
      <c r="A435" t="s">
        <v>837</v>
      </c>
      <c r="B435">
        <v>56</v>
      </c>
      <c r="C435" t="s">
        <v>1014</v>
      </c>
      <c r="D435" s="2" t="s">
        <v>1015</v>
      </c>
      <c r="E435" t="s">
        <v>1016</v>
      </c>
      <c r="F435" s="1">
        <v>45550</v>
      </c>
      <c r="G435" s="1">
        <v>45566</v>
      </c>
      <c r="H435" s="2">
        <v>16</v>
      </c>
      <c r="I435" s="2">
        <v>120000</v>
      </c>
      <c r="J435" s="2" t="s">
        <v>1027</v>
      </c>
      <c r="K435" t="s">
        <v>1052</v>
      </c>
      <c r="L435" t="s">
        <v>1037</v>
      </c>
      <c r="M435" s="2" t="s">
        <v>1019</v>
      </c>
      <c r="N435">
        <v>3.6</v>
      </c>
    </row>
    <row r="436" spans="1:14" x14ac:dyDescent="0.3">
      <c r="A436" t="s">
        <v>838</v>
      </c>
      <c r="B436">
        <v>51</v>
      </c>
      <c r="C436" t="s">
        <v>1014</v>
      </c>
      <c r="D436" s="2" t="s">
        <v>1015</v>
      </c>
      <c r="E436" t="s">
        <v>1016</v>
      </c>
      <c r="F436" s="1">
        <v>45551</v>
      </c>
      <c r="G436" s="1">
        <v>45567</v>
      </c>
      <c r="H436" s="2">
        <v>16</v>
      </c>
      <c r="I436" s="2">
        <v>120000</v>
      </c>
      <c r="J436" s="2" t="s">
        <v>1027</v>
      </c>
      <c r="K436" t="s">
        <v>1052</v>
      </c>
      <c r="L436" t="s">
        <v>1018</v>
      </c>
      <c r="M436" s="2" t="s">
        <v>1019</v>
      </c>
      <c r="N436">
        <v>3.6</v>
      </c>
    </row>
    <row r="437" spans="1:14" x14ac:dyDescent="0.3">
      <c r="A437" t="s">
        <v>839</v>
      </c>
      <c r="B437">
        <v>61</v>
      </c>
      <c r="C437" t="s">
        <v>1014</v>
      </c>
      <c r="D437" s="2" t="s">
        <v>1015</v>
      </c>
      <c r="E437" t="s">
        <v>1016</v>
      </c>
      <c r="F437" s="1">
        <v>45552</v>
      </c>
      <c r="G437" s="1">
        <v>45568</v>
      </c>
      <c r="H437" s="2">
        <v>16</v>
      </c>
      <c r="I437" s="2">
        <v>120000</v>
      </c>
      <c r="J437" s="2" t="s">
        <v>1027</v>
      </c>
      <c r="K437" t="s">
        <v>1052</v>
      </c>
      <c r="L437" t="s">
        <v>1037</v>
      </c>
      <c r="M437" s="2" t="s">
        <v>1019</v>
      </c>
      <c r="N437">
        <v>3.6</v>
      </c>
    </row>
    <row r="438" spans="1:14" x14ac:dyDescent="0.3">
      <c r="A438" t="s">
        <v>840</v>
      </c>
      <c r="B438">
        <v>62</v>
      </c>
      <c r="C438" t="s">
        <v>1014</v>
      </c>
      <c r="D438" s="2" t="s">
        <v>1015</v>
      </c>
      <c r="E438" t="s">
        <v>1167</v>
      </c>
      <c r="F438" s="1">
        <v>45553</v>
      </c>
      <c r="G438" s="1">
        <v>45569</v>
      </c>
      <c r="H438" s="2">
        <v>16</v>
      </c>
      <c r="I438" s="2">
        <v>120000</v>
      </c>
      <c r="J438" s="2" t="s">
        <v>1027</v>
      </c>
      <c r="K438" t="s">
        <v>1052</v>
      </c>
      <c r="L438" t="s">
        <v>1037</v>
      </c>
      <c r="M438" s="2" t="s">
        <v>1019</v>
      </c>
      <c r="N438">
        <v>3.6</v>
      </c>
    </row>
    <row r="439" spans="1:14" x14ac:dyDescent="0.3">
      <c r="A439" t="s">
        <v>841</v>
      </c>
      <c r="B439">
        <v>64</v>
      </c>
      <c r="C439" t="s">
        <v>1014</v>
      </c>
      <c r="D439" s="2" t="s">
        <v>1015</v>
      </c>
      <c r="E439" t="s">
        <v>1167</v>
      </c>
      <c r="F439" s="1">
        <v>45554</v>
      </c>
      <c r="G439" s="1">
        <v>45570</v>
      </c>
      <c r="H439" s="2">
        <v>16</v>
      </c>
      <c r="I439" s="2">
        <v>120000</v>
      </c>
      <c r="J439" s="2" t="s">
        <v>1027</v>
      </c>
      <c r="K439" t="s">
        <v>1052</v>
      </c>
      <c r="L439" t="s">
        <v>1037</v>
      </c>
      <c r="M439" s="2" t="s">
        <v>1019</v>
      </c>
      <c r="N439">
        <v>3.6</v>
      </c>
    </row>
    <row r="440" spans="1:14" x14ac:dyDescent="0.3">
      <c r="A440" t="s">
        <v>842</v>
      </c>
      <c r="B440">
        <v>67</v>
      </c>
      <c r="C440" t="s">
        <v>1014</v>
      </c>
      <c r="D440" s="2" t="s">
        <v>1029</v>
      </c>
      <c r="E440" t="s">
        <v>1030</v>
      </c>
      <c r="F440" s="1">
        <v>45555</v>
      </c>
      <c r="G440" s="1">
        <v>45571</v>
      </c>
      <c r="H440" s="2">
        <v>16</v>
      </c>
      <c r="I440" s="2">
        <v>120000</v>
      </c>
      <c r="J440" s="2" t="s">
        <v>1027</v>
      </c>
      <c r="K440" t="s">
        <v>1033</v>
      </c>
      <c r="L440" t="s">
        <v>1018</v>
      </c>
      <c r="M440" s="2" t="s">
        <v>1019</v>
      </c>
      <c r="N440">
        <v>3.6</v>
      </c>
    </row>
    <row r="441" spans="1:14" x14ac:dyDescent="0.3">
      <c r="A441" t="s">
        <v>843</v>
      </c>
      <c r="B441">
        <v>68</v>
      </c>
      <c r="C441" t="s">
        <v>1014</v>
      </c>
      <c r="D441" s="2" t="s">
        <v>1029</v>
      </c>
      <c r="E441" t="s">
        <v>1030</v>
      </c>
      <c r="F441" s="1">
        <v>45556</v>
      </c>
      <c r="G441" s="1">
        <v>45572</v>
      </c>
      <c r="H441" s="2">
        <v>16</v>
      </c>
      <c r="I441" s="2">
        <v>120000</v>
      </c>
      <c r="J441" s="2" t="s">
        <v>1027</v>
      </c>
      <c r="K441" t="s">
        <v>1033</v>
      </c>
      <c r="L441" t="s">
        <v>1018</v>
      </c>
      <c r="M441" s="2" t="s">
        <v>1019</v>
      </c>
      <c r="N441">
        <v>3.6</v>
      </c>
    </row>
    <row r="442" spans="1:14" x14ac:dyDescent="0.3">
      <c r="A442" t="s">
        <v>844</v>
      </c>
      <c r="B442">
        <v>69</v>
      </c>
      <c r="C442" t="s">
        <v>1014</v>
      </c>
      <c r="D442" s="2" t="s">
        <v>1029</v>
      </c>
      <c r="E442" t="s">
        <v>1030</v>
      </c>
      <c r="F442" s="1">
        <v>45557</v>
      </c>
      <c r="G442" s="1">
        <v>45573</v>
      </c>
      <c r="H442" s="2">
        <v>16</v>
      </c>
      <c r="I442" s="2">
        <v>120000</v>
      </c>
      <c r="J442" s="2" t="s">
        <v>1027</v>
      </c>
      <c r="K442" t="s">
        <v>1033</v>
      </c>
      <c r="L442" t="s">
        <v>1037</v>
      </c>
      <c r="M442" s="2" t="s">
        <v>1019</v>
      </c>
      <c r="N442">
        <v>3.6</v>
      </c>
    </row>
    <row r="443" spans="1:14" x14ac:dyDescent="0.3">
      <c r="A443" t="s">
        <v>845</v>
      </c>
      <c r="B443">
        <v>70</v>
      </c>
      <c r="C443" t="s">
        <v>1014</v>
      </c>
      <c r="D443" s="2" t="s">
        <v>1029</v>
      </c>
      <c r="E443" t="s">
        <v>1030</v>
      </c>
      <c r="F443" s="1">
        <v>45558</v>
      </c>
      <c r="G443" s="1">
        <v>45574</v>
      </c>
      <c r="H443" s="2">
        <v>16</v>
      </c>
      <c r="I443" s="2">
        <v>120000</v>
      </c>
      <c r="J443" s="2" t="s">
        <v>1027</v>
      </c>
      <c r="K443" t="s">
        <v>1033</v>
      </c>
      <c r="L443" t="s">
        <v>1018</v>
      </c>
      <c r="M443" s="2" t="s">
        <v>1019</v>
      </c>
      <c r="N443">
        <v>3.6</v>
      </c>
    </row>
    <row r="444" spans="1:14" x14ac:dyDescent="0.3">
      <c r="A444" t="s">
        <v>846</v>
      </c>
      <c r="B444">
        <v>65</v>
      </c>
      <c r="C444" t="s">
        <v>1014</v>
      </c>
      <c r="D444" s="2" t="s">
        <v>1029</v>
      </c>
      <c r="E444" t="s">
        <v>1030</v>
      </c>
      <c r="F444" s="1">
        <v>45559</v>
      </c>
      <c r="G444" s="1">
        <v>45575</v>
      </c>
      <c r="H444" s="2">
        <v>16</v>
      </c>
      <c r="I444" s="2">
        <v>120000</v>
      </c>
      <c r="J444" s="2" t="s">
        <v>1027</v>
      </c>
      <c r="K444" t="s">
        <v>1033</v>
      </c>
      <c r="L444" t="s">
        <v>1037</v>
      </c>
      <c r="M444" s="2" t="s">
        <v>1019</v>
      </c>
      <c r="N444">
        <v>3.6</v>
      </c>
    </row>
    <row r="445" spans="1:14" x14ac:dyDescent="0.3">
      <c r="A445" t="s">
        <v>847</v>
      </c>
      <c r="B445">
        <v>67</v>
      </c>
      <c r="C445" t="s">
        <v>1014</v>
      </c>
      <c r="D445" s="2" t="s">
        <v>1029</v>
      </c>
      <c r="E445" t="s">
        <v>1030</v>
      </c>
      <c r="F445" s="1">
        <v>45560</v>
      </c>
      <c r="G445" s="1">
        <v>45578</v>
      </c>
      <c r="H445" s="2">
        <v>12</v>
      </c>
      <c r="I445" s="2">
        <v>120000</v>
      </c>
      <c r="J445" s="2" t="s">
        <v>1027</v>
      </c>
      <c r="K445" t="s">
        <v>1033</v>
      </c>
      <c r="L445" t="s">
        <v>1018</v>
      </c>
      <c r="M445" s="2" t="s">
        <v>1019</v>
      </c>
      <c r="N445">
        <v>3.6</v>
      </c>
    </row>
    <row r="446" spans="1:14" x14ac:dyDescent="0.3">
      <c r="A446" t="s">
        <v>848</v>
      </c>
      <c r="B446">
        <v>54</v>
      </c>
      <c r="C446" t="s">
        <v>1014</v>
      </c>
      <c r="D446" s="2" t="s">
        <v>1029</v>
      </c>
      <c r="E446" t="s">
        <v>1030</v>
      </c>
      <c r="F446" s="1">
        <v>45561</v>
      </c>
      <c r="G446" s="1">
        <v>45579</v>
      </c>
      <c r="H446" s="2">
        <v>12</v>
      </c>
      <c r="I446" s="2">
        <v>120000</v>
      </c>
      <c r="J446" s="2" t="s">
        <v>1027</v>
      </c>
      <c r="K446" t="s">
        <v>1033</v>
      </c>
      <c r="L446" t="s">
        <v>1018</v>
      </c>
      <c r="M446" s="2" t="s">
        <v>1019</v>
      </c>
      <c r="N446">
        <v>3.6</v>
      </c>
    </row>
    <row r="447" spans="1:14" x14ac:dyDescent="0.3">
      <c r="A447" t="s">
        <v>849</v>
      </c>
      <c r="B447">
        <v>53</v>
      </c>
      <c r="C447" t="s">
        <v>1014</v>
      </c>
      <c r="D447" s="2" t="s">
        <v>1029</v>
      </c>
      <c r="E447" t="s">
        <v>1030</v>
      </c>
      <c r="F447" s="1">
        <v>45562</v>
      </c>
      <c r="G447" s="1">
        <v>45580</v>
      </c>
      <c r="H447" s="2">
        <v>12</v>
      </c>
      <c r="I447" s="2">
        <v>120000</v>
      </c>
      <c r="J447" s="2" t="s">
        <v>1027</v>
      </c>
      <c r="K447" t="s">
        <v>1033</v>
      </c>
      <c r="L447" t="s">
        <v>1018</v>
      </c>
      <c r="M447" s="2" t="s">
        <v>1019</v>
      </c>
      <c r="N447">
        <v>3.6</v>
      </c>
    </row>
    <row r="448" spans="1:14" x14ac:dyDescent="0.3">
      <c r="A448" t="s">
        <v>850</v>
      </c>
      <c r="B448">
        <v>57</v>
      </c>
      <c r="C448" t="s">
        <v>1014</v>
      </c>
      <c r="D448" s="2" t="s">
        <v>1029</v>
      </c>
      <c r="E448" t="s">
        <v>1030</v>
      </c>
      <c r="F448" s="1">
        <v>45563</v>
      </c>
      <c r="G448" s="1">
        <v>45581</v>
      </c>
      <c r="H448" s="2">
        <v>12</v>
      </c>
      <c r="I448" s="2">
        <v>120000</v>
      </c>
      <c r="J448" s="2" t="s">
        <v>1027</v>
      </c>
      <c r="K448" t="s">
        <v>1033</v>
      </c>
      <c r="L448" t="s">
        <v>1037</v>
      </c>
      <c r="M448" s="2" t="s">
        <v>1019</v>
      </c>
      <c r="N448">
        <v>3.6</v>
      </c>
    </row>
    <row r="449" spans="1:14" x14ac:dyDescent="0.3">
      <c r="A449" t="s">
        <v>851</v>
      </c>
      <c r="B449">
        <v>58</v>
      </c>
      <c r="C449" t="s">
        <v>1014</v>
      </c>
      <c r="D449" s="2" t="s">
        <v>1029</v>
      </c>
      <c r="E449" t="s">
        <v>1057</v>
      </c>
      <c r="F449" s="1">
        <v>45564</v>
      </c>
      <c r="G449" s="1">
        <v>45582</v>
      </c>
      <c r="H449" s="2">
        <v>12</v>
      </c>
      <c r="I449" s="2">
        <v>120000</v>
      </c>
      <c r="J449" s="2" t="s">
        <v>1027</v>
      </c>
      <c r="K449" t="s">
        <v>1033</v>
      </c>
      <c r="L449" t="s">
        <v>1018</v>
      </c>
      <c r="M449" s="2" t="s">
        <v>1019</v>
      </c>
      <c r="N449">
        <v>3.6</v>
      </c>
    </row>
    <row r="450" spans="1:14" x14ac:dyDescent="0.3">
      <c r="A450" t="s">
        <v>852</v>
      </c>
      <c r="B450">
        <v>59</v>
      </c>
      <c r="C450" t="s">
        <v>1014</v>
      </c>
      <c r="D450" s="2" t="s">
        <v>1029</v>
      </c>
      <c r="E450" t="s">
        <v>1057</v>
      </c>
      <c r="F450" s="1">
        <v>45565</v>
      </c>
      <c r="G450" s="1">
        <v>45583</v>
      </c>
      <c r="H450" s="2">
        <v>12</v>
      </c>
      <c r="I450" s="2">
        <v>120000</v>
      </c>
      <c r="J450" s="2" t="s">
        <v>1027</v>
      </c>
      <c r="K450" t="s">
        <v>1033</v>
      </c>
      <c r="L450" t="s">
        <v>1037</v>
      </c>
      <c r="M450" s="2" t="s">
        <v>1019</v>
      </c>
      <c r="N450">
        <v>3.6</v>
      </c>
    </row>
    <row r="451" spans="1:14" x14ac:dyDescent="0.3">
      <c r="A451" t="s">
        <v>853</v>
      </c>
      <c r="B451">
        <v>50</v>
      </c>
      <c r="C451" t="s">
        <v>1014</v>
      </c>
      <c r="D451" s="2" t="s">
        <v>1029</v>
      </c>
      <c r="E451" t="s">
        <v>1057</v>
      </c>
      <c r="F451" s="1">
        <v>45566</v>
      </c>
      <c r="G451" s="1">
        <v>45584</v>
      </c>
      <c r="H451" s="2">
        <v>12</v>
      </c>
      <c r="I451" s="2">
        <v>120000</v>
      </c>
      <c r="J451" s="2" t="s">
        <v>1027</v>
      </c>
      <c r="K451" t="s">
        <v>1033</v>
      </c>
      <c r="L451" t="s">
        <v>1018</v>
      </c>
      <c r="M451" s="2" t="s">
        <v>1019</v>
      </c>
      <c r="N451">
        <v>3.6</v>
      </c>
    </row>
    <row r="452" spans="1:14" x14ac:dyDescent="0.3">
      <c r="A452" t="s">
        <v>854</v>
      </c>
      <c r="B452">
        <v>43</v>
      </c>
      <c r="C452" t="s">
        <v>1014</v>
      </c>
      <c r="D452" s="2" t="s">
        <v>1029</v>
      </c>
      <c r="E452" t="s">
        <v>1057</v>
      </c>
      <c r="F452" s="1">
        <v>45567</v>
      </c>
      <c r="G452" s="1">
        <v>45585</v>
      </c>
      <c r="H452" s="2">
        <v>12</v>
      </c>
      <c r="I452" s="2">
        <v>120000</v>
      </c>
      <c r="J452" s="2" t="s">
        <v>1027</v>
      </c>
      <c r="K452" t="s">
        <v>1033</v>
      </c>
      <c r="L452" t="s">
        <v>1037</v>
      </c>
      <c r="M452" s="2" t="s">
        <v>1019</v>
      </c>
      <c r="N452">
        <v>3.6</v>
      </c>
    </row>
    <row r="453" spans="1:14" x14ac:dyDescent="0.3">
      <c r="A453" t="s">
        <v>855</v>
      </c>
      <c r="B453">
        <v>44</v>
      </c>
      <c r="C453" t="s">
        <v>1014</v>
      </c>
      <c r="D453" s="2" t="s">
        <v>1029</v>
      </c>
      <c r="E453" t="s">
        <v>1057</v>
      </c>
      <c r="F453" s="1">
        <v>45568</v>
      </c>
      <c r="G453" s="1">
        <v>45586</v>
      </c>
      <c r="H453" s="2">
        <v>12</v>
      </c>
      <c r="I453" s="2">
        <v>120000</v>
      </c>
      <c r="J453" s="2" t="s">
        <v>1027</v>
      </c>
      <c r="K453" t="s">
        <v>1033</v>
      </c>
      <c r="L453" t="s">
        <v>1037</v>
      </c>
      <c r="M453" s="2" t="s">
        <v>1019</v>
      </c>
      <c r="N453">
        <v>3.6</v>
      </c>
    </row>
    <row r="454" spans="1:14" x14ac:dyDescent="0.3">
      <c r="A454" t="s">
        <v>856</v>
      </c>
      <c r="B454">
        <v>45</v>
      </c>
      <c r="C454" t="s">
        <v>1014</v>
      </c>
      <c r="D454" s="2" t="s">
        <v>1029</v>
      </c>
      <c r="E454" t="s">
        <v>1057</v>
      </c>
      <c r="F454" s="1">
        <v>45569</v>
      </c>
      <c r="G454" s="1">
        <v>45587</v>
      </c>
      <c r="H454" s="2">
        <v>12</v>
      </c>
      <c r="I454" s="2">
        <v>120000</v>
      </c>
      <c r="J454" s="2" t="s">
        <v>1027</v>
      </c>
      <c r="K454" t="s">
        <v>1033</v>
      </c>
      <c r="L454" t="s">
        <v>1037</v>
      </c>
      <c r="M454" s="2" t="s">
        <v>1019</v>
      </c>
      <c r="N454">
        <v>3.6</v>
      </c>
    </row>
    <row r="455" spans="1:14" x14ac:dyDescent="0.3">
      <c r="A455" t="s">
        <v>857</v>
      </c>
      <c r="B455">
        <v>43</v>
      </c>
      <c r="C455" t="s">
        <v>1014</v>
      </c>
      <c r="D455" s="2" t="s">
        <v>1029</v>
      </c>
      <c r="E455" t="s">
        <v>1057</v>
      </c>
      <c r="F455" s="1">
        <v>45570</v>
      </c>
      <c r="G455" s="1">
        <v>45588</v>
      </c>
      <c r="H455" s="2">
        <v>12</v>
      </c>
      <c r="I455" s="2">
        <v>120000</v>
      </c>
      <c r="J455" s="2" t="s">
        <v>1027</v>
      </c>
      <c r="K455" t="s">
        <v>1033</v>
      </c>
      <c r="L455" t="s">
        <v>1018</v>
      </c>
      <c r="M455" s="2" t="s">
        <v>1019</v>
      </c>
      <c r="N455">
        <v>3.6</v>
      </c>
    </row>
    <row r="456" spans="1:14" x14ac:dyDescent="0.3">
      <c r="A456" t="s">
        <v>858</v>
      </c>
      <c r="B456">
        <v>42</v>
      </c>
      <c r="C456" t="s">
        <v>1014</v>
      </c>
      <c r="D456" s="2" t="s">
        <v>1029</v>
      </c>
      <c r="E456" t="s">
        <v>1057</v>
      </c>
      <c r="F456" s="1">
        <v>45571</v>
      </c>
      <c r="G456" s="1">
        <v>45589</v>
      </c>
      <c r="H456" s="2">
        <v>12</v>
      </c>
      <c r="I456" s="2">
        <v>120000</v>
      </c>
      <c r="J456" s="2" t="s">
        <v>1027</v>
      </c>
      <c r="K456" t="s">
        <v>1033</v>
      </c>
      <c r="L456" t="s">
        <v>1018</v>
      </c>
      <c r="M456" s="2" t="s">
        <v>1019</v>
      </c>
      <c r="N456">
        <v>3.6</v>
      </c>
    </row>
    <row r="457" spans="1:14" x14ac:dyDescent="0.3">
      <c r="A457" t="s">
        <v>859</v>
      </c>
      <c r="B457">
        <v>51</v>
      </c>
      <c r="C457" t="s">
        <v>1014</v>
      </c>
      <c r="D457" s="2" t="s">
        <v>1029</v>
      </c>
      <c r="E457" t="s">
        <v>1057</v>
      </c>
      <c r="F457" s="1">
        <v>45572</v>
      </c>
      <c r="G457" s="1">
        <v>45590</v>
      </c>
      <c r="H457" s="2">
        <v>12</v>
      </c>
      <c r="I457" s="2">
        <v>120000</v>
      </c>
      <c r="J457" s="2" t="s">
        <v>1027</v>
      </c>
      <c r="K457" t="s">
        <v>1033</v>
      </c>
      <c r="L457" t="s">
        <v>1037</v>
      </c>
      <c r="M457" s="2" t="s">
        <v>1019</v>
      </c>
      <c r="N457">
        <v>3.6</v>
      </c>
    </row>
    <row r="458" spans="1:14" x14ac:dyDescent="0.3">
      <c r="A458" t="s">
        <v>860</v>
      </c>
      <c r="B458">
        <v>32</v>
      </c>
      <c r="C458" t="s">
        <v>1014</v>
      </c>
      <c r="D458" s="2" t="s">
        <v>1029</v>
      </c>
      <c r="E458" t="s">
        <v>1057</v>
      </c>
      <c r="F458" s="1">
        <v>45573</v>
      </c>
      <c r="G458" s="1">
        <v>45591</v>
      </c>
      <c r="H458" s="2">
        <v>12</v>
      </c>
      <c r="I458" s="2">
        <v>120000</v>
      </c>
      <c r="J458" s="2" t="s">
        <v>1027</v>
      </c>
      <c r="K458" t="s">
        <v>1033</v>
      </c>
      <c r="L458" t="s">
        <v>1018</v>
      </c>
      <c r="M458" s="2" t="s">
        <v>1019</v>
      </c>
      <c r="N458">
        <v>3.6</v>
      </c>
    </row>
    <row r="459" spans="1:14" x14ac:dyDescent="0.3">
      <c r="A459" t="s">
        <v>861</v>
      </c>
      <c r="B459">
        <v>43</v>
      </c>
      <c r="C459" t="s">
        <v>1014</v>
      </c>
      <c r="D459" s="2" t="s">
        <v>1029</v>
      </c>
      <c r="E459" t="s">
        <v>1057</v>
      </c>
      <c r="F459" s="1">
        <v>45574</v>
      </c>
      <c r="G459" s="1">
        <v>45592</v>
      </c>
      <c r="H459" s="2">
        <v>12</v>
      </c>
      <c r="I459" s="2">
        <v>120000</v>
      </c>
      <c r="J459" s="2" t="s">
        <v>1027</v>
      </c>
      <c r="K459" t="s">
        <v>1033</v>
      </c>
      <c r="L459" t="s">
        <v>1037</v>
      </c>
      <c r="M459" s="2" t="s">
        <v>1019</v>
      </c>
      <c r="N459">
        <v>3.6</v>
      </c>
    </row>
    <row r="460" spans="1:14" x14ac:dyDescent="0.3">
      <c r="A460" t="s">
        <v>862</v>
      </c>
      <c r="B460">
        <v>54</v>
      </c>
      <c r="C460" t="s">
        <v>1014</v>
      </c>
      <c r="D460" s="2" t="s">
        <v>1029</v>
      </c>
      <c r="E460" t="s">
        <v>1057</v>
      </c>
      <c r="F460" s="1">
        <v>45575</v>
      </c>
      <c r="G460" s="1">
        <v>45591</v>
      </c>
      <c r="H460" s="2">
        <v>16</v>
      </c>
      <c r="I460" s="2">
        <v>120000</v>
      </c>
      <c r="J460" s="2" t="s">
        <v>1027</v>
      </c>
      <c r="K460" t="s">
        <v>1033</v>
      </c>
      <c r="L460" t="s">
        <v>1018</v>
      </c>
      <c r="M460" s="2" t="s">
        <v>1019</v>
      </c>
      <c r="N460">
        <v>3.6</v>
      </c>
    </row>
    <row r="461" spans="1:14" x14ac:dyDescent="0.3">
      <c r="A461" t="s">
        <v>863</v>
      </c>
      <c r="B461">
        <v>65</v>
      </c>
      <c r="C461" t="s">
        <v>1014</v>
      </c>
      <c r="D461" s="2" t="s">
        <v>1029</v>
      </c>
      <c r="E461" t="s">
        <v>1057</v>
      </c>
      <c r="F461" s="1">
        <v>45576</v>
      </c>
      <c r="G461" s="1">
        <v>45592</v>
      </c>
      <c r="H461" s="2">
        <v>16</v>
      </c>
      <c r="I461" s="2">
        <v>120000</v>
      </c>
      <c r="J461" s="2" t="s">
        <v>1027</v>
      </c>
      <c r="K461" t="s">
        <v>1033</v>
      </c>
      <c r="L461" t="s">
        <v>1018</v>
      </c>
      <c r="M461" s="2" t="s">
        <v>1019</v>
      </c>
      <c r="N461">
        <v>3.6</v>
      </c>
    </row>
    <row r="462" spans="1:14" x14ac:dyDescent="0.3">
      <c r="A462" t="s">
        <v>864</v>
      </c>
      <c r="B462">
        <v>76</v>
      </c>
      <c r="C462" t="s">
        <v>1014</v>
      </c>
      <c r="D462" s="2" t="s">
        <v>1029</v>
      </c>
      <c r="E462" t="s">
        <v>1057</v>
      </c>
      <c r="F462" s="1">
        <v>45577</v>
      </c>
      <c r="G462" s="1">
        <v>45593</v>
      </c>
      <c r="H462" s="2">
        <v>16</v>
      </c>
      <c r="I462" s="2">
        <v>120000</v>
      </c>
      <c r="J462" s="2" t="s">
        <v>1027</v>
      </c>
      <c r="K462" t="s">
        <v>1033</v>
      </c>
      <c r="L462" t="s">
        <v>1018</v>
      </c>
      <c r="M462" s="2" t="s">
        <v>1019</v>
      </c>
      <c r="N462">
        <v>3.6</v>
      </c>
    </row>
    <row r="463" spans="1:14" x14ac:dyDescent="0.3">
      <c r="A463" t="s">
        <v>865</v>
      </c>
      <c r="B463">
        <v>87</v>
      </c>
      <c r="C463" t="s">
        <v>1014</v>
      </c>
      <c r="D463" s="2" t="s">
        <v>1029</v>
      </c>
      <c r="E463" t="s">
        <v>1057</v>
      </c>
      <c r="F463" s="1">
        <v>45578</v>
      </c>
      <c r="G463" s="1">
        <v>45594</v>
      </c>
      <c r="H463" s="2">
        <v>16</v>
      </c>
      <c r="I463" s="2">
        <v>120000</v>
      </c>
      <c r="J463" s="2" t="s">
        <v>1027</v>
      </c>
      <c r="K463" t="s">
        <v>1033</v>
      </c>
      <c r="L463" t="s">
        <v>1037</v>
      </c>
      <c r="M463" s="2" t="s">
        <v>1019</v>
      </c>
      <c r="N463">
        <v>3.6</v>
      </c>
    </row>
    <row r="464" spans="1:14" x14ac:dyDescent="0.3">
      <c r="A464" t="s">
        <v>866</v>
      </c>
      <c r="B464">
        <v>98</v>
      </c>
      <c r="C464" t="s">
        <v>1014</v>
      </c>
      <c r="D464" s="2" t="s">
        <v>1029</v>
      </c>
      <c r="E464" t="s">
        <v>1057</v>
      </c>
      <c r="F464" s="1">
        <v>45579</v>
      </c>
      <c r="G464" s="1">
        <v>45595</v>
      </c>
      <c r="H464" s="2">
        <v>16</v>
      </c>
      <c r="I464" s="2">
        <v>120000</v>
      </c>
      <c r="J464" s="2" t="s">
        <v>1027</v>
      </c>
      <c r="K464" t="s">
        <v>1033</v>
      </c>
      <c r="L464" t="s">
        <v>1018</v>
      </c>
      <c r="M464" s="2" t="s">
        <v>1019</v>
      </c>
      <c r="N464">
        <v>3.6</v>
      </c>
    </row>
    <row r="465" spans="1:14" x14ac:dyDescent="0.3">
      <c r="A465" t="s">
        <v>867</v>
      </c>
      <c r="B465">
        <v>9</v>
      </c>
      <c r="C465" t="s">
        <v>1014</v>
      </c>
      <c r="D465" s="2" t="s">
        <v>1029</v>
      </c>
      <c r="E465" t="s">
        <v>1057</v>
      </c>
      <c r="F465" s="1">
        <v>45580</v>
      </c>
      <c r="G465" s="1">
        <v>45596</v>
      </c>
      <c r="H465" s="2">
        <v>16</v>
      </c>
      <c r="I465" s="2">
        <v>120000</v>
      </c>
      <c r="J465" s="2" t="s">
        <v>1027</v>
      </c>
      <c r="K465" t="s">
        <v>1033</v>
      </c>
      <c r="L465" t="s">
        <v>1037</v>
      </c>
      <c r="M465" s="2" t="s">
        <v>1019</v>
      </c>
      <c r="N465">
        <v>3.6</v>
      </c>
    </row>
    <row r="466" spans="1:14" x14ac:dyDescent="0.3">
      <c r="A466" t="s">
        <v>868</v>
      </c>
      <c r="B466">
        <v>12</v>
      </c>
      <c r="C466" t="s">
        <v>1014</v>
      </c>
      <c r="D466" s="2" t="s">
        <v>1029</v>
      </c>
      <c r="E466" t="s">
        <v>1057</v>
      </c>
      <c r="F466" s="1">
        <v>45581</v>
      </c>
      <c r="G466" s="1">
        <v>45597</v>
      </c>
      <c r="H466" s="2">
        <v>16</v>
      </c>
      <c r="I466" s="2">
        <v>120000</v>
      </c>
      <c r="J466" s="2" t="s">
        <v>1027</v>
      </c>
      <c r="K466" t="s">
        <v>1033</v>
      </c>
      <c r="L466" t="s">
        <v>1018</v>
      </c>
      <c r="M466" s="2" t="s">
        <v>1019</v>
      </c>
      <c r="N466">
        <v>3.6</v>
      </c>
    </row>
    <row r="467" spans="1:14" x14ac:dyDescent="0.3">
      <c r="A467" t="s">
        <v>869</v>
      </c>
      <c r="B467">
        <v>34</v>
      </c>
      <c r="C467" t="s">
        <v>1014</v>
      </c>
      <c r="D467" s="2" t="s">
        <v>1029</v>
      </c>
      <c r="E467" t="s">
        <v>1057</v>
      </c>
      <c r="F467" s="1">
        <v>45582</v>
      </c>
      <c r="G467" s="1">
        <v>45598</v>
      </c>
      <c r="H467" s="2">
        <v>16</v>
      </c>
      <c r="I467" s="2">
        <v>120000</v>
      </c>
      <c r="J467" s="2" t="s">
        <v>1027</v>
      </c>
      <c r="K467" t="s">
        <v>1033</v>
      </c>
      <c r="L467" t="s">
        <v>1037</v>
      </c>
      <c r="M467" s="2" t="s">
        <v>1019</v>
      </c>
      <c r="N467">
        <v>3.6</v>
      </c>
    </row>
    <row r="468" spans="1:14" x14ac:dyDescent="0.3">
      <c r="A468" t="s">
        <v>870</v>
      </c>
      <c r="B468">
        <v>32</v>
      </c>
      <c r="C468" t="s">
        <v>1014</v>
      </c>
      <c r="D468" s="2" t="s">
        <v>1029</v>
      </c>
      <c r="E468" t="s">
        <v>1057</v>
      </c>
      <c r="F468" s="1">
        <v>45583</v>
      </c>
      <c r="G468" s="1">
        <v>45599</v>
      </c>
      <c r="H468" s="2">
        <v>16</v>
      </c>
      <c r="I468" s="2">
        <v>120000</v>
      </c>
      <c r="J468" s="2" t="s">
        <v>1027</v>
      </c>
      <c r="K468" t="s">
        <v>1033</v>
      </c>
      <c r="L468" t="s">
        <v>1037</v>
      </c>
      <c r="M468" s="2" t="s">
        <v>1019</v>
      </c>
      <c r="N468">
        <v>3.6</v>
      </c>
    </row>
    <row r="469" spans="1:14" x14ac:dyDescent="0.3">
      <c r="A469" t="s">
        <v>871</v>
      </c>
      <c r="B469">
        <v>43</v>
      </c>
      <c r="C469" t="s">
        <v>1014</v>
      </c>
      <c r="D469" s="2" t="s">
        <v>1029</v>
      </c>
      <c r="E469" t="s">
        <v>1057</v>
      </c>
      <c r="F469" s="1">
        <v>45584</v>
      </c>
      <c r="G469" s="1">
        <v>45600</v>
      </c>
      <c r="H469" s="2">
        <v>16</v>
      </c>
      <c r="I469" s="2">
        <v>120000</v>
      </c>
      <c r="J469" s="2" t="s">
        <v>1027</v>
      </c>
      <c r="K469" t="s">
        <v>1033</v>
      </c>
      <c r="L469" t="s">
        <v>1037</v>
      </c>
      <c r="M469" s="2" t="s">
        <v>1019</v>
      </c>
      <c r="N469">
        <v>3.6</v>
      </c>
    </row>
    <row r="470" spans="1:14" x14ac:dyDescent="0.3">
      <c r="A470" t="s">
        <v>872</v>
      </c>
      <c r="B470">
        <v>32</v>
      </c>
      <c r="C470" t="s">
        <v>1014</v>
      </c>
      <c r="D470" s="2" t="s">
        <v>1029</v>
      </c>
      <c r="E470" t="s">
        <v>1057</v>
      </c>
      <c r="F470" s="1">
        <v>45585</v>
      </c>
      <c r="G470" s="1">
        <v>45601</v>
      </c>
      <c r="H470" s="2">
        <v>16</v>
      </c>
      <c r="I470" s="2">
        <v>120000</v>
      </c>
      <c r="J470" s="2" t="s">
        <v>1027</v>
      </c>
      <c r="K470" t="s">
        <v>1033</v>
      </c>
      <c r="L470" t="s">
        <v>1018</v>
      </c>
      <c r="M470" s="2" t="s">
        <v>1019</v>
      </c>
      <c r="N470">
        <v>3.6</v>
      </c>
    </row>
    <row r="471" spans="1:14" x14ac:dyDescent="0.3">
      <c r="A471" t="s">
        <v>873</v>
      </c>
      <c r="B471">
        <v>31</v>
      </c>
      <c r="C471" t="s">
        <v>1014</v>
      </c>
      <c r="D471" s="2" t="s">
        <v>1029</v>
      </c>
      <c r="E471" t="s">
        <v>1057</v>
      </c>
      <c r="F471" s="1">
        <v>45586</v>
      </c>
      <c r="G471" s="1">
        <v>45602</v>
      </c>
      <c r="H471" s="2">
        <v>16</v>
      </c>
      <c r="I471" s="2">
        <v>120000</v>
      </c>
      <c r="J471" s="2" t="s">
        <v>1027</v>
      </c>
      <c r="K471" t="s">
        <v>1033</v>
      </c>
      <c r="L471" t="s">
        <v>1018</v>
      </c>
      <c r="M471" s="2" t="s">
        <v>1019</v>
      </c>
      <c r="N471">
        <v>3.6</v>
      </c>
    </row>
    <row r="472" spans="1:14" x14ac:dyDescent="0.3">
      <c r="A472" t="s">
        <v>874</v>
      </c>
      <c r="B472">
        <v>25</v>
      </c>
      <c r="C472" t="s">
        <v>1014</v>
      </c>
      <c r="D472" s="2" t="s">
        <v>1029</v>
      </c>
      <c r="E472" t="s">
        <v>1057</v>
      </c>
      <c r="F472" s="1">
        <v>45587</v>
      </c>
      <c r="G472" s="1">
        <v>45603</v>
      </c>
      <c r="H472" s="2">
        <v>16</v>
      </c>
      <c r="I472" s="2">
        <v>120000</v>
      </c>
      <c r="J472" s="2" t="s">
        <v>1027</v>
      </c>
      <c r="K472" t="s">
        <v>1033</v>
      </c>
      <c r="L472" t="s">
        <v>1037</v>
      </c>
      <c r="M472" s="2" t="s">
        <v>1019</v>
      </c>
      <c r="N472">
        <v>3.6</v>
      </c>
    </row>
    <row r="473" spans="1:14" x14ac:dyDescent="0.3">
      <c r="A473" t="s">
        <v>875</v>
      </c>
      <c r="B473">
        <v>26</v>
      </c>
      <c r="C473" t="s">
        <v>1014</v>
      </c>
      <c r="D473" s="2" t="s">
        <v>1029</v>
      </c>
      <c r="E473" t="s">
        <v>1057</v>
      </c>
      <c r="F473" s="1">
        <v>45588</v>
      </c>
      <c r="G473" s="1">
        <v>45604</v>
      </c>
      <c r="H473" s="2">
        <v>16</v>
      </c>
      <c r="I473" s="2">
        <v>120000</v>
      </c>
      <c r="J473" s="2" t="s">
        <v>1027</v>
      </c>
      <c r="K473" t="s">
        <v>1033</v>
      </c>
      <c r="L473" t="s">
        <v>1018</v>
      </c>
      <c r="M473" s="2" t="s">
        <v>1019</v>
      </c>
      <c r="N473">
        <v>3.6</v>
      </c>
    </row>
    <row r="474" spans="1:14" x14ac:dyDescent="0.3">
      <c r="A474" t="s">
        <v>876</v>
      </c>
      <c r="B474">
        <v>27</v>
      </c>
      <c r="C474" t="s">
        <v>1014</v>
      </c>
      <c r="D474" s="2" t="s">
        <v>1029</v>
      </c>
      <c r="E474" t="s">
        <v>1057</v>
      </c>
      <c r="F474" s="1">
        <v>45589</v>
      </c>
      <c r="G474" s="1">
        <v>45605</v>
      </c>
      <c r="H474" s="2">
        <v>16</v>
      </c>
      <c r="I474" s="2">
        <v>120000</v>
      </c>
      <c r="J474" s="2" t="s">
        <v>1027</v>
      </c>
      <c r="K474" t="s">
        <v>1033</v>
      </c>
      <c r="L474" t="s">
        <v>1037</v>
      </c>
      <c r="M474" s="2" t="s">
        <v>1019</v>
      </c>
      <c r="N474">
        <v>3.6</v>
      </c>
    </row>
    <row r="475" spans="1:14" x14ac:dyDescent="0.3">
      <c r="A475" t="s">
        <v>877</v>
      </c>
      <c r="B475">
        <v>28</v>
      </c>
      <c r="C475" t="s">
        <v>1014</v>
      </c>
      <c r="D475" s="2" t="s">
        <v>1029</v>
      </c>
      <c r="E475" t="s">
        <v>1057</v>
      </c>
      <c r="F475" s="1">
        <v>45590</v>
      </c>
      <c r="G475" s="1">
        <v>45606</v>
      </c>
      <c r="H475" s="2">
        <v>16</v>
      </c>
      <c r="I475" s="2">
        <v>120000</v>
      </c>
      <c r="J475" s="2" t="s">
        <v>1027</v>
      </c>
      <c r="K475" t="s">
        <v>1033</v>
      </c>
      <c r="L475" t="s">
        <v>1018</v>
      </c>
      <c r="M475" s="2" t="s">
        <v>1019</v>
      </c>
      <c r="N475">
        <v>3.6</v>
      </c>
    </row>
    <row r="476" spans="1:14" x14ac:dyDescent="0.3">
      <c r="A476" t="s">
        <v>878</v>
      </c>
      <c r="B476">
        <v>29</v>
      </c>
      <c r="C476" t="s">
        <v>1014</v>
      </c>
      <c r="D476" s="2" t="s">
        <v>1029</v>
      </c>
      <c r="E476" t="s">
        <v>1057</v>
      </c>
      <c r="F476" s="1">
        <v>45591</v>
      </c>
      <c r="G476" s="1">
        <v>45607</v>
      </c>
      <c r="H476" s="2">
        <v>16</v>
      </c>
      <c r="I476" s="2">
        <v>120000</v>
      </c>
      <c r="J476" s="2" t="s">
        <v>1027</v>
      </c>
      <c r="K476" t="s">
        <v>1033</v>
      </c>
      <c r="L476" t="s">
        <v>1018</v>
      </c>
      <c r="M476" s="2" t="s">
        <v>1019</v>
      </c>
      <c r="N476">
        <v>3.6</v>
      </c>
    </row>
    <row r="477" spans="1:14" x14ac:dyDescent="0.3">
      <c r="A477" t="s">
        <v>879</v>
      </c>
      <c r="B477">
        <v>34</v>
      </c>
      <c r="C477" t="s">
        <v>1014</v>
      </c>
      <c r="D477" s="2" t="s">
        <v>1029</v>
      </c>
      <c r="E477" t="s">
        <v>1057</v>
      </c>
      <c r="F477" s="1">
        <v>45592</v>
      </c>
      <c r="G477" s="1">
        <v>45608</v>
      </c>
      <c r="H477" s="2">
        <v>16</v>
      </c>
      <c r="I477" s="2">
        <v>120000</v>
      </c>
      <c r="J477" s="2" t="s">
        <v>1027</v>
      </c>
      <c r="K477" t="s">
        <v>1033</v>
      </c>
      <c r="L477" t="s">
        <v>1018</v>
      </c>
      <c r="M477" s="2" t="s">
        <v>1019</v>
      </c>
      <c r="N477">
        <v>3.6</v>
      </c>
    </row>
    <row r="478" spans="1:14" x14ac:dyDescent="0.3">
      <c r="A478" t="s">
        <v>880</v>
      </c>
      <c r="B478">
        <v>35</v>
      </c>
      <c r="C478" t="s">
        <v>1014</v>
      </c>
      <c r="D478" s="2" t="s">
        <v>1029</v>
      </c>
      <c r="E478" t="s">
        <v>1057</v>
      </c>
      <c r="F478" s="1">
        <v>45593</v>
      </c>
      <c r="G478" s="1">
        <v>45609</v>
      </c>
      <c r="H478" s="2">
        <v>16</v>
      </c>
      <c r="I478" s="2">
        <v>120000</v>
      </c>
      <c r="J478" s="2" t="s">
        <v>1027</v>
      </c>
      <c r="K478" t="s">
        <v>1033</v>
      </c>
      <c r="L478" t="s">
        <v>1037</v>
      </c>
      <c r="M478" s="2" t="s">
        <v>1019</v>
      </c>
      <c r="N478">
        <v>3.6</v>
      </c>
    </row>
    <row r="479" spans="1:14" x14ac:dyDescent="0.3">
      <c r="A479" t="s">
        <v>881</v>
      </c>
      <c r="B479">
        <v>36</v>
      </c>
      <c r="C479" t="s">
        <v>1014</v>
      </c>
      <c r="D479" s="2" t="s">
        <v>1029</v>
      </c>
      <c r="E479" t="s">
        <v>1057</v>
      </c>
      <c r="F479" s="1">
        <v>45594</v>
      </c>
      <c r="G479" s="1">
        <v>45610</v>
      </c>
      <c r="H479" s="2">
        <v>16</v>
      </c>
      <c r="I479" s="2">
        <v>120000</v>
      </c>
      <c r="J479" s="2" t="s">
        <v>1027</v>
      </c>
      <c r="K479" t="s">
        <v>1033</v>
      </c>
      <c r="L479" t="s">
        <v>1018</v>
      </c>
      <c r="M479" s="2" t="s">
        <v>1019</v>
      </c>
      <c r="N479">
        <v>3.6</v>
      </c>
    </row>
    <row r="480" spans="1:14" x14ac:dyDescent="0.3">
      <c r="A480" t="s">
        <v>882</v>
      </c>
      <c r="B480">
        <v>31</v>
      </c>
      <c r="C480" t="s">
        <v>1014</v>
      </c>
      <c r="D480" s="2" t="s">
        <v>1029</v>
      </c>
      <c r="E480" t="s">
        <v>1057</v>
      </c>
      <c r="F480" s="1">
        <v>45595</v>
      </c>
      <c r="G480" s="1">
        <v>45611</v>
      </c>
      <c r="H480" s="2">
        <v>16</v>
      </c>
      <c r="I480" s="2">
        <v>120000</v>
      </c>
      <c r="J480" s="2" t="s">
        <v>1027</v>
      </c>
      <c r="K480" t="s">
        <v>1033</v>
      </c>
      <c r="L480" t="s">
        <v>1037</v>
      </c>
      <c r="M480" s="2" t="s">
        <v>1019</v>
      </c>
      <c r="N480">
        <v>3.6</v>
      </c>
    </row>
    <row r="481" spans="1:14" x14ac:dyDescent="0.3">
      <c r="A481" t="s">
        <v>883</v>
      </c>
      <c r="B481">
        <v>32</v>
      </c>
      <c r="C481" t="s">
        <v>1014</v>
      </c>
      <c r="D481" s="2" t="s">
        <v>1029</v>
      </c>
      <c r="E481" t="s">
        <v>1057</v>
      </c>
      <c r="F481" s="1">
        <v>45596</v>
      </c>
      <c r="G481" s="1">
        <v>45612</v>
      </c>
      <c r="H481" s="2">
        <v>16</v>
      </c>
      <c r="I481" s="2">
        <v>120000</v>
      </c>
      <c r="J481" s="2" t="s">
        <v>1027</v>
      </c>
      <c r="K481" t="s">
        <v>1033</v>
      </c>
      <c r="L481" t="s">
        <v>1018</v>
      </c>
      <c r="M481" s="2" t="s">
        <v>1019</v>
      </c>
      <c r="N481">
        <v>3.6</v>
      </c>
    </row>
    <row r="482" spans="1:14" x14ac:dyDescent="0.3">
      <c r="A482" t="s">
        <v>884</v>
      </c>
      <c r="B482">
        <v>36</v>
      </c>
      <c r="C482" t="s">
        <v>1014</v>
      </c>
      <c r="D482" s="2" t="s">
        <v>1029</v>
      </c>
      <c r="E482" t="s">
        <v>1057</v>
      </c>
      <c r="F482" s="1">
        <v>45597</v>
      </c>
      <c r="G482" s="1">
        <v>45613</v>
      </c>
      <c r="H482" s="2">
        <v>16</v>
      </c>
      <c r="I482" s="2">
        <v>120000</v>
      </c>
      <c r="J482" s="2" t="s">
        <v>1027</v>
      </c>
      <c r="K482" t="s">
        <v>1033</v>
      </c>
      <c r="L482" t="s">
        <v>1037</v>
      </c>
      <c r="M482" s="2" t="s">
        <v>1019</v>
      </c>
      <c r="N482">
        <v>3.6</v>
      </c>
    </row>
    <row r="483" spans="1:14" x14ac:dyDescent="0.3">
      <c r="A483" t="s">
        <v>885</v>
      </c>
      <c r="B483">
        <v>23</v>
      </c>
      <c r="C483" t="s">
        <v>1014</v>
      </c>
      <c r="D483" s="2" t="s">
        <v>1029</v>
      </c>
      <c r="E483" t="s">
        <v>1057</v>
      </c>
      <c r="F483" s="1">
        <v>45598</v>
      </c>
      <c r="G483" s="1">
        <v>45614</v>
      </c>
      <c r="H483" s="2">
        <v>16</v>
      </c>
      <c r="I483" s="2">
        <v>120000</v>
      </c>
      <c r="J483" s="2" t="s">
        <v>1027</v>
      </c>
      <c r="K483" t="s">
        <v>1033</v>
      </c>
      <c r="L483" t="s">
        <v>1037</v>
      </c>
      <c r="M483" s="2" t="s">
        <v>1019</v>
      </c>
      <c r="N483">
        <v>3.6</v>
      </c>
    </row>
    <row r="484" spans="1:14" x14ac:dyDescent="0.3">
      <c r="A484" t="s">
        <v>886</v>
      </c>
      <c r="B484">
        <v>34</v>
      </c>
      <c r="C484" t="s">
        <v>1014</v>
      </c>
      <c r="D484" s="2" t="s">
        <v>1029</v>
      </c>
      <c r="E484" t="s">
        <v>1057</v>
      </c>
      <c r="F484" s="1">
        <v>45599</v>
      </c>
      <c r="G484" s="1">
        <v>45613</v>
      </c>
      <c r="H484" s="2">
        <v>14</v>
      </c>
      <c r="I484" s="2">
        <v>120000</v>
      </c>
      <c r="J484" s="2" t="s">
        <v>1027</v>
      </c>
      <c r="K484" t="s">
        <v>1033</v>
      </c>
      <c r="L484" t="s">
        <v>1037</v>
      </c>
      <c r="M484" s="2" t="s">
        <v>1019</v>
      </c>
      <c r="N484">
        <v>3.6</v>
      </c>
    </row>
    <row r="485" spans="1:14" x14ac:dyDescent="0.3">
      <c r="A485" t="s">
        <v>887</v>
      </c>
      <c r="B485">
        <v>32</v>
      </c>
      <c r="C485" t="s">
        <v>1014</v>
      </c>
      <c r="D485" s="2" t="s">
        <v>1029</v>
      </c>
      <c r="E485" t="s">
        <v>1057</v>
      </c>
      <c r="F485" s="1">
        <v>45600</v>
      </c>
      <c r="G485" s="1">
        <v>45614</v>
      </c>
      <c r="H485" s="2">
        <v>14</v>
      </c>
      <c r="I485" s="2">
        <v>120000</v>
      </c>
      <c r="J485" s="2" t="s">
        <v>1027</v>
      </c>
      <c r="K485" t="s">
        <v>1033</v>
      </c>
      <c r="L485" t="s">
        <v>1018</v>
      </c>
      <c r="M485" s="2" t="s">
        <v>1019</v>
      </c>
      <c r="N485">
        <v>3.6</v>
      </c>
    </row>
    <row r="486" spans="1:14" x14ac:dyDescent="0.3">
      <c r="A486" t="s">
        <v>888</v>
      </c>
      <c r="B486">
        <v>55</v>
      </c>
      <c r="C486" t="s">
        <v>1014</v>
      </c>
      <c r="D486" s="2" t="s">
        <v>1029</v>
      </c>
      <c r="E486" t="s">
        <v>1057</v>
      </c>
      <c r="F486" s="1">
        <v>45601</v>
      </c>
      <c r="G486" s="1">
        <v>45615</v>
      </c>
      <c r="H486" s="2">
        <v>14</v>
      </c>
      <c r="I486" s="2">
        <v>120000</v>
      </c>
      <c r="J486" s="2" t="s">
        <v>1027</v>
      </c>
      <c r="K486" t="s">
        <v>1033</v>
      </c>
      <c r="L486" t="s">
        <v>1018</v>
      </c>
      <c r="M486" s="2" t="s">
        <v>1019</v>
      </c>
      <c r="N486">
        <v>3.6</v>
      </c>
    </row>
    <row r="487" spans="1:14" x14ac:dyDescent="0.3">
      <c r="A487" t="s">
        <v>889</v>
      </c>
      <c r="B487">
        <v>34</v>
      </c>
      <c r="C487" t="s">
        <v>1014</v>
      </c>
      <c r="D487" s="2" t="s">
        <v>1124</v>
      </c>
      <c r="E487" t="s">
        <v>1135</v>
      </c>
      <c r="F487" s="1">
        <v>45602</v>
      </c>
      <c r="G487" s="1">
        <v>45616</v>
      </c>
      <c r="H487" s="2">
        <v>14</v>
      </c>
      <c r="I487" s="2">
        <v>120000</v>
      </c>
      <c r="J487" s="2" t="s">
        <v>1027</v>
      </c>
      <c r="K487" t="s">
        <v>1044</v>
      </c>
      <c r="L487" t="s">
        <v>1037</v>
      </c>
      <c r="M487" s="2" t="s">
        <v>1019</v>
      </c>
      <c r="N487">
        <v>3.6</v>
      </c>
    </row>
    <row r="488" spans="1:14" x14ac:dyDescent="0.3">
      <c r="A488" t="s">
        <v>890</v>
      </c>
      <c r="B488">
        <v>34</v>
      </c>
      <c r="C488" t="s">
        <v>1014</v>
      </c>
      <c r="D488" s="2" t="s">
        <v>1124</v>
      </c>
      <c r="E488" t="s">
        <v>1135</v>
      </c>
      <c r="F488" s="1">
        <v>45603</v>
      </c>
      <c r="G488" s="1">
        <v>45617</v>
      </c>
      <c r="H488" s="2">
        <v>14</v>
      </c>
      <c r="I488" s="2">
        <v>120000</v>
      </c>
      <c r="J488" s="2" t="s">
        <v>1027</v>
      </c>
      <c r="K488" t="s">
        <v>1044</v>
      </c>
      <c r="L488" t="s">
        <v>1018</v>
      </c>
      <c r="M488" s="2" t="s">
        <v>1019</v>
      </c>
      <c r="N488">
        <v>3.6</v>
      </c>
    </row>
    <row r="489" spans="1:14" x14ac:dyDescent="0.3">
      <c r="A489" t="s">
        <v>891</v>
      </c>
      <c r="B489">
        <v>45</v>
      </c>
      <c r="C489" t="s">
        <v>1014</v>
      </c>
      <c r="D489" s="2" t="s">
        <v>1124</v>
      </c>
      <c r="E489" t="s">
        <v>1135</v>
      </c>
      <c r="F489" s="1">
        <v>45604</v>
      </c>
      <c r="G489" s="1">
        <v>45618</v>
      </c>
      <c r="H489" s="2">
        <v>14</v>
      </c>
      <c r="I489" s="2">
        <v>120000</v>
      </c>
      <c r="J489" s="2" t="s">
        <v>1027</v>
      </c>
      <c r="K489" t="s">
        <v>1044</v>
      </c>
      <c r="L489" t="s">
        <v>1037</v>
      </c>
      <c r="M489" s="2" t="s">
        <v>1019</v>
      </c>
      <c r="N489">
        <v>3.6</v>
      </c>
    </row>
    <row r="490" spans="1:14" x14ac:dyDescent="0.3">
      <c r="A490" t="s">
        <v>892</v>
      </c>
      <c r="B490">
        <v>56</v>
      </c>
      <c r="C490" t="s">
        <v>1014</v>
      </c>
      <c r="D490" s="2" t="s">
        <v>1124</v>
      </c>
      <c r="E490" t="s">
        <v>1135</v>
      </c>
      <c r="F490" s="1">
        <v>45605</v>
      </c>
      <c r="G490" s="1">
        <v>45619</v>
      </c>
      <c r="H490" s="2">
        <v>14</v>
      </c>
      <c r="I490" s="2">
        <v>120000</v>
      </c>
      <c r="J490" s="2" t="s">
        <v>1027</v>
      </c>
      <c r="K490" t="s">
        <v>1044</v>
      </c>
      <c r="L490" t="s">
        <v>1037</v>
      </c>
      <c r="M490" s="2" t="s">
        <v>1019</v>
      </c>
      <c r="N490">
        <v>3.6</v>
      </c>
    </row>
    <row r="491" spans="1:14" x14ac:dyDescent="0.3">
      <c r="A491" t="s">
        <v>893</v>
      </c>
      <c r="B491">
        <v>57</v>
      </c>
      <c r="C491" t="s">
        <v>1014</v>
      </c>
      <c r="D491" s="2" t="s">
        <v>1124</v>
      </c>
      <c r="E491" t="s">
        <v>1135</v>
      </c>
      <c r="F491" s="1">
        <v>45606</v>
      </c>
      <c r="G491" s="1">
        <v>45620</v>
      </c>
      <c r="H491" s="2">
        <v>14</v>
      </c>
      <c r="I491" s="2">
        <v>120000</v>
      </c>
      <c r="J491" s="2" t="s">
        <v>1027</v>
      </c>
      <c r="K491" t="s">
        <v>1044</v>
      </c>
      <c r="L491" t="s">
        <v>1018</v>
      </c>
      <c r="M491" s="2" t="s">
        <v>1019</v>
      </c>
      <c r="N491">
        <v>3.6</v>
      </c>
    </row>
    <row r="492" spans="1:14" x14ac:dyDescent="0.3">
      <c r="A492" t="s">
        <v>894</v>
      </c>
      <c r="B492">
        <v>58</v>
      </c>
      <c r="C492" t="s">
        <v>1014</v>
      </c>
      <c r="D492" s="2" t="s">
        <v>1124</v>
      </c>
      <c r="E492" t="s">
        <v>1135</v>
      </c>
      <c r="F492" s="1">
        <v>45607</v>
      </c>
      <c r="G492" s="1">
        <v>45621</v>
      </c>
      <c r="H492" s="2">
        <v>14</v>
      </c>
      <c r="I492" s="2">
        <v>120000</v>
      </c>
      <c r="J492" s="2" t="s">
        <v>1027</v>
      </c>
      <c r="K492" t="s">
        <v>1044</v>
      </c>
      <c r="L492" t="s">
        <v>1018</v>
      </c>
      <c r="M492" s="2" t="s">
        <v>1019</v>
      </c>
      <c r="N492">
        <v>3.6</v>
      </c>
    </row>
    <row r="493" spans="1:14" x14ac:dyDescent="0.3">
      <c r="A493" t="s">
        <v>895</v>
      </c>
      <c r="B493">
        <v>87</v>
      </c>
      <c r="C493" t="s">
        <v>1014</v>
      </c>
      <c r="D493" s="2" t="s">
        <v>1124</v>
      </c>
      <c r="E493" t="s">
        <v>1135</v>
      </c>
      <c r="F493" s="1">
        <v>45608</v>
      </c>
      <c r="G493" s="1">
        <v>45622</v>
      </c>
      <c r="H493" s="2">
        <v>14</v>
      </c>
      <c r="I493" s="2">
        <v>120000</v>
      </c>
      <c r="J493" s="2" t="s">
        <v>1027</v>
      </c>
      <c r="K493" t="s">
        <v>1044</v>
      </c>
      <c r="L493" t="s">
        <v>1037</v>
      </c>
      <c r="M493" s="2" t="s">
        <v>1019</v>
      </c>
      <c r="N493">
        <v>3.6</v>
      </c>
    </row>
    <row r="494" spans="1:14" x14ac:dyDescent="0.3">
      <c r="A494" t="s">
        <v>896</v>
      </c>
      <c r="B494">
        <v>86</v>
      </c>
      <c r="C494" t="s">
        <v>1014</v>
      </c>
      <c r="D494" s="2" t="s">
        <v>1124</v>
      </c>
      <c r="E494" t="s">
        <v>1135</v>
      </c>
      <c r="F494" s="1">
        <v>45609</v>
      </c>
      <c r="G494" s="1">
        <v>45623</v>
      </c>
      <c r="H494" s="2">
        <v>14</v>
      </c>
      <c r="I494" s="2">
        <v>120000</v>
      </c>
      <c r="J494" s="2" t="s">
        <v>1027</v>
      </c>
      <c r="K494" t="s">
        <v>1044</v>
      </c>
      <c r="L494" t="s">
        <v>1018</v>
      </c>
      <c r="M494" s="2" t="s">
        <v>1019</v>
      </c>
      <c r="N494">
        <v>3.6</v>
      </c>
    </row>
    <row r="495" spans="1:14" x14ac:dyDescent="0.3">
      <c r="A495" t="s">
        <v>897</v>
      </c>
      <c r="B495">
        <v>85</v>
      </c>
      <c r="C495" t="s">
        <v>1014</v>
      </c>
      <c r="D495" s="2" t="s">
        <v>1124</v>
      </c>
      <c r="E495" t="s">
        <v>1135</v>
      </c>
      <c r="F495" s="1">
        <v>45610</v>
      </c>
      <c r="G495" s="1">
        <v>45624</v>
      </c>
      <c r="H495" s="2">
        <v>14</v>
      </c>
      <c r="I495" s="2">
        <v>120000</v>
      </c>
      <c r="J495" s="2" t="s">
        <v>1027</v>
      </c>
      <c r="K495" t="s">
        <v>1044</v>
      </c>
      <c r="L495" t="s">
        <v>1037</v>
      </c>
      <c r="M495" s="2" t="s">
        <v>1019</v>
      </c>
      <c r="N495">
        <v>3.6</v>
      </c>
    </row>
    <row r="496" spans="1:14" x14ac:dyDescent="0.3">
      <c r="A496" t="s">
        <v>898</v>
      </c>
      <c r="B496">
        <v>84</v>
      </c>
      <c r="C496" t="s">
        <v>1014</v>
      </c>
      <c r="D496" s="2" t="s">
        <v>1124</v>
      </c>
      <c r="E496" t="s">
        <v>1135</v>
      </c>
      <c r="F496" s="1">
        <v>45611</v>
      </c>
      <c r="G496" s="1">
        <v>45625</v>
      </c>
      <c r="H496" s="2">
        <v>14</v>
      </c>
      <c r="I496" s="2">
        <v>120000</v>
      </c>
      <c r="J496" s="2" t="s">
        <v>1027</v>
      </c>
      <c r="K496" t="s">
        <v>1044</v>
      </c>
      <c r="L496" t="s">
        <v>1018</v>
      </c>
      <c r="M496" s="2" t="s">
        <v>1019</v>
      </c>
      <c r="N496">
        <v>3.6</v>
      </c>
    </row>
    <row r="497" spans="1:14" x14ac:dyDescent="0.3">
      <c r="A497" t="s">
        <v>899</v>
      </c>
      <c r="B497">
        <v>95</v>
      </c>
      <c r="C497" t="s">
        <v>1014</v>
      </c>
      <c r="D497" s="2" t="s">
        <v>1124</v>
      </c>
      <c r="E497" t="s">
        <v>1135</v>
      </c>
      <c r="F497" s="1">
        <v>45612</v>
      </c>
      <c r="G497" s="1">
        <v>45626</v>
      </c>
      <c r="H497" s="2">
        <v>14</v>
      </c>
      <c r="I497" s="2">
        <v>120000</v>
      </c>
      <c r="J497" s="2" t="s">
        <v>1027</v>
      </c>
      <c r="K497" t="s">
        <v>1044</v>
      </c>
      <c r="L497" t="s">
        <v>1037</v>
      </c>
      <c r="M497" s="2" t="s">
        <v>1019</v>
      </c>
      <c r="N497">
        <v>3.6</v>
      </c>
    </row>
    <row r="498" spans="1:14" x14ac:dyDescent="0.3">
      <c r="A498" t="s">
        <v>900</v>
      </c>
      <c r="B498">
        <v>87</v>
      </c>
      <c r="C498" t="s">
        <v>1014</v>
      </c>
      <c r="D498" s="2" t="s">
        <v>1124</v>
      </c>
      <c r="E498" t="s">
        <v>1135</v>
      </c>
      <c r="F498" s="1">
        <v>45613</v>
      </c>
      <c r="G498" s="1">
        <v>45627</v>
      </c>
      <c r="H498" s="2">
        <v>14</v>
      </c>
      <c r="I498" s="2">
        <v>120000</v>
      </c>
      <c r="J498" s="2" t="s">
        <v>1027</v>
      </c>
      <c r="K498" t="s">
        <v>1044</v>
      </c>
      <c r="L498" t="s">
        <v>1037</v>
      </c>
      <c r="M498" s="2" t="s">
        <v>1019</v>
      </c>
      <c r="N498">
        <v>3.6</v>
      </c>
    </row>
    <row r="499" spans="1:14" x14ac:dyDescent="0.3">
      <c r="A499" t="s">
        <v>14</v>
      </c>
      <c r="B499" s="2">
        <v>45</v>
      </c>
      <c r="C499" s="2" t="s">
        <v>1014</v>
      </c>
      <c r="D499" s="2" t="s">
        <v>1015</v>
      </c>
      <c r="E499" s="2" t="s">
        <v>1016</v>
      </c>
      <c r="F499" s="3">
        <v>45658</v>
      </c>
      <c r="G499" s="3">
        <v>45667</v>
      </c>
      <c r="H499" s="2">
        <v>10</v>
      </c>
      <c r="I499" s="2">
        <v>25000</v>
      </c>
      <c r="J499" s="2" t="s">
        <v>1017</v>
      </c>
      <c r="K499" s="2" t="s">
        <v>1052</v>
      </c>
      <c r="L499" s="2" t="s">
        <v>1018</v>
      </c>
      <c r="M499" s="2" t="s">
        <v>1019</v>
      </c>
      <c r="N499" s="2">
        <v>4</v>
      </c>
    </row>
    <row r="500" spans="1:14" x14ac:dyDescent="0.3">
      <c r="A500" t="s">
        <v>16</v>
      </c>
      <c r="B500" s="2">
        <v>42</v>
      </c>
      <c r="C500" s="2" t="s">
        <v>1014</v>
      </c>
      <c r="D500" s="2" t="s">
        <v>1025</v>
      </c>
      <c r="E500" s="2" t="s">
        <v>1026</v>
      </c>
      <c r="F500" s="3">
        <v>45661</v>
      </c>
      <c r="G500" s="3">
        <v>45663</v>
      </c>
      <c r="H500" s="2">
        <v>2</v>
      </c>
      <c r="I500" s="2">
        <v>20000</v>
      </c>
      <c r="J500" s="2" t="s">
        <v>1027</v>
      </c>
      <c r="K500" s="2" t="s">
        <v>1046</v>
      </c>
      <c r="L500" s="2" t="s">
        <v>1018</v>
      </c>
      <c r="M500" s="2" t="s">
        <v>1019</v>
      </c>
      <c r="N500" s="2">
        <v>4</v>
      </c>
    </row>
    <row r="501" spans="1:14" x14ac:dyDescent="0.3">
      <c r="A501" t="s">
        <v>18</v>
      </c>
      <c r="B501" s="2">
        <v>50</v>
      </c>
      <c r="C501" s="2" t="s">
        <v>1014</v>
      </c>
      <c r="D501" s="2" t="s">
        <v>1031</v>
      </c>
      <c r="E501" s="2" t="s">
        <v>1032</v>
      </c>
      <c r="F501" s="3">
        <v>45672</v>
      </c>
      <c r="G501" s="3">
        <v>45677</v>
      </c>
      <c r="H501" s="2">
        <v>5</v>
      </c>
      <c r="I501" s="2">
        <v>40000</v>
      </c>
      <c r="J501" s="2" t="s">
        <v>1017</v>
      </c>
      <c r="K501" s="2" t="s">
        <v>1161</v>
      </c>
      <c r="L501" s="2" t="s">
        <v>1018</v>
      </c>
      <c r="M501" s="2" t="s">
        <v>1019</v>
      </c>
      <c r="N501" s="2">
        <v>3</v>
      </c>
    </row>
    <row r="502" spans="1:14" x14ac:dyDescent="0.3">
      <c r="A502" t="s">
        <v>19</v>
      </c>
      <c r="B502" s="2">
        <v>17</v>
      </c>
      <c r="C502" s="2" t="s">
        <v>1014</v>
      </c>
      <c r="D502" s="2" t="s">
        <v>1031</v>
      </c>
      <c r="E502" s="2" t="s">
        <v>1034</v>
      </c>
      <c r="F502" s="3">
        <v>45675</v>
      </c>
      <c r="G502" s="3">
        <v>45682</v>
      </c>
      <c r="H502" s="2">
        <v>7</v>
      </c>
      <c r="I502" s="2">
        <v>50000</v>
      </c>
      <c r="J502" s="2" t="s">
        <v>1023</v>
      </c>
      <c r="K502" s="2" t="s">
        <v>1161</v>
      </c>
      <c r="L502" s="2" t="s">
        <v>1018</v>
      </c>
      <c r="M502" s="2" t="s">
        <v>1019</v>
      </c>
      <c r="N502" s="2">
        <v>4.2</v>
      </c>
    </row>
    <row r="503" spans="1:14" x14ac:dyDescent="0.3">
      <c r="A503" t="s">
        <v>22</v>
      </c>
      <c r="B503" s="2">
        <v>59</v>
      </c>
      <c r="C503" s="2" t="s">
        <v>1020</v>
      </c>
      <c r="D503" s="2" t="s">
        <v>1039</v>
      </c>
      <c r="E503" s="2" t="s">
        <v>1040</v>
      </c>
      <c r="F503" s="3">
        <v>45681</v>
      </c>
      <c r="G503" s="3">
        <v>45690</v>
      </c>
      <c r="H503" s="2">
        <v>10</v>
      </c>
      <c r="I503" s="2">
        <v>40000</v>
      </c>
      <c r="J503" s="2" t="s">
        <v>1023</v>
      </c>
      <c r="K503" s="2" t="s">
        <v>1059</v>
      </c>
      <c r="L503" s="2" t="s">
        <v>1018</v>
      </c>
      <c r="M503" s="2" t="s">
        <v>1019</v>
      </c>
      <c r="N503" s="2">
        <v>3.4</v>
      </c>
    </row>
    <row r="504" spans="1:14" x14ac:dyDescent="0.3">
      <c r="A504" t="s">
        <v>24</v>
      </c>
      <c r="B504" s="2">
        <v>18</v>
      </c>
      <c r="C504" s="2" t="s">
        <v>1014</v>
      </c>
      <c r="D504" s="2" t="s">
        <v>1039</v>
      </c>
      <c r="E504" s="2" t="s">
        <v>1043</v>
      </c>
      <c r="F504" s="3">
        <v>45683</v>
      </c>
      <c r="G504" s="3">
        <v>45685</v>
      </c>
      <c r="H504" s="2">
        <v>2</v>
      </c>
      <c r="I504" s="2">
        <v>32000</v>
      </c>
      <c r="J504" s="2" t="s">
        <v>1027</v>
      </c>
      <c r="K504" s="2" t="s">
        <v>1059</v>
      </c>
      <c r="L504" s="2" t="s">
        <v>1018</v>
      </c>
      <c r="M504" s="2" t="s">
        <v>1019</v>
      </c>
      <c r="N504" s="2">
        <v>3.2</v>
      </c>
    </row>
    <row r="505" spans="1:14" x14ac:dyDescent="0.3">
      <c r="A505" t="s">
        <v>28</v>
      </c>
      <c r="B505" s="2">
        <v>33</v>
      </c>
      <c r="C505" s="2" t="s">
        <v>1020</v>
      </c>
      <c r="D505" s="2" t="s">
        <v>1048</v>
      </c>
      <c r="E505" s="2" t="s">
        <v>1049</v>
      </c>
      <c r="F505" s="3">
        <v>45690</v>
      </c>
      <c r="G505" s="3">
        <v>45692</v>
      </c>
      <c r="H505" s="2">
        <v>2</v>
      </c>
      <c r="I505" s="2">
        <v>34000</v>
      </c>
      <c r="J505" s="2" t="s">
        <v>1027</v>
      </c>
      <c r="K505" s="2" t="s">
        <v>1028</v>
      </c>
      <c r="L505" s="2" t="s">
        <v>1018</v>
      </c>
      <c r="M505" s="2" t="s">
        <v>1019</v>
      </c>
      <c r="N505" s="2">
        <v>2.8</v>
      </c>
    </row>
    <row r="506" spans="1:14" x14ac:dyDescent="0.3">
      <c r="A506" t="s">
        <v>35</v>
      </c>
      <c r="B506" s="2">
        <v>16</v>
      </c>
      <c r="C506" s="2" t="s">
        <v>1014</v>
      </c>
      <c r="D506" s="2" t="s">
        <v>1031</v>
      </c>
      <c r="E506" s="2" t="s">
        <v>1053</v>
      </c>
      <c r="F506" s="3">
        <v>45703</v>
      </c>
      <c r="G506" s="3">
        <v>45710</v>
      </c>
      <c r="H506" s="2">
        <v>7</v>
      </c>
      <c r="I506" s="2">
        <v>44000</v>
      </c>
      <c r="J506" s="2" t="s">
        <v>1027</v>
      </c>
      <c r="K506" s="2" t="s">
        <v>1161</v>
      </c>
      <c r="L506" s="2" t="s">
        <v>1018</v>
      </c>
      <c r="M506" s="2" t="s">
        <v>1019</v>
      </c>
      <c r="N506" s="2">
        <v>2.1</v>
      </c>
    </row>
    <row r="507" spans="1:14" x14ac:dyDescent="0.3">
      <c r="A507" t="s">
        <v>36</v>
      </c>
      <c r="B507" s="2">
        <v>19</v>
      </c>
      <c r="C507" s="2" t="s">
        <v>1014</v>
      </c>
      <c r="D507" s="2" t="s">
        <v>1031</v>
      </c>
      <c r="E507" s="2" t="s">
        <v>1054</v>
      </c>
      <c r="F507" s="3">
        <v>45708</v>
      </c>
      <c r="G507" s="3">
        <v>45715</v>
      </c>
      <c r="H507" s="2">
        <v>7</v>
      </c>
      <c r="I507" s="2">
        <v>56000</v>
      </c>
      <c r="J507" s="2" t="s">
        <v>1017</v>
      </c>
      <c r="K507" s="2" t="s">
        <v>1161</v>
      </c>
      <c r="L507" s="2" t="s">
        <v>1037</v>
      </c>
      <c r="M507" s="2" t="s">
        <v>1019</v>
      </c>
      <c r="N507" s="2">
        <v>2</v>
      </c>
    </row>
    <row r="508" spans="1:14" x14ac:dyDescent="0.3">
      <c r="A508" t="s">
        <v>37</v>
      </c>
      <c r="B508" s="2">
        <v>22</v>
      </c>
      <c r="C508" s="2" t="s">
        <v>1020</v>
      </c>
      <c r="D508" s="2" t="s">
        <v>1025</v>
      </c>
      <c r="E508" s="2" t="s">
        <v>1055</v>
      </c>
      <c r="F508" s="3">
        <v>45710</v>
      </c>
      <c r="G508" s="3">
        <v>45715</v>
      </c>
      <c r="H508" s="2">
        <v>5</v>
      </c>
      <c r="I508" s="2">
        <v>76000</v>
      </c>
      <c r="J508" s="2" t="s">
        <v>1017</v>
      </c>
      <c r="K508" s="2" t="s">
        <v>1046</v>
      </c>
      <c r="L508" s="2" t="s">
        <v>1037</v>
      </c>
      <c r="M508" s="2" t="s">
        <v>1019</v>
      </c>
      <c r="N508" s="2">
        <v>4</v>
      </c>
    </row>
    <row r="509" spans="1:14" x14ac:dyDescent="0.3">
      <c r="A509" t="s">
        <v>38</v>
      </c>
      <c r="B509" s="2">
        <v>24</v>
      </c>
      <c r="C509" s="2" t="s">
        <v>1020</v>
      </c>
      <c r="D509" s="2" t="s">
        <v>1039</v>
      </c>
      <c r="E509" s="2" t="s">
        <v>1043</v>
      </c>
      <c r="F509" s="3">
        <v>45712</v>
      </c>
      <c r="G509" s="3">
        <v>45716</v>
      </c>
      <c r="H509" s="2">
        <v>4</v>
      </c>
      <c r="I509" s="2">
        <v>60000</v>
      </c>
      <c r="J509" s="2" t="s">
        <v>1023</v>
      </c>
      <c r="K509" s="2" t="s">
        <v>1059</v>
      </c>
      <c r="L509" s="2" t="s">
        <v>1018</v>
      </c>
      <c r="M509" s="2" t="s">
        <v>1019</v>
      </c>
      <c r="N509" s="2">
        <v>3</v>
      </c>
    </row>
    <row r="510" spans="1:14" x14ac:dyDescent="0.3">
      <c r="A510" t="s">
        <v>43</v>
      </c>
      <c r="B510" s="2">
        <v>32</v>
      </c>
      <c r="C510" s="2" t="s">
        <v>1014</v>
      </c>
      <c r="D510" s="2" t="s">
        <v>1025</v>
      </c>
      <c r="E510" s="2" t="s">
        <v>1026</v>
      </c>
      <c r="F510" s="3">
        <v>45726</v>
      </c>
      <c r="G510" s="3">
        <v>45730</v>
      </c>
      <c r="H510" s="2">
        <v>4</v>
      </c>
      <c r="I510" s="2">
        <v>76000</v>
      </c>
      <c r="J510" s="2" t="s">
        <v>1017</v>
      </c>
      <c r="K510" s="2" t="s">
        <v>1046</v>
      </c>
      <c r="L510" s="2" t="s">
        <v>1018</v>
      </c>
      <c r="M510" s="2" t="s">
        <v>1019</v>
      </c>
      <c r="N510" s="2">
        <v>3.5</v>
      </c>
    </row>
    <row r="511" spans="1:14" x14ac:dyDescent="0.3">
      <c r="A511" t="s">
        <v>45</v>
      </c>
      <c r="B511" s="2">
        <v>39</v>
      </c>
      <c r="C511" s="2" t="s">
        <v>1020</v>
      </c>
      <c r="D511" s="2" t="s">
        <v>1048</v>
      </c>
      <c r="E511" s="2" t="s">
        <v>1058</v>
      </c>
      <c r="F511" s="3">
        <v>45729</v>
      </c>
      <c r="G511" s="3">
        <v>45731</v>
      </c>
      <c r="H511" s="2">
        <v>2</v>
      </c>
      <c r="I511" s="2">
        <v>15000</v>
      </c>
      <c r="J511" s="2" t="s">
        <v>1027</v>
      </c>
      <c r="K511" s="2" t="s">
        <v>1028</v>
      </c>
      <c r="L511" s="2" t="s">
        <v>1037</v>
      </c>
      <c r="M511" s="2" t="s">
        <v>1019</v>
      </c>
      <c r="N511" s="2">
        <v>5</v>
      </c>
    </row>
    <row r="512" spans="1:14" x14ac:dyDescent="0.3">
      <c r="A512" t="s">
        <v>47</v>
      </c>
      <c r="B512" s="2">
        <v>50</v>
      </c>
      <c r="C512" s="2" t="s">
        <v>1014</v>
      </c>
      <c r="D512" s="2" t="s">
        <v>1029</v>
      </c>
      <c r="E512" s="2" t="s">
        <v>1061</v>
      </c>
      <c r="F512" s="3">
        <v>45732</v>
      </c>
      <c r="G512" s="3">
        <v>45742</v>
      </c>
      <c r="H512" s="2">
        <v>10</v>
      </c>
      <c r="I512" s="2">
        <v>78000</v>
      </c>
      <c r="J512" s="2" t="s">
        <v>1023</v>
      </c>
      <c r="K512" s="2" t="s">
        <v>1033</v>
      </c>
      <c r="L512" s="2" t="s">
        <v>1018</v>
      </c>
      <c r="M512" s="2" t="s">
        <v>1019</v>
      </c>
      <c r="N512" s="2">
        <v>5</v>
      </c>
    </row>
    <row r="513" spans="1:14" x14ac:dyDescent="0.3">
      <c r="A513" t="s">
        <v>48</v>
      </c>
      <c r="B513" s="2">
        <v>51</v>
      </c>
      <c r="C513" s="2" t="s">
        <v>1014</v>
      </c>
      <c r="D513" s="2" t="s">
        <v>1025</v>
      </c>
      <c r="E513" s="2" t="s">
        <v>1062</v>
      </c>
      <c r="F513" s="3">
        <v>45734</v>
      </c>
      <c r="G513" s="3">
        <v>45741</v>
      </c>
      <c r="H513" s="2">
        <v>7</v>
      </c>
      <c r="I513" s="2">
        <v>89000</v>
      </c>
      <c r="J513" s="2" t="s">
        <v>1023</v>
      </c>
      <c r="K513" s="2" t="s">
        <v>1046</v>
      </c>
      <c r="L513" s="2" t="s">
        <v>1037</v>
      </c>
      <c r="M513" s="2" t="s">
        <v>1019</v>
      </c>
      <c r="N513" s="2">
        <v>4</v>
      </c>
    </row>
    <row r="514" spans="1:14" x14ac:dyDescent="0.3">
      <c r="A514" t="s">
        <v>49</v>
      </c>
      <c r="B514" s="2">
        <v>34</v>
      </c>
      <c r="C514" s="2" t="s">
        <v>1020</v>
      </c>
      <c r="D514" s="2" t="s">
        <v>1048</v>
      </c>
      <c r="E514" s="2" t="s">
        <v>1063</v>
      </c>
      <c r="F514" s="3">
        <v>45735</v>
      </c>
      <c r="G514" s="3">
        <v>45739</v>
      </c>
      <c r="H514" s="2">
        <v>4</v>
      </c>
      <c r="I514" s="2">
        <v>55000</v>
      </c>
      <c r="J514" s="2" t="s">
        <v>1027</v>
      </c>
      <c r="K514" s="2" t="s">
        <v>1028</v>
      </c>
      <c r="L514" s="2" t="s">
        <v>1037</v>
      </c>
      <c r="M514" s="2" t="s">
        <v>1019</v>
      </c>
      <c r="N514" s="2">
        <v>4</v>
      </c>
    </row>
    <row r="515" spans="1:14" x14ac:dyDescent="0.3">
      <c r="A515" t="s">
        <v>50</v>
      </c>
      <c r="B515" s="2">
        <v>24</v>
      </c>
      <c r="C515" s="2" t="s">
        <v>1020</v>
      </c>
      <c r="D515" s="2" t="s">
        <v>1029</v>
      </c>
      <c r="E515" s="2" t="s">
        <v>1064</v>
      </c>
      <c r="F515" s="3">
        <v>45736</v>
      </c>
      <c r="G515" s="3">
        <v>45740</v>
      </c>
      <c r="H515" s="2">
        <v>4</v>
      </c>
      <c r="I515" s="2">
        <v>43000</v>
      </c>
      <c r="J515" s="2" t="s">
        <v>1017</v>
      </c>
      <c r="K515" s="2" t="s">
        <v>1033</v>
      </c>
      <c r="L515" s="2" t="s">
        <v>1018</v>
      </c>
      <c r="M515" s="2" t="s">
        <v>1019</v>
      </c>
      <c r="N515" s="2">
        <v>5</v>
      </c>
    </row>
    <row r="516" spans="1:14" x14ac:dyDescent="0.3">
      <c r="A516" t="s">
        <v>51</v>
      </c>
      <c r="B516" s="2">
        <v>33</v>
      </c>
      <c r="C516" s="2" t="s">
        <v>1014</v>
      </c>
      <c r="D516" s="2" t="s">
        <v>1021</v>
      </c>
      <c r="E516" s="2" t="s">
        <v>1065</v>
      </c>
      <c r="F516" s="3">
        <v>45738</v>
      </c>
      <c r="G516" s="3">
        <v>45746</v>
      </c>
      <c r="H516" s="2">
        <v>8</v>
      </c>
      <c r="I516" s="2">
        <v>100000</v>
      </c>
      <c r="J516" s="2" t="s">
        <v>1023</v>
      </c>
      <c r="K516" s="2" t="s">
        <v>1147</v>
      </c>
      <c r="L516" s="2" t="s">
        <v>1037</v>
      </c>
      <c r="M516" s="2" t="s">
        <v>1019</v>
      </c>
      <c r="N516" s="2">
        <v>4.9000000000000004</v>
      </c>
    </row>
    <row r="517" spans="1:14" x14ac:dyDescent="0.3">
      <c r="A517" t="s">
        <v>54</v>
      </c>
      <c r="B517" s="2">
        <v>59</v>
      </c>
      <c r="C517" s="2" t="s">
        <v>1020</v>
      </c>
      <c r="D517" s="2" t="s">
        <v>1025</v>
      </c>
      <c r="E517" s="2" t="s">
        <v>1068</v>
      </c>
      <c r="F517" s="3">
        <v>45743</v>
      </c>
      <c r="G517" s="3">
        <v>45747</v>
      </c>
      <c r="H517" s="2">
        <v>4</v>
      </c>
      <c r="I517" s="2">
        <v>66000</v>
      </c>
      <c r="J517" s="2" t="s">
        <v>1017</v>
      </c>
      <c r="K517" s="2" t="s">
        <v>1046</v>
      </c>
      <c r="L517" s="2" t="s">
        <v>1018</v>
      </c>
      <c r="M517" s="2" t="s">
        <v>1019</v>
      </c>
      <c r="N517" s="2">
        <v>5</v>
      </c>
    </row>
    <row r="518" spans="1:14" x14ac:dyDescent="0.3">
      <c r="A518" t="s">
        <v>58</v>
      </c>
      <c r="B518" s="2">
        <v>39</v>
      </c>
      <c r="C518" s="2" t="s">
        <v>1014</v>
      </c>
      <c r="D518" s="2" t="s">
        <v>1039</v>
      </c>
      <c r="E518" s="2" t="s">
        <v>1072</v>
      </c>
      <c r="F518" s="3">
        <v>45749</v>
      </c>
      <c r="G518" s="3">
        <v>45750</v>
      </c>
      <c r="H518" s="2">
        <v>1</v>
      </c>
      <c r="I518" s="2">
        <v>45000</v>
      </c>
      <c r="J518" s="2" t="s">
        <v>1023</v>
      </c>
      <c r="K518" s="2" t="s">
        <v>1059</v>
      </c>
      <c r="L518" s="2" t="s">
        <v>1018</v>
      </c>
      <c r="M518" s="2" t="s">
        <v>1019</v>
      </c>
      <c r="N518" s="2">
        <v>5</v>
      </c>
    </row>
    <row r="519" spans="1:14" x14ac:dyDescent="0.3">
      <c r="A519" t="s">
        <v>62</v>
      </c>
      <c r="B519" s="2">
        <v>4</v>
      </c>
      <c r="C519" s="2" t="s">
        <v>1014</v>
      </c>
      <c r="D519" s="2" t="s">
        <v>1029</v>
      </c>
      <c r="E519" s="2" t="s">
        <v>1075</v>
      </c>
      <c r="F519" s="3">
        <v>45753</v>
      </c>
      <c r="G519" s="3">
        <v>45759</v>
      </c>
      <c r="H519" s="2">
        <v>6</v>
      </c>
      <c r="I519" s="2">
        <v>100000</v>
      </c>
      <c r="J519" s="2" t="s">
        <v>1023</v>
      </c>
      <c r="K519" s="2" t="s">
        <v>1033</v>
      </c>
      <c r="L519" s="2" t="s">
        <v>1018</v>
      </c>
      <c r="M519" s="2" t="s">
        <v>1019</v>
      </c>
      <c r="N519" s="2">
        <v>5</v>
      </c>
    </row>
    <row r="520" spans="1:14" x14ac:dyDescent="0.3">
      <c r="A520" t="s">
        <v>68</v>
      </c>
      <c r="B520" s="2">
        <v>19</v>
      </c>
      <c r="C520" s="2" t="s">
        <v>1014</v>
      </c>
      <c r="D520" s="2" t="s">
        <v>1025</v>
      </c>
      <c r="E520" s="2" t="s">
        <v>1026</v>
      </c>
      <c r="F520" s="3">
        <v>45759</v>
      </c>
      <c r="G520" s="3">
        <v>45763</v>
      </c>
      <c r="H520" s="2">
        <v>4</v>
      </c>
      <c r="I520" s="2">
        <v>45000</v>
      </c>
      <c r="J520" s="2" t="s">
        <v>1027</v>
      </c>
      <c r="K520" s="2" t="s">
        <v>1046</v>
      </c>
      <c r="L520" s="2" t="s">
        <v>1018</v>
      </c>
      <c r="M520" s="2" t="s">
        <v>1019</v>
      </c>
      <c r="N520" s="2">
        <v>4</v>
      </c>
    </row>
    <row r="521" spans="1:14" x14ac:dyDescent="0.3">
      <c r="A521" t="s">
        <v>70</v>
      </c>
      <c r="B521" s="2">
        <v>25</v>
      </c>
      <c r="C521" s="2" t="s">
        <v>1020</v>
      </c>
      <c r="D521" s="2" t="s">
        <v>1048</v>
      </c>
      <c r="E521" s="2" t="s">
        <v>1081</v>
      </c>
      <c r="F521" s="3">
        <v>45761</v>
      </c>
      <c r="G521" s="3">
        <v>45770</v>
      </c>
      <c r="H521" s="2">
        <v>9</v>
      </c>
      <c r="I521" s="2">
        <v>13000</v>
      </c>
      <c r="J521" s="2" t="s">
        <v>1027</v>
      </c>
      <c r="K521" s="2" t="s">
        <v>1028</v>
      </c>
      <c r="L521" s="2" t="s">
        <v>1037</v>
      </c>
      <c r="M521" s="2" t="s">
        <v>1019</v>
      </c>
      <c r="N521" s="2">
        <v>5</v>
      </c>
    </row>
    <row r="522" spans="1:14" x14ac:dyDescent="0.3">
      <c r="A522" t="s">
        <v>72</v>
      </c>
      <c r="B522" s="2">
        <v>22</v>
      </c>
      <c r="C522" s="2" t="s">
        <v>1014</v>
      </c>
      <c r="D522" s="2" t="s">
        <v>1029</v>
      </c>
      <c r="E522" s="2" t="s">
        <v>1083</v>
      </c>
      <c r="F522" s="3">
        <v>45763</v>
      </c>
      <c r="G522" s="3">
        <v>45772</v>
      </c>
      <c r="H522" s="2">
        <v>9</v>
      </c>
      <c r="I522" s="2">
        <v>33000</v>
      </c>
      <c r="J522" s="2" t="s">
        <v>1023</v>
      </c>
      <c r="K522" s="2" t="s">
        <v>1033</v>
      </c>
      <c r="L522" s="2" t="s">
        <v>1037</v>
      </c>
      <c r="M522" s="2" t="s">
        <v>1019</v>
      </c>
      <c r="N522" s="2">
        <v>5</v>
      </c>
    </row>
    <row r="523" spans="1:14" x14ac:dyDescent="0.3">
      <c r="A523" t="s">
        <v>76</v>
      </c>
      <c r="B523" s="2">
        <v>72</v>
      </c>
      <c r="C523" s="2" t="s">
        <v>1020</v>
      </c>
      <c r="D523" s="2" t="s">
        <v>1035</v>
      </c>
      <c r="E523" s="2" t="s">
        <v>1047</v>
      </c>
      <c r="F523" s="3">
        <v>45767</v>
      </c>
      <c r="G523" s="3">
        <v>45772</v>
      </c>
      <c r="H523" s="2">
        <v>5</v>
      </c>
      <c r="I523" s="2">
        <v>134500</v>
      </c>
      <c r="J523" s="2" t="s">
        <v>1027</v>
      </c>
      <c r="K523" s="2" t="s">
        <v>1106</v>
      </c>
      <c r="L523" s="2" t="s">
        <v>1037</v>
      </c>
      <c r="M523" s="2" t="s">
        <v>1019</v>
      </c>
      <c r="N523" s="2">
        <v>5</v>
      </c>
    </row>
    <row r="524" spans="1:14" x14ac:dyDescent="0.3">
      <c r="A524" t="s">
        <v>77</v>
      </c>
      <c r="B524" s="2">
        <v>77</v>
      </c>
      <c r="C524" s="2" t="s">
        <v>1020</v>
      </c>
      <c r="D524" s="2" t="s">
        <v>1025</v>
      </c>
      <c r="E524" s="2" t="s">
        <v>1045</v>
      </c>
      <c r="F524" s="3">
        <v>45768</v>
      </c>
      <c r="G524" s="3">
        <v>45777</v>
      </c>
      <c r="H524" s="2">
        <v>9</v>
      </c>
      <c r="I524" s="2">
        <v>134560</v>
      </c>
      <c r="J524" s="2" t="s">
        <v>1023</v>
      </c>
      <c r="K524" s="2" t="s">
        <v>1046</v>
      </c>
      <c r="L524" s="2" t="s">
        <v>1018</v>
      </c>
      <c r="M524" s="2" t="s">
        <v>1019</v>
      </c>
      <c r="N524" s="2">
        <v>4</v>
      </c>
    </row>
    <row r="525" spans="1:14" x14ac:dyDescent="0.3">
      <c r="A525" t="s">
        <v>78</v>
      </c>
      <c r="B525" s="2">
        <v>33</v>
      </c>
      <c r="C525" s="2" t="s">
        <v>1014</v>
      </c>
      <c r="D525" s="2" t="s">
        <v>1031</v>
      </c>
      <c r="E525" s="2" t="s">
        <v>1053</v>
      </c>
      <c r="F525" s="3">
        <v>45769</v>
      </c>
      <c r="G525" s="3">
        <v>45777</v>
      </c>
      <c r="H525" s="2">
        <v>8</v>
      </c>
      <c r="I525" s="2">
        <v>12800</v>
      </c>
      <c r="J525" s="2" t="s">
        <v>1027</v>
      </c>
      <c r="K525" s="2" t="s">
        <v>1161</v>
      </c>
      <c r="L525" s="2" t="s">
        <v>1018</v>
      </c>
      <c r="M525" s="2" t="s">
        <v>1019</v>
      </c>
      <c r="N525" s="2">
        <v>4</v>
      </c>
    </row>
    <row r="526" spans="1:14" x14ac:dyDescent="0.3">
      <c r="A526" t="s">
        <v>79</v>
      </c>
      <c r="B526" s="2">
        <v>24</v>
      </c>
      <c r="C526" s="2" t="s">
        <v>1014</v>
      </c>
      <c r="D526" s="2" t="s">
        <v>1029</v>
      </c>
      <c r="E526" s="2" t="s">
        <v>1050</v>
      </c>
      <c r="F526" s="3">
        <v>45770</v>
      </c>
      <c r="G526" s="3">
        <v>45776</v>
      </c>
      <c r="H526" s="2">
        <v>6</v>
      </c>
      <c r="I526" s="2">
        <v>15000</v>
      </c>
      <c r="J526" s="2" t="s">
        <v>1023</v>
      </c>
      <c r="K526" s="2" t="s">
        <v>1033</v>
      </c>
      <c r="L526" s="2" t="s">
        <v>1037</v>
      </c>
      <c r="M526" s="2" t="s">
        <v>1019</v>
      </c>
      <c r="N526" s="2">
        <v>4</v>
      </c>
    </row>
    <row r="527" spans="1:14" x14ac:dyDescent="0.3">
      <c r="A527" t="s">
        <v>85</v>
      </c>
      <c r="B527" s="2">
        <v>24</v>
      </c>
      <c r="C527" s="2" t="s">
        <v>1014</v>
      </c>
      <c r="D527" s="2" t="s">
        <v>1029</v>
      </c>
      <c r="E527" s="2" t="s">
        <v>1089</v>
      </c>
      <c r="F527" s="3">
        <v>45776</v>
      </c>
      <c r="G527" s="3">
        <v>45784</v>
      </c>
      <c r="H527" s="2">
        <v>8</v>
      </c>
      <c r="I527" s="2">
        <v>120000</v>
      </c>
      <c r="J527" s="2" t="s">
        <v>1017</v>
      </c>
      <c r="K527" s="2" t="s">
        <v>1033</v>
      </c>
      <c r="L527" s="2" t="s">
        <v>1037</v>
      </c>
      <c r="M527" s="2" t="s">
        <v>1019</v>
      </c>
      <c r="N527" s="2">
        <v>4.8</v>
      </c>
    </row>
    <row r="528" spans="1:14" x14ac:dyDescent="0.3">
      <c r="A528" t="s">
        <v>96</v>
      </c>
      <c r="B528" s="2">
        <v>48</v>
      </c>
      <c r="C528" s="2" t="s">
        <v>1014</v>
      </c>
      <c r="D528" s="2" t="s">
        <v>1031</v>
      </c>
      <c r="E528" s="2" t="s">
        <v>1054</v>
      </c>
      <c r="F528" s="3">
        <v>45787</v>
      </c>
      <c r="G528" s="3">
        <v>45798</v>
      </c>
      <c r="H528" s="2">
        <v>11</v>
      </c>
      <c r="I528" s="2">
        <v>78000</v>
      </c>
      <c r="J528" s="2" t="s">
        <v>1017</v>
      </c>
      <c r="K528" s="2" t="s">
        <v>1161</v>
      </c>
      <c r="L528" s="2" t="s">
        <v>1037</v>
      </c>
      <c r="M528" s="2" t="s">
        <v>1019</v>
      </c>
      <c r="N528" s="2">
        <v>4.4000000000000004</v>
      </c>
    </row>
    <row r="529" spans="1:14" x14ac:dyDescent="0.3">
      <c r="A529" t="s">
        <v>462</v>
      </c>
      <c r="B529">
        <v>30</v>
      </c>
      <c r="C529" s="2" t="s">
        <v>1020</v>
      </c>
      <c r="D529" s="2" t="s">
        <v>1031</v>
      </c>
      <c r="E529" s="2" t="s">
        <v>1144</v>
      </c>
      <c r="F529" s="1">
        <v>45787</v>
      </c>
      <c r="G529" s="1">
        <v>46162</v>
      </c>
      <c r="H529" s="2">
        <v>10</v>
      </c>
      <c r="I529" s="2">
        <v>156789</v>
      </c>
      <c r="J529" s="2" t="s">
        <v>1027</v>
      </c>
      <c r="K529" s="2" t="s">
        <v>1161</v>
      </c>
      <c r="L529" t="s">
        <v>1037</v>
      </c>
      <c r="M529" s="2" t="s">
        <v>1019</v>
      </c>
      <c r="N529">
        <v>3.5</v>
      </c>
    </row>
    <row r="530" spans="1:14" x14ac:dyDescent="0.3">
      <c r="A530" t="s">
        <v>97</v>
      </c>
      <c r="B530" s="2">
        <v>9</v>
      </c>
      <c r="C530" s="2" t="s">
        <v>1020</v>
      </c>
      <c r="D530" s="2" t="s">
        <v>1039</v>
      </c>
      <c r="E530" s="2" t="s">
        <v>1094</v>
      </c>
      <c r="F530" s="3">
        <v>45788</v>
      </c>
      <c r="G530" s="3">
        <v>45792</v>
      </c>
      <c r="H530" s="2">
        <v>4</v>
      </c>
      <c r="I530" s="2">
        <v>90000</v>
      </c>
      <c r="J530" s="2" t="s">
        <v>1023</v>
      </c>
      <c r="K530" s="2" t="s">
        <v>1059</v>
      </c>
      <c r="L530" s="2" t="s">
        <v>1018</v>
      </c>
      <c r="M530" s="2" t="s">
        <v>1019</v>
      </c>
      <c r="N530" s="2">
        <v>5</v>
      </c>
    </row>
    <row r="531" spans="1:14" x14ac:dyDescent="0.3">
      <c r="A531" t="s">
        <v>98</v>
      </c>
      <c r="B531" s="2">
        <v>24</v>
      </c>
      <c r="C531" s="2" t="s">
        <v>1020</v>
      </c>
      <c r="D531" s="2" t="s">
        <v>1031</v>
      </c>
      <c r="E531" s="2" t="s">
        <v>1034</v>
      </c>
      <c r="F531" s="3">
        <v>45789</v>
      </c>
      <c r="G531" s="3">
        <v>45799</v>
      </c>
      <c r="H531" s="2">
        <v>10</v>
      </c>
      <c r="I531" s="2">
        <v>89000</v>
      </c>
      <c r="J531" s="2" t="s">
        <v>1027</v>
      </c>
      <c r="K531" s="2" t="s">
        <v>1161</v>
      </c>
      <c r="L531" s="2" t="s">
        <v>1018</v>
      </c>
      <c r="M531" s="2" t="s">
        <v>1019</v>
      </c>
      <c r="N531" s="2">
        <v>3</v>
      </c>
    </row>
    <row r="532" spans="1:14" x14ac:dyDescent="0.3">
      <c r="A532" t="s">
        <v>104</v>
      </c>
      <c r="B532" s="2">
        <v>5</v>
      </c>
      <c r="C532" s="2" t="s">
        <v>1014</v>
      </c>
      <c r="D532" s="2" t="s">
        <v>1029</v>
      </c>
      <c r="E532" s="2" t="s">
        <v>1098</v>
      </c>
      <c r="F532" s="3">
        <v>45795</v>
      </c>
      <c r="G532" s="3">
        <v>45804</v>
      </c>
      <c r="H532" s="2">
        <v>9</v>
      </c>
      <c r="I532" s="2">
        <v>134000</v>
      </c>
      <c r="J532" s="2" t="s">
        <v>1017</v>
      </c>
      <c r="K532" s="2" t="s">
        <v>1033</v>
      </c>
      <c r="L532" s="2" t="s">
        <v>1037</v>
      </c>
      <c r="M532" s="2" t="s">
        <v>1019</v>
      </c>
      <c r="N532" s="2">
        <v>4</v>
      </c>
    </row>
    <row r="533" spans="1:14" x14ac:dyDescent="0.3">
      <c r="A533" t="s">
        <v>109</v>
      </c>
      <c r="B533" s="2">
        <v>33</v>
      </c>
      <c r="C533" s="2" t="s">
        <v>1020</v>
      </c>
      <c r="D533" s="2" t="s">
        <v>1025</v>
      </c>
      <c r="E533" s="2" t="s">
        <v>1091</v>
      </c>
      <c r="F533" s="3">
        <v>45800</v>
      </c>
      <c r="G533" s="3">
        <v>45808</v>
      </c>
      <c r="H533" s="2">
        <v>8</v>
      </c>
      <c r="I533" s="2">
        <v>120000</v>
      </c>
      <c r="J533" s="2" t="s">
        <v>1017</v>
      </c>
      <c r="K533" s="2" t="s">
        <v>1046</v>
      </c>
      <c r="L533" s="2" t="s">
        <v>1037</v>
      </c>
      <c r="M533" s="2" t="s">
        <v>1019</v>
      </c>
      <c r="N533" s="2">
        <v>4</v>
      </c>
    </row>
    <row r="534" spans="1:14" x14ac:dyDescent="0.3">
      <c r="A534" t="s">
        <v>111</v>
      </c>
      <c r="B534" s="2">
        <v>24</v>
      </c>
      <c r="C534" s="2" t="s">
        <v>1020</v>
      </c>
      <c r="D534" s="2" t="s">
        <v>1029</v>
      </c>
      <c r="E534" s="2" t="s">
        <v>1101</v>
      </c>
      <c r="F534" s="3">
        <v>45802</v>
      </c>
      <c r="G534" s="3">
        <v>45809</v>
      </c>
      <c r="H534" s="2">
        <v>7</v>
      </c>
      <c r="I534" s="2">
        <v>145000</v>
      </c>
      <c r="J534" s="2" t="s">
        <v>1023</v>
      </c>
      <c r="K534" s="2" t="s">
        <v>1033</v>
      </c>
      <c r="L534" s="2" t="s">
        <v>1037</v>
      </c>
      <c r="M534" s="2" t="s">
        <v>1019</v>
      </c>
      <c r="N534" s="2">
        <v>5</v>
      </c>
    </row>
    <row r="535" spans="1:14" x14ac:dyDescent="0.3">
      <c r="A535" t="s">
        <v>114</v>
      </c>
      <c r="B535" s="2">
        <v>29</v>
      </c>
      <c r="C535" s="2" t="s">
        <v>1014</v>
      </c>
      <c r="D535" s="2" t="s">
        <v>1039</v>
      </c>
      <c r="E535" s="2" t="s">
        <v>1102</v>
      </c>
      <c r="F535" s="3">
        <v>45805</v>
      </c>
      <c r="G535" s="3">
        <v>45808</v>
      </c>
      <c r="H535" s="2">
        <v>3</v>
      </c>
      <c r="I535" s="2">
        <v>12000</v>
      </c>
      <c r="J535" s="2" t="s">
        <v>1027</v>
      </c>
      <c r="K535" s="2" t="s">
        <v>1059</v>
      </c>
      <c r="L535" s="2" t="s">
        <v>1018</v>
      </c>
      <c r="M535" s="2" t="s">
        <v>1019</v>
      </c>
      <c r="N535" s="2">
        <v>4</v>
      </c>
    </row>
    <row r="536" spans="1:14" x14ac:dyDescent="0.3">
      <c r="A536" t="s">
        <v>118</v>
      </c>
      <c r="B536">
        <v>7</v>
      </c>
      <c r="C536" s="2" t="s">
        <v>1014</v>
      </c>
      <c r="D536" s="2" t="s">
        <v>1029</v>
      </c>
      <c r="E536" s="2" t="s">
        <v>1105</v>
      </c>
      <c r="F536" s="1">
        <v>45809</v>
      </c>
      <c r="G536" s="1">
        <v>45815</v>
      </c>
      <c r="H536" s="2">
        <v>7</v>
      </c>
      <c r="I536" s="2">
        <v>120000</v>
      </c>
      <c r="J536" s="2" t="s">
        <v>1023</v>
      </c>
      <c r="K536" s="2" t="s">
        <v>1033</v>
      </c>
      <c r="L536" t="s">
        <v>1018</v>
      </c>
      <c r="M536" s="2" t="s">
        <v>1019</v>
      </c>
      <c r="N536" s="2">
        <v>4</v>
      </c>
    </row>
    <row r="537" spans="1:14" x14ac:dyDescent="0.3">
      <c r="A537" t="s">
        <v>128</v>
      </c>
      <c r="B537">
        <v>24</v>
      </c>
      <c r="C537" s="2" t="s">
        <v>1020</v>
      </c>
      <c r="D537" s="2" t="s">
        <v>1035</v>
      </c>
      <c r="E537" s="2" t="s">
        <v>1047</v>
      </c>
      <c r="F537" s="1">
        <v>45819</v>
      </c>
      <c r="G537" s="1">
        <v>45823</v>
      </c>
      <c r="H537" s="2">
        <v>4</v>
      </c>
      <c r="I537" s="2">
        <v>120000</v>
      </c>
      <c r="J537" s="2" t="s">
        <v>1017</v>
      </c>
      <c r="K537" s="2" t="s">
        <v>1106</v>
      </c>
      <c r="L537" t="s">
        <v>1018</v>
      </c>
      <c r="M537" s="2" t="s">
        <v>1019</v>
      </c>
      <c r="N537" s="2">
        <v>4</v>
      </c>
    </row>
    <row r="538" spans="1:14" x14ac:dyDescent="0.3">
      <c r="A538" t="s">
        <v>132</v>
      </c>
      <c r="B538">
        <v>24</v>
      </c>
      <c r="C538" s="2" t="s">
        <v>1020</v>
      </c>
      <c r="D538" s="2" t="s">
        <v>1035</v>
      </c>
      <c r="E538" s="2" t="s">
        <v>1112</v>
      </c>
      <c r="F538" s="1">
        <v>45823</v>
      </c>
      <c r="G538" s="1">
        <v>45833</v>
      </c>
      <c r="H538" s="2">
        <v>10</v>
      </c>
      <c r="I538" s="2">
        <v>150000</v>
      </c>
      <c r="J538" s="2" t="s">
        <v>1023</v>
      </c>
      <c r="K538" s="2" t="s">
        <v>1106</v>
      </c>
      <c r="L538" t="s">
        <v>1037</v>
      </c>
      <c r="M538" s="2" t="s">
        <v>1019</v>
      </c>
      <c r="N538" s="2">
        <v>3</v>
      </c>
    </row>
    <row r="539" spans="1:14" x14ac:dyDescent="0.3">
      <c r="A539" t="s">
        <v>134</v>
      </c>
      <c r="B539">
        <v>78</v>
      </c>
      <c r="C539" s="2" t="s">
        <v>1014</v>
      </c>
      <c r="D539" s="2" t="s">
        <v>1021</v>
      </c>
      <c r="E539" s="2" t="s">
        <v>1080</v>
      </c>
      <c r="F539" s="1">
        <v>45825</v>
      </c>
      <c r="G539" s="1">
        <v>45837</v>
      </c>
      <c r="H539" s="2">
        <v>12</v>
      </c>
      <c r="I539" s="2">
        <v>156000</v>
      </c>
      <c r="J539" s="2" t="s">
        <v>1023</v>
      </c>
      <c r="K539" s="2" t="s">
        <v>1147</v>
      </c>
      <c r="L539" t="s">
        <v>1037</v>
      </c>
      <c r="M539" s="2" t="s">
        <v>1019</v>
      </c>
      <c r="N539" s="2">
        <v>4</v>
      </c>
    </row>
    <row r="540" spans="1:14" x14ac:dyDescent="0.3">
      <c r="A540" t="s">
        <v>136</v>
      </c>
      <c r="B540">
        <v>69</v>
      </c>
      <c r="C540" s="2" t="s">
        <v>1020</v>
      </c>
      <c r="D540" s="2" t="s">
        <v>1021</v>
      </c>
      <c r="E540" s="2" t="s">
        <v>1113</v>
      </c>
      <c r="F540" s="1">
        <v>45827</v>
      </c>
      <c r="G540" s="1">
        <v>45833</v>
      </c>
      <c r="H540" s="2">
        <v>6</v>
      </c>
      <c r="I540" s="2">
        <v>150000</v>
      </c>
      <c r="J540" s="2" t="s">
        <v>1017</v>
      </c>
      <c r="K540" s="2" t="s">
        <v>1147</v>
      </c>
      <c r="L540" t="s">
        <v>1037</v>
      </c>
      <c r="M540" s="2" t="s">
        <v>1019</v>
      </c>
      <c r="N540" s="2">
        <v>4</v>
      </c>
    </row>
    <row r="541" spans="1:14" x14ac:dyDescent="0.3">
      <c r="A541" t="s">
        <v>138</v>
      </c>
      <c r="B541">
        <v>24</v>
      </c>
      <c r="C541" s="2" t="s">
        <v>1014</v>
      </c>
      <c r="D541" s="2" t="s">
        <v>1035</v>
      </c>
      <c r="E541" s="2" t="s">
        <v>1115</v>
      </c>
      <c r="F541" s="1">
        <v>45829</v>
      </c>
      <c r="G541" s="1">
        <v>45838</v>
      </c>
      <c r="H541" s="2">
        <v>9</v>
      </c>
      <c r="I541" s="2">
        <v>120000</v>
      </c>
      <c r="J541" s="2" t="s">
        <v>1017</v>
      </c>
      <c r="K541" s="2" t="s">
        <v>1106</v>
      </c>
      <c r="L541" t="s">
        <v>1018</v>
      </c>
      <c r="M541" s="2" t="s">
        <v>1019</v>
      </c>
      <c r="N541" s="2">
        <v>3</v>
      </c>
    </row>
    <row r="542" spans="1:14" x14ac:dyDescent="0.3">
      <c r="A542" t="s">
        <v>148</v>
      </c>
      <c r="B542">
        <v>44</v>
      </c>
      <c r="C542" s="2" t="s">
        <v>1014</v>
      </c>
      <c r="D542" s="2" t="s">
        <v>1021</v>
      </c>
      <c r="E542" s="2" t="s">
        <v>1118</v>
      </c>
      <c r="F542" s="1">
        <v>45839</v>
      </c>
      <c r="G542" s="1">
        <v>45845</v>
      </c>
      <c r="H542" s="2">
        <v>6</v>
      </c>
      <c r="I542" s="2">
        <v>55000</v>
      </c>
      <c r="J542" s="2" t="s">
        <v>1027</v>
      </c>
      <c r="K542" s="2" t="s">
        <v>1147</v>
      </c>
      <c r="L542" t="s">
        <v>1018</v>
      </c>
      <c r="M542" s="2" t="s">
        <v>1019</v>
      </c>
      <c r="N542" s="2">
        <v>4</v>
      </c>
    </row>
    <row r="543" spans="1:14" x14ac:dyDescent="0.3">
      <c r="A543" t="s">
        <v>159</v>
      </c>
      <c r="B543">
        <v>79</v>
      </c>
      <c r="C543" s="2" t="s">
        <v>1014</v>
      </c>
      <c r="D543" s="2" t="s">
        <v>1029</v>
      </c>
      <c r="E543" s="2" t="s">
        <v>1114</v>
      </c>
      <c r="F543" s="1">
        <v>45850</v>
      </c>
      <c r="G543" s="1">
        <v>45855</v>
      </c>
      <c r="H543" s="2">
        <v>5</v>
      </c>
      <c r="I543" s="2">
        <v>21000</v>
      </c>
      <c r="J543" s="2" t="s">
        <v>1027</v>
      </c>
      <c r="K543" s="2" t="s">
        <v>1033</v>
      </c>
      <c r="L543" t="s">
        <v>1018</v>
      </c>
      <c r="M543" s="2" t="s">
        <v>1019</v>
      </c>
      <c r="N543" s="2">
        <v>3</v>
      </c>
    </row>
    <row r="544" spans="1:14" x14ac:dyDescent="0.3">
      <c r="A544" t="s">
        <v>161</v>
      </c>
      <c r="B544">
        <v>30</v>
      </c>
      <c r="C544" s="2" t="s">
        <v>1020</v>
      </c>
      <c r="D544" s="2" t="s">
        <v>1048</v>
      </c>
      <c r="E544" s="2" t="s">
        <v>1058</v>
      </c>
      <c r="F544" s="1">
        <v>45852</v>
      </c>
      <c r="G544" s="1">
        <v>45858</v>
      </c>
      <c r="H544" s="2">
        <v>6</v>
      </c>
      <c r="I544" s="2">
        <v>21000</v>
      </c>
      <c r="J544" s="2" t="s">
        <v>1027</v>
      </c>
      <c r="K544" s="2" t="s">
        <v>1028</v>
      </c>
      <c r="L544" t="s">
        <v>1018</v>
      </c>
      <c r="M544" s="2" t="s">
        <v>1019</v>
      </c>
      <c r="N544" s="2">
        <v>4</v>
      </c>
    </row>
    <row r="545" spans="1:14" x14ac:dyDescent="0.3">
      <c r="A545" t="s">
        <v>162</v>
      </c>
      <c r="B545">
        <v>29</v>
      </c>
      <c r="C545" s="2" t="s">
        <v>1020</v>
      </c>
      <c r="D545" s="2" t="s">
        <v>1041</v>
      </c>
      <c r="E545" s="2" t="s">
        <v>1104</v>
      </c>
      <c r="F545" s="1">
        <v>45853</v>
      </c>
      <c r="G545" s="1">
        <v>45862</v>
      </c>
      <c r="H545" s="2">
        <v>9</v>
      </c>
      <c r="I545" s="2">
        <v>34000</v>
      </c>
      <c r="J545" s="2" t="s">
        <v>1023</v>
      </c>
      <c r="K545" s="2" t="s">
        <v>1128</v>
      </c>
      <c r="L545" t="s">
        <v>1037</v>
      </c>
      <c r="M545" s="2" t="s">
        <v>1019</v>
      </c>
      <c r="N545" s="2">
        <v>3</v>
      </c>
    </row>
    <row r="546" spans="1:14" x14ac:dyDescent="0.3">
      <c r="A546" t="s">
        <v>163</v>
      </c>
      <c r="B546">
        <v>79</v>
      </c>
      <c r="C546" s="2" t="s">
        <v>1014</v>
      </c>
      <c r="D546" s="2" t="s">
        <v>1021</v>
      </c>
      <c r="E546" s="2" t="s">
        <v>1126</v>
      </c>
      <c r="F546" s="1">
        <v>45854</v>
      </c>
      <c r="G546" s="1">
        <v>45863</v>
      </c>
      <c r="H546" s="2">
        <v>9</v>
      </c>
      <c r="I546" s="2">
        <v>240000</v>
      </c>
      <c r="J546" s="2" t="s">
        <v>1027</v>
      </c>
      <c r="K546" s="2" t="s">
        <v>1147</v>
      </c>
      <c r="L546" t="s">
        <v>1018</v>
      </c>
      <c r="M546" s="2" t="s">
        <v>1019</v>
      </c>
      <c r="N546" s="2">
        <v>4</v>
      </c>
    </row>
    <row r="547" spans="1:14" x14ac:dyDescent="0.3">
      <c r="A547" t="s">
        <v>171</v>
      </c>
      <c r="B547">
        <v>10</v>
      </c>
      <c r="C547" s="2" t="s">
        <v>1014</v>
      </c>
      <c r="D547" s="2" t="s">
        <v>1015</v>
      </c>
      <c r="E547" s="2" t="s">
        <v>1117</v>
      </c>
      <c r="F547" s="1">
        <v>45862</v>
      </c>
      <c r="G547" s="1">
        <v>45866</v>
      </c>
      <c r="H547" s="2">
        <v>5</v>
      </c>
      <c r="I547" s="2">
        <v>33000</v>
      </c>
      <c r="J547" s="2" t="s">
        <v>1023</v>
      </c>
      <c r="K547" s="2" t="s">
        <v>1052</v>
      </c>
      <c r="L547" t="s">
        <v>1037</v>
      </c>
      <c r="M547" s="2" t="s">
        <v>1019</v>
      </c>
      <c r="N547" s="2">
        <v>4</v>
      </c>
    </row>
    <row r="548" spans="1:14" x14ac:dyDescent="0.3">
      <c r="A548" t="s">
        <v>173</v>
      </c>
      <c r="B548">
        <v>89</v>
      </c>
      <c r="C548" s="2" t="s">
        <v>1020</v>
      </c>
      <c r="D548" s="2" t="s">
        <v>1021</v>
      </c>
      <c r="E548" s="2" t="s">
        <v>1118</v>
      </c>
      <c r="F548" s="1">
        <v>45864</v>
      </c>
      <c r="G548" s="1">
        <v>45870</v>
      </c>
      <c r="H548" s="2">
        <v>7</v>
      </c>
      <c r="I548" s="2">
        <v>540000</v>
      </c>
      <c r="J548" s="2" t="s">
        <v>1023</v>
      </c>
      <c r="K548" s="2" t="s">
        <v>1147</v>
      </c>
      <c r="L548" t="s">
        <v>1018</v>
      </c>
      <c r="M548" s="2" t="s">
        <v>1019</v>
      </c>
      <c r="N548" s="2">
        <v>4</v>
      </c>
    </row>
    <row r="549" spans="1:14" x14ac:dyDescent="0.3">
      <c r="A549" t="s">
        <v>178</v>
      </c>
      <c r="B549">
        <v>19</v>
      </c>
      <c r="C549" s="2" t="s">
        <v>1020</v>
      </c>
      <c r="D549" s="2" t="s">
        <v>1039</v>
      </c>
      <c r="E549" s="2" t="s">
        <v>1082</v>
      </c>
      <c r="F549" s="1">
        <v>45869</v>
      </c>
      <c r="G549" s="1">
        <v>45870</v>
      </c>
      <c r="H549" s="2">
        <v>1</v>
      </c>
      <c r="I549" s="2">
        <v>12000</v>
      </c>
      <c r="J549" s="2" t="s">
        <v>1027</v>
      </c>
      <c r="K549" s="2" t="s">
        <v>1059</v>
      </c>
      <c r="L549" t="s">
        <v>1018</v>
      </c>
      <c r="M549" s="2" t="s">
        <v>1019</v>
      </c>
      <c r="N549" s="2">
        <v>3</v>
      </c>
    </row>
    <row r="550" spans="1:14" x14ac:dyDescent="0.3">
      <c r="A550" t="s">
        <v>179</v>
      </c>
      <c r="B550">
        <v>24</v>
      </c>
      <c r="C550" s="2" t="s">
        <v>1020</v>
      </c>
      <c r="D550" s="2" t="s">
        <v>1025</v>
      </c>
      <c r="E550" s="2" t="s">
        <v>1055</v>
      </c>
      <c r="F550" s="1">
        <v>45870</v>
      </c>
      <c r="G550" s="1">
        <v>45874</v>
      </c>
      <c r="H550" s="2">
        <v>5</v>
      </c>
      <c r="I550" s="2">
        <v>130000</v>
      </c>
      <c r="J550" s="2" t="s">
        <v>1023</v>
      </c>
      <c r="K550" s="2" t="s">
        <v>1046</v>
      </c>
      <c r="L550" t="s">
        <v>1037</v>
      </c>
      <c r="M550" s="2" t="s">
        <v>1019</v>
      </c>
      <c r="N550" s="2">
        <v>4</v>
      </c>
    </row>
    <row r="551" spans="1:14" x14ac:dyDescent="0.3">
      <c r="A551" t="s">
        <v>183</v>
      </c>
      <c r="B551">
        <v>18</v>
      </c>
      <c r="C551" s="2" t="s">
        <v>1014</v>
      </c>
      <c r="D551" s="2" t="s">
        <v>1035</v>
      </c>
      <c r="E551" s="2" t="s">
        <v>1085</v>
      </c>
      <c r="F551" s="1">
        <v>45874</v>
      </c>
      <c r="G551" s="1">
        <v>45881</v>
      </c>
      <c r="H551" s="2">
        <v>7</v>
      </c>
      <c r="I551" s="2">
        <v>134000</v>
      </c>
      <c r="J551" s="2" t="s">
        <v>1027</v>
      </c>
      <c r="K551" s="2" t="s">
        <v>1106</v>
      </c>
      <c r="L551" t="s">
        <v>1018</v>
      </c>
      <c r="M551" s="2" t="s">
        <v>1019</v>
      </c>
      <c r="N551" s="2">
        <v>4</v>
      </c>
    </row>
    <row r="552" spans="1:14" x14ac:dyDescent="0.3">
      <c r="A552" t="s">
        <v>188</v>
      </c>
      <c r="B552">
        <v>53</v>
      </c>
      <c r="C552" s="2" t="s">
        <v>1014</v>
      </c>
      <c r="D552" s="2" t="s">
        <v>1015</v>
      </c>
      <c r="E552" s="2" t="s">
        <v>1016</v>
      </c>
      <c r="F552" s="1">
        <v>45879</v>
      </c>
      <c r="G552" s="1">
        <v>45899</v>
      </c>
      <c r="H552" s="2">
        <v>20</v>
      </c>
      <c r="I552" s="2">
        <v>150000</v>
      </c>
      <c r="J552" s="2" t="s">
        <v>1017</v>
      </c>
      <c r="K552" s="2" t="s">
        <v>1052</v>
      </c>
      <c r="L552" t="s">
        <v>1018</v>
      </c>
      <c r="M552" s="2" t="s">
        <v>1019</v>
      </c>
      <c r="N552" s="2">
        <v>3</v>
      </c>
    </row>
    <row r="553" spans="1:14" x14ac:dyDescent="0.3">
      <c r="A553" t="s">
        <v>191</v>
      </c>
      <c r="B553">
        <v>33</v>
      </c>
      <c r="C553" s="2" t="s">
        <v>1014</v>
      </c>
      <c r="D553" s="2" t="s">
        <v>1029</v>
      </c>
      <c r="E553" s="2" t="s">
        <v>1130</v>
      </c>
      <c r="F553" s="1">
        <v>45882</v>
      </c>
      <c r="G553" s="1">
        <v>45893</v>
      </c>
      <c r="H553" s="2">
        <v>11</v>
      </c>
      <c r="I553" s="2">
        <v>145000</v>
      </c>
      <c r="J553" s="2" t="s">
        <v>1027</v>
      </c>
      <c r="K553" s="2" t="s">
        <v>1033</v>
      </c>
      <c r="L553" t="s">
        <v>1018</v>
      </c>
      <c r="M553" s="2" t="s">
        <v>1019</v>
      </c>
      <c r="N553" s="2">
        <v>3</v>
      </c>
    </row>
    <row r="554" spans="1:14" x14ac:dyDescent="0.3">
      <c r="A554" t="s">
        <v>193</v>
      </c>
      <c r="B554">
        <v>24</v>
      </c>
      <c r="C554" s="2" t="s">
        <v>1014</v>
      </c>
      <c r="D554" s="2" t="s">
        <v>1035</v>
      </c>
      <c r="E554" s="2" t="s">
        <v>1115</v>
      </c>
      <c r="F554" s="1">
        <v>45884</v>
      </c>
      <c r="G554" s="1">
        <v>45893</v>
      </c>
      <c r="H554" s="2">
        <v>9</v>
      </c>
      <c r="I554" s="2">
        <v>150000</v>
      </c>
      <c r="J554" s="2" t="s">
        <v>1027</v>
      </c>
      <c r="K554" s="2" t="s">
        <v>1106</v>
      </c>
      <c r="L554" t="s">
        <v>1018</v>
      </c>
      <c r="M554" s="2" t="s">
        <v>1019</v>
      </c>
      <c r="N554" s="2">
        <v>5</v>
      </c>
    </row>
    <row r="555" spans="1:14" x14ac:dyDescent="0.3">
      <c r="A555" t="s">
        <v>197</v>
      </c>
      <c r="B555">
        <v>19</v>
      </c>
      <c r="C555" s="2" t="s">
        <v>1014</v>
      </c>
      <c r="D555" s="2" t="s">
        <v>1015</v>
      </c>
      <c r="E555" s="2" t="s">
        <v>1131</v>
      </c>
      <c r="F555" s="1">
        <v>45888</v>
      </c>
      <c r="G555" s="1">
        <v>45898</v>
      </c>
      <c r="H555" s="2">
        <v>10</v>
      </c>
      <c r="I555" s="2">
        <v>120000</v>
      </c>
      <c r="J555" s="2" t="s">
        <v>1023</v>
      </c>
      <c r="K555" s="2" t="s">
        <v>1052</v>
      </c>
      <c r="L555" t="s">
        <v>1018</v>
      </c>
      <c r="M555" s="2" t="s">
        <v>1019</v>
      </c>
      <c r="N555" s="2">
        <v>3</v>
      </c>
    </row>
    <row r="556" spans="1:14" x14ac:dyDescent="0.3">
      <c r="A556" t="s">
        <v>201</v>
      </c>
      <c r="B556">
        <v>90</v>
      </c>
      <c r="C556" s="2" t="s">
        <v>1014</v>
      </c>
      <c r="D556" s="2" t="s">
        <v>1025</v>
      </c>
      <c r="E556" s="2" t="s">
        <v>1091</v>
      </c>
      <c r="F556" s="1">
        <v>45892</v>
      </c>
      <c r="G556" s="1">
        <v>45901</v>
      </c>
      <c r="H556" s="2">
        <v>9</v>
      </c>
      <c r="I556" s="2">
        <v>90000</v>
      </c>
      <c r="J556" s="2" t="s">
        <v>1027</v>
      </c>
      <c r="K556" s="2" t="s">
        <v>1046</v>
      </c>
      <c r="L556" t="s">
        <v>1037</v>
      </c>
      <c r="M556" s="2" t="s">
        <v>1019</v>
      </c>
      <c r="N556" s="2">
        <v>4</v>
      </c>
    </row>
    <row r="557" spans="1:14" x14ac:dyDescent="0.3">
      <c r="A557" t="s">
        <v>202</v>
      </c>
      <c r="B557">
        <v>76</v>
      </c>
      <c r="C557" s="2" t="s">
        <v>1020</v>
      </c>
      <c r="D557" s="2" t="s">
        <v>1025</v>
      </c>
      <c r="E557" s="2" t="s">
        <v>1062</v>
      </c>
      <c r="F557" s="1">
        <v>45893</v>
      </c>
      <c r="G557" s="1">
        <v>45903</v>
      </c>
      <c r="H557" s="2">
        <v>10</v>
      </c>
      <c r="I557" s="2">
        <v>65000</v>
      </c>
      <c r="J557" s="2" t="s">
        <v>1023</v>
      </c>
      <c r="K557" s="2" t="s">
        <v>1046</v>
      </c>
      <c r="L557" t="s">
        <v>1018</v>
      </c>
      <c r="M557" s="2" t="s">
        <v>1019</v>
      </c>
      <c r="N557" s="2">
        <v>4</v>
      </c>
    </row>
    <row r="558" spans="1:14" x14ac:dyDescent="0.3">
      <c r="A558" t="s">
        <v>203</v>
      </c>
      <c r="B558">
        <v>22</v>
      </c>
      <c r="C558" s="2" t="s">
        <v>1014</v>
      </c>
      <c r="D558" s="2" t="s">
        <v>1029</v>
      </c>
      <c r="E558" s="2" t="s">
        <v>1057</v>
      </c>
      <c r="F558" s="1">
        <v>45894</v>
      </c>
      <c r="G558" s="1">
        <v>45901</v>
      </c>
      <c r="H558" s="2">
        <v>7</v>
      </c>
      <c r="I558" s="2">
        <v>78900</v>
      </c>
      <c r="J558" s="2" t="s">
        <v>1027</v>
      </c>
      <c r="K558" s="2" t="s">
        <v>1033</v>
      </c>
      <c r="L558" t="s">
        <v>1018</v>
      </c>
      <c r="M558" s="2" t="s">
        <v>1019</v>
      </c>
      <c r="N558" s="2">
        <v>3</v>
      </c>
    </row>
    <row r="559" spans="1:14" x14ac:dyDescent="0.3">
      <c r="A559" t="s">
        <v>205</v>
      </c>
      <c r="B559">
        <v>21</v>
      </c>
      <c r="C559" s="2" t="s">
        <v>1014</v>
      </c>
      <c r="D559" s="2" t="s">
        <v>1031</v>
      </c>
      <c r="E559" s="2" t="s">
        <v>1034</v>
      </c>
      <c r="F559" s="1">
        <v>45896</v>
      </c>
      <c r="G559" s="1">
        <v>45903</v>
      </c>
      <c r="H559" s="2">
        <v>7</v>
      </c>
      <c r="I559" s="2">
        <v>56789</v>
      </c>
      <c r="J559" s="2" t="s">
        <v>1017</v>
      </c>
      <c r="K559" s="2" t="s">
        <v>1161</v>
      </c>
      <c r="L559" t="s">
        <v>1037</v>
      </c>
      <c r="M559" s="2" t="s">
        <v>1019</v>
      </c>
      <c r="N559" s="2">
        <v>3</v>
      </c>
    </row>
    <row r="560" spans="1:14" x14ac:dyDescent="0.3">
      <c r="A560" t="s">
        <v>207</v>
      </c>
      <c r="B560">
        <v>26</v>
      </c>
      <c r="C560" s="2" t="s">
        <v>1020</v>
      </c>
      <c r="D560" s="2" t="s">
        <v>1041</v>
      </c>
      <c r="E560" s="2" t="s">
        <v>1042</v>
      </c>
      <c r="F560" s="1">
        <v>45898</v>
      </c>
      <c r="G560" s="1">
        <v>45904</v>
      </c>
      <c r="H560" s="2">
        <v>7</v>
      </c>
      <c r="I560" s="2">
        <v>12345</v>
      </c>
      <c r="J560" s="2" t="s">
        <v>1027</v>
      </c>
      <c r="K560" s="2" t="s">
        <v>1128</v>
      </c>
      <c r="L560" t="s">
        <v>1037</v>
      </c>
      <c r="M560" s="2" t="s">
        <v>1019</v>
      </c>
      <c r="N560" s="2">
        <v>3</v>
      </c>
    </row>
    <row r="561" spans="1:14" x14ac:dyDescent="0.3">
      <c r="A561" t="s">
        <v>209</v>
      </c>
      <c r="B561">
        <v>21</v>
      </c>
      <c r="C561" s="2" t="s">
        <v>1014</v>
      </c>
      <c r="D561" s="2" t="s">
        <v>1031</v>
      </c>
      <c r="E561" s="2" t="s">
        <v>1053</v>
      </c>
      <c r="F561" s="1">
        <v>45900</v>
      </c>
      <c r="G561" s="1">
        <v>45907</v>
      </c>
      <c r="H561" s="2">
        <v>7</v>
      </c>
      <c r="I561" s="2">
        <v>15600</v>
      </c>
      <c r="J561" s="2" t="s">
        <v>1023</v>
      </c>
      <c r="K561" s="2" t="s">
        <v>1161</v>
      </c>
      <c r="L561" t="s">
        <v>1037</v>
      </c>
      <c r="M561" s="2" t="s">
        <v>1019</v>
      </c>
      <c r="N561" s="2">
        <v>4</v>
      </c>
    </row>
    <row r="562" spans="1:14" x14ac:dyDescent="0.3">
      <c r="A562" t="s">
        <v>212</v>
      </c>
      <c r="B562">
        <v>29</v>
      </c>
      <c r="C562" s="2" t="s">
        <v>1020</v>
      </c>
      <c r="D562" s="2" t="s">
        <v>1048</v>
      </c>
      <c r="E562" s="2" t="s">
        <v>1063</v>
      </c>
      <c r="F562" s="1">
        <v>45903</v>
      </c>
      <c r="G562" s="1">
        <v>45910</v>
      </c>
      <c r="H562" s="2">
        <v>7</v>
      </c>
      <c r="I562" s="2">
        <v>13000</v>
      </c>
      <c r="J562" s="2" t="s">
        <v>1023</v>
      </c>
      <c r="K562" s="2" t="s">
        <v>1028</v>
      </c>
      <c r="L562" t="s">
        <v>1018</v>
      </c>
      <c r="M562" s="2" t="s">
        <v>1019</v>
      </c>
      <c r="N562" s="2">
        <v>3</v>
      </c>
    </row>
    <row r="563" spans="1:14" x14ac:dyDescent="0.3">
      <c r="A563" t="s">
        <v>214</v>
      </c>
      <c r="B563">
        <v>56</v>
      </c>
      <c r="C563" s="2" t="s">
        <v>1014</v>
      </c>
      <c r="D563" s="2" t="s">
        <v>1029</v>
      </c>
      <c r="E563" s="2" t="s">
        <v>1111</v>
      </c>
      <c r="F563" s="1">
        <v>45905</v>
      </c>
      <c r="G563" s="1">
        <v>45915</v>
      </c>
      <c r="H563" s="2">
        <v>10</v>
      </c>
      <c r="I563" s="2">
        <v>190000</v>
      </c>
      <c r="J563" s="2" t="s">
        <v>1023</v>
      </c>
      <c r="K563" s="2" t="s">
        <v>1033</v>
      </c>
      <c r="L563" t="s">
        <v>1037</v>
      </c>
      <c r="M563" s="2" t="s">
        <v>1019</v>
      </c>
      <c r="N563" s="2">
        <v>4</v>
      </c>
    </row>
    <row r="564" spans="1:14" x14ac:dyDescent="0.3">
      <c r="A564" t="s">
        <v>216</v>
      </c>
      <c r="B564">
        <v>24</v>
      </c>
      <c r="C564" s="2" t="s">
        <v>1020</v>
      </c>
      <c r="D564" s="2" t="s">
        <v>1021</v>
      </c>
      <c r="E564" s="2" t="s">
        <v>1060</v>
      </c>
      <c r="F564" s="1">
        <v>45907</v>
      </c>
      <c r="G564" s="1">
        <v>45914</v>
      </c>
      <c r="H564" s="2">
        <v>7</v>
      </c>
      <c r="I564" s="2">
        <v>56000</v>
      </c>
      <c r="J564" s="2" t="s">
        <v>1017</v>
      </c>
      <c r="K564" s="2" t="s">
        <v>1147</v>
      </c>
      <c r="L564" t="s">
        <v>1037</v>
      </c>
      <c r="M564" s="2" t="s">
        <v>1019</v>
      </c>
      <c r="N564" s="2">
        <v>4</v>
      </c>
    </row>
    <row r="565" spans="1:14" x14ac:dyDescent="0.3">
      <c r="A565" t="s">
        <v>217</v>
      </c>
      <c r="B565">
        <v>12</v>
      </c>
      <c r="C565" s="2" t="s">
        <v>1014</v>
      </c>
      <c r="D565" s="2" t="s">
        <v>1039</v>
      </c>
      <c r="E565" s="2" t="s">
        <v>1082</v>
      </c>
      <c r="F565" s="1">
        <v>45908</v>
      </c>
      <c r="G565" s="1">
        <v>45911</v>
      </c>
      <c r="H565" s="2">
        <v>3</v>
      </c>
      <c r="I565" s="2">
        <v>39000</v>
      </c>
      <c r="J565" s="2" t="s">
        <v>1027</v>
      </c>
      <c r="K565" s="2" t="s">
        <v>1059</v>
      </c>
      <c r="L565" t="s">
        <v>1018</v>
      </c>
      <c r="M565" s="2" t="s">
        <v>1019</v>
      </c>
      <c r="N565" s="2">
        <v>3</v>
      </c>
    </row>
    <row r="566" spans="1:14" x14ac:dyDescent="0.3">
      <c r="A566" t="s">
        <v>229</v>
      </c>
      <c r="B566">
        <v>33</v>
      </c>
      <c r="C566" s="2" t="s">
        <v>1014</v>
      </c>
      <c r="D566" s="2" t="s">
        <v>1029</v>
      </c>
      <c r="E566" s="2" t="s">
        <v>1057</v>
      </c>
      <c r="F566" s="1">
        <v>45920</v>
      </c>
      <c r="G566" s="1">
        <v>45925</v>
      </c>
      <c r="H566" s="2">
        <v>5</v>
      </c>
      <c r="I566" s="2">
        <v>78000</v>
      </c>
      <c r="J566" s="2" t="s">
        <v>1023</v>
      </c>
      <c r="K566" s="2" t="s">
        <v>1033</v>
      </c>
      <c r="L566" t="s">
        <v>1037</v>
      </c>
      <c r="M566" s="2" t="s">
        <v>1019</v>
      </c>
      <c r="N566" s="2">
        <v>4</v>
      </c>
    </row>
    <row r="567" spans="1:14" x14ac:dyDescent="0.3">
      <c r="A567" t="s">
        <v>230</v>
      </c>
      <c r="B567">
        <v>89</v>
      </c>
      <c r="C567" s="2" t="s">
        <v>1014</v>
      </c>
      <c r="D567" s="2" t="s">
        <v>1124</v>
      </c>
      <c r="E567" s="2" t="s">
        <v>1135</v>
      </c>
      <c r="F567" s="1">
        <v>45921</v>
      </c>
      <c r="G567" s="1">
        <v>45929</v>
      </c>
      <c r="H567" s="2">
        <v>8</v>
      </c>
      <c r="I567" s="2">
        <v>89000</v>
      </c>
      <c r="J567" s="2" t="s">
        <v>1023</v>
      </c>
      <c r="K567" s="2" t="s">
        <v>1044</v>
      </c>
      <c r="L567" t="s">
        <v>1018</v>
      </c>
      <c r="M567" s="2" t="s">
        <v>1019</v>
      </c>
      <c r="N567" s="2">
        <v>3</v>
      </c>
    </row>
    <row r="568" spans="1:14" x14ac:dyDescent="0.3">
      <c r="A568" t="s">
        <v>247</v>
      </c>
      <c r="B568">
        <v>67</v>
      </c>
      <c r="C568" s="2" t="s">
        <v>1020</v>
      </c>
      <c r="D568" s="2" t="s">
        <v>1025</v>
      </c>
      <c r="E568" s="2" t="s">
        <v>1127</v>
      </c>
      <c r="F568" s="1">
        <v>45938</v>
      </c>
      <c r="G568" s="1">
        <v>45947</v>
      </c>
      <c r="H568" s="2">
        <v>9</v>
      </c>
      <c r="I568" s="2">
        <v>139000</v>
      </c>
      <c r="J568" s="2" t="s">
        <v>1017</v>
      </c>
      <c r="K568" s="2" t="s">
        <v>1046</v>
      </c>
      <c r="L568" t="s">
        <v>1018</v>
      </c>
      <c r="M568" s="2" t="s">
        <v>1019</v>
      </c>
      <c r="N568">
        <v>2</v>
      </c>
    </row>
    <row r="569" spans="1:14" x14ac:dyDescent="0.3">
      <c r="A569" t="s">
        <v>248</v>
      </c>
      <c r="B569">
        <v>19</v>
      </c>
      <c r="C569" s="2" t="s">
        <v>1014</v>
      </c>
      <c r="D569" s="2" t="s">
        <v>1029</v>
      </c>
      <c r="E569" s="2" t="s">
        <v>1030</v>
      </c>
      <c r="F569" s="1">
        <v>45939</v>
      </c>
      <c r="G569" s="1">
        <v>45940</v>
      </c>
      <c r="H569" s="2">
        <v>1</v>
      </c>
      <c r="I569" s="2">
        <v>167000</v>
      </c>
      <c r="J569" s="2" t="s">
        <v>1027</v>
      </c>
      <c r="K569" s="2" t="s">
        <v>1033</v>
      </c>
      <c r="L569" t="s">
        <v>1018</v>
      </c>
      <c r="M569" s="2" t="s">
        <v>1019</v>
      </c>
      <c r="N569">
        <v>3</v>
      </c>
    </row>
    <row r="570" spans="1:14" x14ac:dyDescent="0.3">
      <c r="A570" t="s">
        <v>249</v>
      </c>
      <c r="B570">
        <v>24</v>
      </c>
      <c r="C570" s="2" t="s">
        <v>1014</v>
      </c>
      <c r="D570" s="2" t="s">
        <v>1039</v>
      </c>
      <c r="E570" s="2" t="s">
        <v>1137</v>
      </c>
      <c r="F570" s="1">
        <v>45940</v>
      </c>
      <c r="G570" s="1">
        <v>45951</v>
      </c>
      <c r="H570" s="2">
        <v>11</v>
      </c>
      <c r="I570" s="2">
        <v>176000</v>
      </c>
      <c r="J570" s="2" t="s">
        <v>1023</v>
      </c>
      <c r="K570" s="2" t="s">
        <v>1059</v>
      </c>
      <c r="L570" t="s">
        <v>1018</v>
      </c>
      <c r="M570" s="2" t="s">
        <v>1019</v>
      </c>
      <c r="N570">
        <v>5</v>
      </c>
    </row>
    <row r="571" spans="1:14" x14ac:dyDescent="0.3">
      <c r="A571" t="s">
        <v>250</v>
      </c>
      <c r="B571">
        <v>34</v>
      </c>
      <c r="C571" s="2" t="s">
        <v>1020</v>
      </c>
      <c r="D571" s="2" t="s">
        <v>1025</v>
      </c>
      <c r="E571" s="2" t="s">
        <v>1062</v>
      </c>
      <c r="F571" s="1">
        <v>45941</v>
      </c>
      <c r="G571" s="1">
        <v>45943</v>
      </c>
      <c r="H571" s="2">
        <v>2</v>
      </c>
      <c r="I571" s="2">
        <v>13400</v>
      </c>
      <c r="J571" s="2" t="s">
        <v>1027</v>
      </c>
      <c r="K571" s="2" t="s">
        <v>1046</v>
      </c>
      <c r="L571" t="s">
        <v>1037</v>
      </c>
      <c r="M571" s="2" t="s">
        <v>1019</v>
      </c>
      <c r="N571">
        <v>4</v>
      </c>
    </row>
    <row r="572" spans="1:14" x14ac:dyDescent="0.3">
      <c r="A572" t="s">
        <v>253</v>
      </c>
      <c r="B572">
        <v>24</v>
      </c>
      <c r="C572" s="2" t="s">
        <v>1014</v>
      </c>
      <c r="D572" s="2" t="s">
        <v>1025</v>
      </c>
      <c r="E572" s="2" t="s">
        <v>1129</v>
      </c>
      <c r="F572" s="1">
        <v>45944</v>
      </c>
      <c r="G572" s="1">
        <v>45954</v>
      </c>
      <c r="H572" s="2">
        <v>10</v>
      </c>
      <c r="I572" s="2">
        <v>78000</v>
      </c>
      <c r="J572" s="2" t="s">
        <v>1027</v>
      </c>
      <c r="K572" s="2" t="s">
        <v>1046</v>
      </c>
      <c r="L572" t="s">
        <v>1018</v>
      </c>
      <c r="M572" s="2" t="s">
        <v>1019</v>
      </c>
      <c r="N572">
        <v>5</v>
      </c>
    </row>
    <row r="573" spans="1:14" x14ac:dyDescent="0.3">
      <c r="A573" t="s">
        <v>260</v>
      </c>
      <c r="B573">
        <v>24</v>
      </c>
      <c r="C573" s="2" t="s">
        <v>1014</v>
      </c>
      <c r="D573" s="2" t="s">
        <v>1029</v>
      </c>
      <c r="E573" s="2" t="s">
        <v>1030</v>
      </c>
      <c r="F573" s="1">
        <v>45951</v>
      </c>
      <c r="G573" s="1">
        <v>45955</v>
      </c>
      <c r="H573" s="2">
        <v>4</v>
      </c>
      <c r="I573" s="2">
        <v>134000</v>
      </c>
      <c r="J573" s="2" t="s">
        <v>1027</v>
      </c>
      <c r="K573" s="2" t="s">
        <v>1033</v>
      </c>
      <c r="L573" t="s">
        <v>1018</v>
      </c>
      <c r="M573" s="2" t="s">
        <v>1019</v>
      </c>
      <c r="N573">
        <v>4</v>
      </c>
    </row>
    <row r="574" spans="1:14" x14ac:dyDescent="0.3">
      <c r="A574" t="s">
        <v>266</v>
      </c>
      <c r="B574">
        <v>23</v>
      </c>
      <c r="C574" s="2" t="s">
        <v>1014</v>
      </c>
      <c r="D574" s="2" t="s">
        <v>1031</v>
      </c>
      <c r="E574" s="2" t="s">
        <v>1053</v>
      </c>
      <c r="F574" s="1">
        <v>45957</v>
      </c>
      <c r="G574" s="1">
        <v>45961</v>
      </c>
      <c r="H574" s="2">
        <v>4</v>
      </c>
      <c r="I574" s="2">
        <v>12000</v>
      </c>
      <c r="J574" s="2" t="s">
        <v>1027</v>
      </c>
      <c r="K574" s="2" t="s">
        <v>1161</v>
      </c>
      <c r="L574" t="s">
        <v>1018</v>
      </c>
      <c r="M574" s="2" t="s">
        <v>1019</v>
      </c>
      <c r="N574">
        <v>4</v>
      </c>
    </row>
    <row r="575" spans="1:14" x14ac:dyDescent="0.3">
      <c r="A575" t="s">
        <v>273</v>
      </c>
      <c r="B575">
        <v>56</v>
      </c>
      <c r="C575" s="2" t="s">
        <v>1014</v>
      </c>
      <c r="D575" s="2" t="s">
        <v>1031</v>
      </c>
      <c r="E575" s="2" t="s">
        <v>1054</v>
      </c>
      <c r="F575" s="1">
        <v>45964</v>
      </c>
      <c r="G575" s="1">
        <v>45971</v>
      </c>
      <c r="H575" s="2">
        <v>7</v>
      </c>
      <c r="I575" s="2">
        <v>145000</v>
      </c>
      <c r="J575" s="2" t="s">
        <v>1027</v>
      </c>
      <c r="K575" s="2" t="s">
        <v>1161</v>
      </c>
      <c r="L575" t="s">
        <v>1018</v>
      </c>
      <c r="M575" s="2" t="s">
        <v>1019</v>
      </c>
      <c r="N575">
        <v>3</v>
      </c>
    </row>
    <row r="576" spans="1:14" x14ac:dyDescent="0.3">
      <c r="A576" t="s">
        <v>278</v>
      </c>
      <c r="B576">
        <v>3</v>
      </c>
      <c r="C576" s="2" t="s">
        <v>1020</v>
      </c>
      <c r="D576" s="2" t="s">
        <v>1029</v>
      </c>
      <c r="E576" s="2" t="s">
        <v>1030</v>
      </c>
      <c r="F576" s="1">
        <v>45969</v>
      </c>
      <c r="G576" s="1">
        <v>45976</v>
      </c>
      <c r="H576" s="2">
        <v>7</v>
      </c>
      <c r="I576" s="2">
        <v>134000</v>
      </c>
      <c r="J576" s="2" t="s">
        <v>1027</v>
      </c>
      <c r="K576" s="2" t="s">
        <v>1033</v>
      </c>
      <c r="L576" t="s">
        <v>1018</v>
      </c>
      <c r="M576" s="2" t="s">
        <v>1019</v>
      </c>
      <c r="N576">
        <v>3.8</v>
      </c>
    </row>
    <row r="577" spans="1:14" x14ac:dyDescent="0.3">
      <c r="A577" t="s">
        <v>279</v>
      </c>
      <c r="B577">
        <v>16</v>
      </c>
      <c r="C577" s="2" t="s">
        <v>1020</v>
      </c>
      <c r="D577" s="2" t="s">
        <v>1015</v>
      </c>
      <c r="E577" s="2" t="s">
        <v>1116</v>
      </c>
      <c r="F577" s="1">
        <v>45970</v>
      </c>
      <c r="G577" s="1">
        <v>45980</v>
      </c>
      <c r="H577" s="2">
        <v>10</v>
      </c>
      <c r="I577" s="2">
        <v>156000</v>
      </c>
      <c r="J577" s="2" t="s">
        <v>1027</v>
      </c>
      <c r="K577" s="2" t="s">
        <v>1052</v>
      </c>
      <c r="L577" t="s">
        <v>1018</v>
      </c>
      <c r="M577" s="2" t="s">
        <v>1019</v>
      </c>
      <c r="N577">
        <v>3.9</v>
      </c>
    </row>
    <row r="578" spans="1:14" x14ac:dyDescent="0.3">
      <c r="A578" t="s">
        <v>281</v>
      </c>
      <c r="B578">
        <v>29</v>
      </c>
      <c r="C578" s="2" t="s">
        <v>1014</v>
      </c>
      <c r="D578" s="2" t="s">
        <v>1015</v>
      </c>
      <c r="E578" s="2" t="s">
        <v>1016</v>
      </c>
      <c r="F578" s="1">
        <v>45972</v>
      </c>
      <c r="G578" s="1">
        <v>45980</v>
      </c>
      <c r="H578" s="2">
        <v>8</v>
      </c>
      <c r="I578" s="2">
        <v>120000</v>
      </c>
      <c r="J578" s="2" t="s">
        <v>1017</v>
      </c>
      <c r="K578" s="2" t="s">
        <v>1052</v>
      </c>
      <c r="L578" t="s">
        <v>1018</v>
      </c>
      <c r="M578" s="2" t="s">
        <v>1019</v>
      </c>
      <c r="N578">
        <v>4</v>
      </c>
    </row>
    <row r="579" spans="1:14" x14ac:dyDescent="0.3">
      <c r="A579" t="s">
        <v>282</v>
      </c>
      <c r="B579">
        <v>30</v>
      </c>
      <c r="C579" s="2" t="s">
        <v>1014</v>
      </c>
      <c r="D579" s="2" t="s">
        <v>1025</v>
      </c>
      <c r="E579" s="2" t="s">
        <v>1062</v>
      </c>
      <c r="F579" s="1">
        <v>45973</v>
      </c>
      <c r="G579" s="1">
        <v>45979</v>
      </c>
      <c r="H579" s="2">
        <v>7</v>
      </c>
      <c r="I579" s="2">
        <v>130000</v>
      </c>
      <c r="J579" s="2" t="s">
        <v>1017</v>
      </c>
      <c r="K579" s="2" t="s">
        <v>1170</v>
      </c>
      <c r="L579" t="s">
        <v>1037</v>
      </c>
      <c r="M579" s="2" t="s">
        <v>1019</v>
      </c>
      <c r="N579">
        <v>3</v>
      </c>
    </row>
    <row r="580" spans="1:14" x14ac:dyDescent="0.3">
      <c r="A580" t="s">
        <v>289</v>
      </c>
      <c r="B580">
        <v>22</v>
      </c>
      <c r="C580" s="2" t="s">
        <v>1020</v>
      </c>
      <c r="D580" s="2" t="s">
        <v>1041</v>
      </c>
      <c r="E580" s="2" t="s">
        <v>1042</v>
      </c>
      <c r="F580" s="1">
        <v>45980</v>
      </c>
      <c r="G580" s="1">
        <v>45986</v>
      </c>
      <c r="H580" s="2">
        <v>6</v>
      </c>
      <c r="I580" s="2">
        <v>130000</v>
      </c>
      <c r="J580" s="2" t="s">
        <v>1017</v>
      </c>
      <c r="K580" s="2" t="s">
        <v>1128</v>
      </c>
      <c r="L580" t="s">
        <v>1037</v>
      </c>
      <c r="M580" s="2" t="s">
        <v>1019</v>
      </c>
      <c r="N580">
        <v>3</v>
      </c>
    </row>
    <row r="581" spans="1:14" x14ac:dyDescent="0.3">
      <c r="A581" t="s">
        <v>290</v>
      </c>
      <c r="B581">
        <v>24</v>
      </c>
      <c r="C581" s="2" t="s">
        <v>1020</v>
      </c>
      <c r="D581" s="2" t="s">
        <v>1048</v>
      </c>
      <c r="E581" s="2" t="s">
        <v>1063</v>
      </c>
      <c r="F581" s="1">
        <v>45981</v>
      </c>
      <c r="G581" s="1">
        <v>45990</v>
      </c>
      <c r="H581" s="2">
        <v>9</v>
      </c>
      <c r="I581" s="2">
        <v>145000</v>
      </c>
      <c r="J581" s="2" t="s">
        <v>1027</v>
      </c>
      <c r="K581" s="2" t="s">
        <v>1028</v>
      </c>
      <c r="L581" t="s">
        <v>1018</v>
      </c>
      <c r="M581" s="2" t="s">
        <v>1019</v>
      </c>
      <c r="N581">
        <v>4</v>
      </c>
    </row>
    <row r="582" spans="1:14" x14ac:dyDescent="0.3">
      <c r="A582" t="s">
        <v>301</v>
      </c>
      <c r="B582">
        <v>89</v>
      </c>
      <c r="C582" s="2" t="s">
        <v>1020</v>
      </c>
      <c r="D582" s="2" t="s">
        <v>1021</v>
      </c>
      <c r="E582" s="2" t="s">
        <v>1022</v>
      </c>
      <c r="F582" s="1">
        <v>45992</v>
      </c>
      <c r="G582" s="1">
        <v>46003</v>
      </c>
      <c r="H582" s="2">
        <v>11</v>
      </c>
      <c r="I582" s="2">
        <v>120000</v>
      </c>
      <c r="J582" s="2" t="s">
        <v>1017</v>
      </c>
      <c r="K582" s="2" t="s">
        <v>1147</v>
      </c>
      <c r="L582" t="s">
        <v>1037</v>
      </c>
      <c r="M582" s="2" t="s">
        <v>1019</v>
      </c>
      <c r="N582">
        <v>5</v>
      </c>
    </row>
    <row r="583" spans="1:14" x14ac:dyDescent="0.3">
      <c r="A583" t="s">
        <v>302</v>
      </c>
      <c r="B583">
        <v>79</v>
      </c>
      <c r="C583" s="2" t="s">
        <v>1020</v>
      </c>
      <c r="D583" s="2" t="s">
        <v>1015</v>
      </c>
      <c r="E583" s="2" t="s">
        <v>1016</v>
      </c>
      <c r="F583" s="1">
        <v>45993</v>
      </c>
      <c r="G583" s="1">
        <v>46006</v>
      </c>
      <c r="H583" s="2">
        <v>13</v>
      </c>
      <c r="I583" s="2">
        <v>156000</v>
      </c>
      <c r="J583" s="2" t="s">
        <v>1017</v>
      </c>
      <c r="K583" s="2" t="s">
        <v>1052</v>
      </c>
      <c r="L583" t="s">
        <v>1018</v>
      </c>
      <c r="M583" s="2" t="s">
        <v>1019</v>
      </c>
      <c r="N583">
        <v>2</v>
      </c>
    </row>
    <row r="584" spans="1:14" x14ac:dyDescent="0.3">
      <c r="A584" t="s">
        <v>303</v>
      </c>
      <c r="B584">
        <v>71</v>
      </c>
      <c r="C584" s="2" t="s">
        <v>1020</v>
      </c>
      <c r="D584" s="2" t="s">
        <v>1021</v>
      </c>
      <c r="E584" s="2" t="s">
        <v>1022</v>
      </c>
      <c r="F584" s="1">
        <v>45994</v>
      </c>
      <c r="G584" s="1">
        <v>46011</v>
      </c>
      <c r="H584" s="2">
        <v>17</v>
      </c>
      <c r="I584" s="2">
        <v>187000</v>
      </c>
      <c r="J584" s="2" t="s">
        <v>1017</v>
      </c>
      <c r="K584" s="2" t="s">
        <v>1147</v>
      </c>
      <c r="L584" t="s">
        <v>1018</v>
      </c>
      <c r="M584" s="2" t="s">
        <v>1019</v>
      </c>
      <c r="N584">
        <v>1</v>
      </c>
    </row>
    <row r="585" spans="1:14" x14ac:dyDescent="0.3">
      <c r="A585" t="s">
        <v>305</v>
      </c>
      <c r="B585">
        <v>24</v>
      </c>
      <c r="C585" s="2" t="s">
        <v>1014</v>
      </c>
      <c r="D585" s="2" t="s">
        <v>1025</v>
      </c>
      <c r="E585" s="2" t="s">
        <v>1026</v>
      </c>
      <c r="F585" s="1">
        <v>45996</v>
      </c>
      <c r="G585" s="1">
        <v>46001</v>
      </c>
      <c r="H585" s="2">
        <v>5</v>
      </c>
      <c r="I585" s="2">
        <v>14500</v>
      </c>
      <c r="J585" s="2" t="s">
        <v>1027</v>
      </c>
      <c r="K585" s="2" t="s">
        <v>1046</v>
      </c>
      <c r="L585" t="s">
        <v>1018</v>
      </c>
      <c r="M585" s="2" t="s">
        <v>1019</v>
      </c>
      <c r="N585">
        <v>1</v>
      </c>
    </row>
    <row r="586" spans="1:14" x14ac:dyDescent="0.3">
      <c r="A586" t="s">
        <v>308</v>
      </c>
      <c r="B586">
        <v>24</v>
      </c>
      <c r="C586" s="2" t="s">
        <v>1014</v>
      </c>
      <c r="D586" s="2" t="s">
        <v>1035</v>
      </c>
      <c r="E586" s="2" t="s">
        <v>1115</v>
      </c>
      <c r="F586" s="1">
        <v>45999</v>
      </c>
      <c r="G586" s="1">
        <v>46005</v>
      </c>
      <c r="H586" s="2">
        <v>6</v>
      </c>
      <c r="I586" s="2">
        <v>147000</v>
      </c>
      <c r="J586" s="2" t="s">
        <v>1023</v>
      </c>
      <c r="K586" s="2" t="s">
        <v>1106</v>
      </c>
      <c r="L586" t="s">
        <v>1018</v>
      </c>
      <c r="M586" s="2" t="s">
        <v>1019</v>
      </c>
      <c r="N586">
        <v>3</v>
      </c>
    </row>
    <row r="587" spans="1:14" x14ac:dyDescent="0.3">
      <c r="A587" t="s">
        <v>309</v>
      </c>
      <c r="B587">
        <v>65</v>
      </c>
      <c r="C587" s="2" t="s">
        <v>1020</v>
      </c>
      <c r="D587" s="2" t="s">
        <v>1041</v>
      </c>
      <c r="E587" s="2" t="s">
        <v>1042</v>
      </c>
      <c r="F587" s="1">
        <v>46000</v>
      </c>
      <c r="G587" s="4">
        <v>46004</v>
      </c>
      <c r="H587" s="2">
        <v>4</v>
      </c>
      <c r="I587" s="2">
        <v>15000</v>
      </c>
      <c r="J587" s="2" t="s">
        <v>1027</v>
      </c>
      <c r="K587" s="2" t="s">
        <v>1128</v>
      </c>
      <c r="L587" t="s">
        <v>1018</v>
      </c>
      <c r="M587" s="2" t="s">
        <v>1019</v>
      </c>
      <c r="N587">
        <v>2</v>
      </c>
    </row>
    <row r="588" spans="1:14" x14ac:dyDescent="0.3">
      <c r="A588" t="s">
        <v>314</v>
      </c>
      <c r="B588">
        <v>18</v>
      </c>
      <c r="C588" s="2" t="s">
        <v>1020</v>
      </c>
      <c r="D588" s="2" t="s">
        <v>1031</v>
      </c>
      <c r="E588" s="2" t="s">
        <v>1054</v>
      </c>
      <c r="F588" s="1">
        <v>46005</v>
      </c>
      <c r="G588" s="1">
        <v>46013</v>
      </c>
      <c r="H588" s="2">
        <v>8</v>
      </c>
      <c r="I588" s="2">
        <v>99000</v>
      </c>
      <c r="J588" s="2" t="s">
        <v>1017</v>
      </c>
      <c r="K588" s="2" t="s">
        <v>1161</v>
      </c>
      <c r="L588" t="s">
        <v>1037</v>
      </c>
      <c r="M588" s="2" t="s">
        <v>1019</v>
      </c>
      <c r="N588">
        <v>4</v>
      </c>
    </row>
    <row r="589" spans="1:14" x14ac:dyDescent="0.3">
      <c r="A589" t="s">
        <v>315</v>
      </c>
      <c r="B589">
        <v>24</v>
      </c>
      <c r="C589" s="2" t="s">
        <v>1020</v>
      </c>
      <c r="D589" s="2" t="s">
        <v>1048</v>
      </c>
      <c r="E589" s="2" t="s">
        <v>1063</v>
      </c>
      <c r="F589" s="1">
        <v>46006</v>
      </c>
      <c r="G589" s="1">
        <v>46010</v>
      </c>
      <c r="H589" s="2">
        <v>4</v>
      </c>
      <c r="I589" s="2">
        <v>120000</v>
      </c>
      <c r="J589" s="2" t="s">
        <v>1023</v>
      </c>
      <c r="K589" s="2" t="s">
        <v>1028</v>
      </c>
      <c r="L589" t="s">
        <v>1037</v>
      </c>
      <c r="M589" s="2" t="s">
        <v>1019</v>
      </c>
      <c r="N589">
        <v>5</v>
      </c>
    </row>
    <row r="590" spans="1:14" x14ac:dyDescent="0.3">
      <c r="A590" t="s">
        <v>317</v>
      </c>
      <c r="B590">
        <v>33</v>
      </c>
      <c r="C590" s="2" t="s">
        <v>1014</v>
      </c>
      <c r="D590" s="2" t="s">
        <v>1031</v>
      </c>
      <c r="E590" s="2" t="s">
        <v>1053</v>
      </c>
      <c r="F590" s="1">
        <v>46008</v>
      </c>
      <c r="G590" s="1">
        <v>46019</v>
      </c>
      <c r="H590" s="2">
        <v>11</v>
      </c>
      <c r="I590" s="2">
        <v>98000</v>
      </c>
      <c r="J590" s="2" t="s">
        <v>1027</v>
      </c>
      <c r="K590" s="2" t="s">
        <v>1161</v>
      </c>
      <c r="L590" t="s">
        <v>1018</v>
      </c>
      <c r="M590" s="2" t="s">
        <v>1019</v>
      </c>
      <c r="N590">
        <v>4</v>
      </c>
    </row>
    <row r="591" spans="1:14" x14ac:dyDescent="0.3">
      <c r="A591" t="s">
        <v>318</v>
      </c>
      <c r="B591">
        <v>12</v>
      </c>
      <c r="C591" s="2" t="s">
        <v>1014</v>
      </c>
      <c r="D591" s="2" t="s">
        <v>1031</v>
      </c>
      <c r="E591" s="2" t="s">
        <v>1145</v>
      </c>
      <c r="F591" s="1">
        <v>46009</v>
      </c>
      <c r="G591" s="1">
        <v>46011</v>
      </c>
      <c r="H591" s="2">
        <v>2</v>
      </c>
      <c r="I591" s="2">
        <v>78000</v>
      </c>
      <c r="J591" s="2" t="s">
        <v>1027</v>
      </c>
      <c r="K591" s="2" t="s">
        <v>1161</v>
      </c>
      <c r="L591" t="s">
        <v>1018</v>
      </c>
      <c r="M591" s="2" t="s">
        <v>1019</v>
      </c>
      <c r="N591">
        <v>3</v>
      </c>
    </row>
    <row r="592" spans="1:14" x14ac:dyDescent="0.3">
      <c r="A592" t="s">
        <v>319</v>
      </c>
      <c r="B592">
        <v>24</v>
      </c>
      <c r="C592" s="2" t="s">
        <v>1014</v>
      </c>
      <c r="D592" s="2" t="s">
        <v>1029</v>
      </c>
      <c r="E592" s="2" t="s">
        <v>1030</v>
      </c>
      <c r="F592" s="1">
        <v>46010</v>
      </c>
      <c r="G592" s="1">
        <v>46018</v>
      </c>
      <c r="H592" s="2">
        <v>8</v>
      </c>
      <c r="I592" s="2">
        <v>98000</v>
      </c>
      <c r="J592" s="2" t="s">
        <v>1027</v>
      </c>
      <c r="K592" s="2" t="s">
        <v>1033</v>
      </c>
      <c r="L592" t="s">
        <v>1037</v>
      </c>
      <c r="M592" s="2" t="s">
        <v>1019</v>
      </c>
      <c r="N592">
        <v>2</v>
      </c>
    </row>
    <row r="593" spans="1:14" x14ac:dyDescent="0.3">
      <c r="A593" t="s">
        <v>320</v>
      </c>
      <c r="B593">
        <v>24</v>
      </c>
      <c r="C593" s="2" t="s">
        <v>1020</v>
      </c>
      <c r="D593" s="2" t="s">
        <v>1039</v>
      </c>
      <c r="E593" s="2" t="s">
        <v>1137</v>
      </c>
      <c r="F593" s="1">
        <v>46011</v>
      </c>
      <c r="G593" s="1">
        <v>46020</v>
      </c>
      <c r="H593" s="2">
        <v>9</v>
      </c>
      <c r="I593" s="2">
        <v>78000</v>
      </c>
      <c r="J593" s="2" t="s">
        <v>1023</v>
      </c>
      <c r="K593" s="2" t="s">
        <v>1059</v>
      </c>
      <c r="L593" t="s">
        <v>1018</v>
      </c>
      <c r="M593" s="2" t="s">
        <v>1019</v>
      </c>
      <c r="N593">
        <v>1</v>
      </c>
    </row>
    <row r="594" spans="1:14" x14ac:dyDescent="0.3">
      <c r="A594" t="s">
        <v>321</v>
      </c>
      <c r="B594">
        <v>33</v>
      </c>
      <c r="C594" s="2" t="s">
        <v>1020</v>
      </c>
      <c r="D594" s="2" t="s">
        <v>1124</v>
      </c>
      <c r="E594" s="2" t="s">
        <v>1125</v>
      </c>
      <c r="F594" s="1">
        <v>46012</v>
      </c>
      <c r="G594" s="1">
        <v>46020</v>
      </c>
      <c r="H594" s="2">
        <v>8</v>
      </c>
      <c r="I594" s="2">
        <v>98000</v>
      </c>
      <c r="J594" s="2" t="s">
        <v>1027</v>
      </c>
      <c r="K594" s="2" t="s">
        <v>1044</v>
      </c>
      <c r="L594" t="s">
        <v>1037</v>
      </c>
      <c r="M594" s="2" t="s">
        <v>1019</v>
      </c>
      <c r="N594">
        <v>1</v>
      </c>
    </row>
    <row r="595" spans="1:14" x14ac:dyDescent="0.3">
      <c r="A595" t="s">
        <v>360</v>
      </c>
      <c r="B595">
        <v>24</v>
      </c>
      <c r="C595" s="2" t="s">
        <v>1020</v>
      </c>
      <c r="D595" s="2" t="s">
        <v>1015</v>
      </c>
      <c r="E595" s="2" t="s">
        <v>1016</v>
      </c>
      <c r="F595" s="1">
        <v>46050</v>
      </c>
      <c r="G595" s="1">
        <v>46069</v>
      </c>
      <c r="H595" s="2">
        <v>19</v>
      </c>
      <c r="I595" s="2">
        <v>350000</v>
      </c>
      <c r="J595" s="2" t="s">
        <v>1023</v>
      </c>
      <c r="K595" s="2" t="s">
        <v>1052</v>
      </c>
      <c r="L595" t="s">
        <v>1037</v>
      </c>
      <c r="M595" s="2" t="s">
        <v>1019</v>
      </c>
      <c r="N595">
        <v>4.8</v>
      </c>
    </row>
    <row r="596" spans="1:14" x14ac:dyDescent="0.3">
      <c r="A596" t="s">
        <v>361</v>
      </c>
      <c r="B596">
        <v>78</v>
      </c>
      <c r="C596" s="2" t="s">
        <v>1020</v>
      </c>
      <c r="D596" s="2" t="s">
        <v>1015</v>
      </c>
      <c r="E596" s="2" t="s">
        <v>1148</v>
      </c>
      <c r="F596" s="1">
        <v>46051</v>
      </c>
      <c r="G596" s="1">
        <v>46073</v>
      </c>
      <c r="H596" s="2">
        <v>22</v>
      </c>
      <c r="I596" s="2">
        <v>450000</v>
      </c>
      <c r="J596" s="2" t="s">
        <v>1027</v>
      </c>
      <c r="K596" s="2" t="s">
        <v>1052</v>
      </c>
      <c r="L596" t="s">
        <v>1037</v>
      </c>
      <c r="M596" s="2" t="s">
        <v>1019</v>
      </c>
      <c r="N596">
        <v>4.8</v>
      </c>
    </row>
    <row r="597" spans="1:14" x14ac:dyDescent="0.3">
      <c r="A597" t="s">
        <v>378</v>
      </c>
      <c r="B597">
        <v>24</v>
      </c>
      <c r="C597" s="2" t="s">
        <v>1014</v>
      </c>
      <c r="D597" s="2" t="s">
        <v>1031</v>
      </c>
      <c r="E597" s="2" t="s">
        <v>1054</v>
      </c>
      <c r="F597" s="1">
        <v>46068</v>
      </c>
      <c r="G597" s="1">
        <v>46073</v>
      </c>
      <c r="H597" s="2">
        <v>5</v>
      </c>
      <c r="I597" s="2">
        <v>178000</v>
      </c>
      <c r="J597" s="2" t="s">
        <v>1017</v>
      </c>
      <c r="K597" s="2" t="s">
        <v>1161</v>
      </c>
      <c r="L597" t="s">
        <v>1018</v>
      </c>
      <c r="M597" s="2" t="s">
        <v>1019</v>
      </c>
      <c r="N597">
        <v>4</v>
      </c>
    </row>
    <row r="598" spans="1:14" x14ac:dyDescent="0.3">
      <c r="A598" t="s">
        <v>379</v>
      </c>
      <c r="B598">
        <v>35</v>
      </c>
      <c r="C598" s="2" t="s">
        <v>1020</v>
      </c>
      <c r="D598" s="2" t="s">
        <v>1031</v>
      </c>
      <c r="E598" s="2" t="s">
        <v>1145</v>
      </c>
      <c r="F598" s="1">
        <v>46069</v>
      </c>
      <c r="G598" s="1">
        <v>46073</v>
      </c>
      <c r="H598" s="2">
        <v>4</v>
      </c>
      <c r="I598" s="2">
        <v>120000</v>
      </c>
      <c r="J598" s="2" t="s">
        <v>1017</v>
      </c>
      <c r="K598" s="2" t="s">
        <v>1161</v>
      </c>
      <c r="L598" t="s">
        <v>1037</v>
      </c>
      <c r="M598" s="2" t="s">
        <v>1019</v>
      </c>
      <c r="N598">
        <v>3</v>
      </c>
    </row>
    <row r="599" spans="1:14" x14ac:dyDescent="0.3">
      <c r="A599" t="s">
        <v>380</v>
      </c>
      <c r="B599">
        <v>29</v>
      </c>
      <c r="C599" s="2" t="s">
        <v>1020</v>
      </c>
      <c r="D599" s="2" t="s">
        <v>1048</v>
      </c>
      <c r="E599" s="2" t="s">
        <v>1063</v>
      </c>
      <c r="F599" s="1">
        <v>46070</v>
      </c>
      <c r="G599" s="1">
        <v>46074</v>
      </c>
      <c r="H599" s="2">
        <v>4</v>
      </c>
      <c r="I599" s="2">
        <v>11000</v>
      </c>
      <c r="J599" s="2" t="s">
        <v>1027</v>
      </c>
      <c r="K599" s="2" t="s">
        <v>1028</v>
      </c>
      <c r="L599" t="s">
        <v>1018</v>
      </c>
      <c r="M599" s="2" t="s">
        <v>1019</v>
      </c>
      <c r="N599">
        <v>5</v>
      </c>
    </row>
    <row r="600" spans="1:14" x14ac:dyDescent="0.3">
      <c r="A600" t="s">
        <v>381</v>
      </c>
      <c r="B600">
        <v>30</v>
      </c>
      <c r="C600" s="2" t="s">
        <v>1020</v>
      </c>
      <c r="D600" s="2" t="s">
        <v>1029</v>
      </c>
      <c r="E600" s="2" t="s">
        <v>1057</v>
      </c>
      <c r="F600" s="1">
        <v>46071</v>
      </c>
      <c r="G600" s="1">
        <v>46075</v>
      </c>
      <c r="H600" s="2">
        <v>4</v>
      </c>
      <c r="I600" s="2">
        <v>120000</v>
      </c>
      <c r="J600" s="2" t="s">
        <v>1027</v>
      </c>
      <c r="K600" s="2" t="s">
        <v>1033</v>
      </c>
      <c r="L600" t="s">
        <v>1037</v>
      </c>
      <c r="M600" s="2" t="s">
        <v>1019</v>
      </c>
      <c r="N600">
        <v>4</v>
      </c>
    </row>
    <row r="601" spans="1:14" x14ac:dyDescent="0.3">
      <c r="A601" t="s">
        <v>382</v>
      </c>
      <c r="B601">
        <v>87</v>
      </c>
      <c r="C601" s="2" t="s">
        <v>1020</v>
      </c>
      <c r="D601" s="2" t="s">
        <v>1021</v>
      </c>
      <c r="E601" s="2" t="s">
        <v>1149</v>
      </c>
      <c r="F601" s="1">
        <v>46072</v>
      </c>
      <c r="G601" s="1">
        <v>46081</v>
      </c>
      <c r="H601" s="2">
        <v>9</v>
      </c>
      <c r="I601" s="2">
        <v>150000</v>
      </c>
      <c r="J601" s="2" t="s">
        <v>1017</v>
      </c>
      <c r="K601" s="2" t="s">
        <v>1169</v>
      </c>
      <c r="L601" t="s">
        <v>1018</v>
      </c>
      <c r="M601" s="2" t="s">
        <v>1019</v>
      </c>
      <c r="N601">
        <v>3</v>
      </c>
    </row>
    <row r="602" spans="1:14" x14ac:dyDescent="0.3">
      <c r="A602" t="s">
        <v>383</v>
      </c>
      <c r="B602">
        <v>24</v>
      </c>
      <c r="C602" s="2" t="s">
        <v>1014</v>
      </c>
      <c r="D602" s="2" t="s">
        <v>1031</v>
      </c>
      <c r="E602" s="2" t="s">
        <v>1144</v>
      </c>
      <c r="F602" s="1">
        <v>46073</v>
      </c>
      <c r="G602" s="1">
        <v>46080</v>
      </c>
      <c r="H602" s="2">
        <v>7</v>
      </c>
      <c r="I602" s="2">
        <v>140000</v>
      </c>
      <c r="J602" s="2" t="s">
        <v>1027</v>
      </c>
      <c r="K602" s="2" t="s">
        <v>1161</v>
      </c>
      <c r="L602" t="s">
        <v>1018</v>
      </c>
      <c r="M602" s="2" t="s">
        <v>1019</v>
      </c>
      <c r="N602">
        <v>5</v>
      </c>
    </row>
    <row r="603" spans="1:14" x14ac:dyDescent="0.3">
      <c r="A603" t="s">
        <v>384</v>
      </c>
      <c r="B603">
        <v>13</v>
      </c>
      <c r="C603" s="2" t="s">
        <v>1014</v>
      </c>
      <c r="D603" s="2" t="s">
        <v>1041</v>
      </c>
      <c r="E603" s="2" t="s">
        <v>1042</v>
      </c>
      <c r="F603" s="1">
        <v>46074</v>
      </c>
      <c r="G603" s="1">
        <v>46078</v>
      </c>
      <c r="H603" s="2">
        <v>4</v>
      </c>
      <c r="I603" s="2">
        <v>130000</v>
      </c>
      <c r="J603" s="2" t="s">
        <v>1027</v>
      </c>
      <c r="K603" s="2" t="s">
        <v>1128</v>
      </c>
      <c r="L603" t="s">
        <v>1018</v>
      </c>
      <c r="M603" s="2" t="s">
        <v>1019</v>
      </c>
      <c r="N603">
        <v>4</v>
      </c>
    </row>
    <row r="604" spans="1:14" x14ac:dyDescent="0.3">
      <c r="A604" t="s">
        <v>386</v>
      </c>
      <c r="B604">
        <v>90</v>
      </c>
      <c r="C604" s="2" t="s">
        <v>1020</v>
      </c>
      <c r="D604" s="2" t="s">
        <v>1025</v>
      </c>
      <c r="E604" s="2" t="s">
        <v>1152</v>
      </c>
      <c r="F604" s="1">
        <v>46076</v>
      </c>
      <c r="G604" s="1">
        <v>46081</v>
      </c>
      <c r="H604" s="2">
        <v>5</v>
      </c>
      <c r="I604" s="2">
        <v>120000</v>
      </c>
      <c r="J604" s="2" t="s">
        <v>1017</v>
      </c>
      <c r="K604" s="2" t="s">
        <v>1046</v>
      </c>
      <c r="L604" t="s">
        <v>1018</v>
      </c>
      <c r="M604" s="2" t="s">
        <v>1019</v>
      </c>
      <c r="N604">
        <v>2</v>
      </c>
    </row>
    <row r="605" spans="1:14" x14ac:dyDescent="0.3">
      <c r="A605" t="s">
        <v>387</v>
      </c>
      <c r="B605">
        <v>34</v>
      </c>
      <c r="C605" s="2" t="s">
        <v>1020</v>
      </c>
      <c r="D605" s="2" t="s">
        <v>1021</v>
      </c>
      <c r="E605" s="2" t="s">
        <v>1022</v>
      </c>
      <c r="F605" s="1">
        <v>46077</v>
      </c>
      <c r="G605" s="3">
        <v>46083</v>
      </c>
      <c r="H605" s="2">
        <v>6</v>
      </c>
      <c r="I605" s="2">
        <v>140000</v>
      </c>
      <c r="J605" s="2" t="s">
        <v>1027</v>
      </c>
      <c r="K605" s="2" t="s">
        <v>1147</v>
      </c>
      <c r="L605" t="s">
        <v>1037</v>
      </c>
      <c r="M605" s="2" t="s">
        <v>1019</v>
      </c>
      <c r="N605">
        <v>1</v>
      </c>
    </row>
    <row r="606" spans="1:14" x14ac:dyDescent="0.3">
      <c r="A606" t="s">
        <v>388</v>
      </c>
      <c r="B606">
        <v>24</v>
      </c>
      <c r="C606" s="2" t="s">
        <v>1020</v>
      </c>
      <c r="D606" s="2" t="s">
        <v>1124</v>
      </c>
      <c r="E606" s="2" t="s">
        <v>1125</v>
      </c>
      <c r="F606" s="1">
        <v>46078</v>
      </c>
      <c r="G606" s="1">
        <v>45719</v>
      </c>
      <c r="H606" s="2">
        <v>6</v>
      </c>
      <c r="I606" s="2">
        <v>150000</v>
      </c>
      <c r="J606" s="2" t="s">
        <v>1023</v>
      </c>
      <c r="K606" s="2" t="s">
        <v>1044</v>
      </c>
      <c r="L606" t="s">
        <v>1018</v>
      </c>
      <c r="M606" s="2" t="s">
        <v>1019</v>
      </c>
      <c r="N606">
        <v>2</v>
      </c>
    </row>
    <row r="607" spans="1:14" x14ac:dyDescent="0.3">
      <c r="A607" t="s">
        <v>389</v>
      </c>
      <c r="B607">
        <v>12</v>
      </c>
      <c r="C607" s="2" t="s">
        <v>1014</v>
      </c>
      <c r="D607" s="2" t="s">
        <v>1029</v>
      </c>
      <c r="E607" s="2" t="s">
        <v>1030</v>
      </c>
      <c r="F607" s="1">
        <v>46079</v>
      </c>
      <c r="G607" s="1">
        <v>46081</v>
      </c>
      <c r="H607" s="2">
        <v>2</v>
      </c>
      <c r="I607" s="2">
        <v>12000</v>
      </c>
      <c r="J607" s="2" t="s">
        <v>1027</v>
      </c>
      <c r="K607" s="2" t="s">
        <v>1033</v>
      </c>
      <c r="L607" t="s">
        <v>1037</v>
      </c>
      <c r="M607" s="2" t="s">
        <v>1019</v>
      </c>
      <c r="N607">
        <v>3</v>
      </c>
    </row>
    <row r="608" spans="1:14" x14ac:dyDescent="0.3">
      <c r="A608" t="s">
        <v>391</v>
      </c>
      <c r="B608">
        <v>30</v>
      </c>
      <c r="C608" s="2" t="s">
        <v>1020</v>
      </c>
      <c r="D608" s="2" t="s">
        <v>1025</v>
      </c>
      <c r="E608" s="2" t="s">
        <v>1062</v>
      </c>
      <c r="F608" s="1">
        <v>46081</v>
      </c>
      <c r="G608" s="1">
        <v>46086</v>
      </c>
      <c r="H608" s="2">
        <v>5</v>
      </c>
      <c r="I608" s="2">
        <v>55000</v>
      </c>
      <c r="J608" s="2" t="s">
        <v>1023</v>
      </c>
      <c r="K608" s="2" t="s">
        <v>1046</v>
      </c>
      <c r="L608" t="s">
        <v>1037</v>
      </c>
      <c r="M608" s="2" t="s">
        <v>1019</v>
      </c>
      <c r="N608">
        <v>5</v>
      </c>
    </row>
    <row r="609" spans="1:14" x14ac:dyDescent="0.3">
      <c r="A609" t="s">
        <v>414</v>
      </c>
      <c r="B609">
        <v>24</v>
      </c>
      <c r="C609" s="2" t="s">
        <v>1020</v>
      </c>
      <c r="D609" s="2" t="s">
        <v>1021</v>
      </c>
      <c r="E609" s="2" t="s">
        <v>1060</v>
      </c>
      <c r="F609" s="1">
        <v>46104</v>
      </c>
      <c r="G609" s="1">
        <v>46112</v>
      </c>
      <c r="H609" s="2">
        <v>8</v>
      </c>
      <c r="I609" s="2">
        <v>156999</v>
      </c>
      <c r="J609" s="2" t="s">
        <v>1027</v>
      </c>
      <c r="K609" s="2" t="s">
        <v>1147</v>
      </c>
      <c r="L609" t="s">
        <v>1018</v>
      </c>
      <c r="M609" s="2" t="s">
        <v>1019</v>
      </c>
      <c r="N609">
        <v>5</v>
      </c>
    </row>
    <row r="610" spans="1:14" x14ac:dyDescent="0.3">
      <c r="A610" t="s">
        <v>415</v>
      </c>
      <c r="B610">
        <v>34</v>
      </c>
      <c r="C610" s="2" t="s">
        <v>1014</v>
      </c>
      <c r="D610" s="2" t="s">
        <v>1031</v>
      </c>
      <c r="E610" s="2" t="s">
        <v>1053</v>
      </c>
      <c r="F610" s="1">
        <v>46105</v>
      </c>
      <c r="G610" s="1">
        <v>46107</v>
      </c>
      <c r="H610" s="2">
        <v>2</v>
      </c>
      <c r="I610" s="2">
        <v>15899</v>
      </c>
      <c r="J610" s="2" t="s">
        <v>1027</v>
      </c>
      <c r="K610" s="2" t="s">
        <v>1161</v>
      </c>
      <c r="L610" t="s">
        <v>1037</v>
      </c>
      <c r="M610" s="2" t="s">
        <v>1019</v>
      </c>
      <c r="N610">
        <v>4</v>
      </c>
    </row>
    <row r="611" spans="1:14" x14ac:dyDescent="0.3">
      <c r="A611" t="s">
        <v>419</v>
      </c>
      <c r="B611">
        <v>45</v>
      </c>
      <c r="C611" s="2" t="s">
        <v>1020</v>
      </c>
      <c r="D611" s="2" t="s">
        <v>1021</v>
      </c>
      <c r="E611" s="2" t="s">
        <v>1149</v>
      </c>
      <c r="F611" s="1">
        <v>46109</v>
      </c>
      <c r="G611" s="1">
        <v>46117</v>
      </c>
      <c r="H611" s="2">
        <v>8</v>
      </c>
      <c r="I611" s="2">
        <v>22345</v>
      </c>
      <c r="J611" s="2" t="s">
        <v>1023</v>
      </c>
      <c r="K611" s="2" t="s">
        <v>1044</v>
      </c>
      <c r="L611" t="s">
        <v>1037</v>
      </c>
      <c r="M611" s="2" t="s">
        <v>1019</v>
      </c>
      <c r="N611">
        <v>5</v>
      </c>
    </row>
    <row r="612" spans="1:14" x14ac:dyDescent="0.3">
      <c r="A612" t="s">
        <v>433</v>
      </c>
      <c r="B612">
        <v>56</v>
      </c>
      <c r="C612" s="2" t="s">
        <v>1014</v>
      </c>
      <c r="D612" s="2" t="s">
        <v>1021</v>
      </c>
      <c r="E612" s="2" t="s">
        <v>1149</v>
      </c>
      <c r="F612" s="1">
        <v>46123</v>
      </c>
      <c r="G612" s="3">
        <v>46132</v>
      </c>
      <c r="H612" s="2">
        <v>9</v>
      </c>
      <c r="I612" s="2">
        <v>178900</v>
      </c>
      <c r="J612" s="2" t="s">
        <v>1017</v>
      </c>
      <c r="K612" s="2" t="s">
        <v>1147</v>
      </c>
      <c r="L612" t="s">
        <v>1018</v>
      </c>
      <c r="M612" s="2" t="s">
        <v>1019</v>
      </c>
      <c r="N612">
        <v>3</v>
      </c>
    </row>
    <row r="613" spans="1:14" x14ac:dyDescent="0.3">
      <c r="A613" t="s">
        <v>435</v>
      </c>
      <c r="B613">
        <v>43</v>
      </c>
      <c r="C613" s="2" t="s">
        <v>1014</v>
      </c>
      <c r="D613" s="2" t="s">
        <v>1021</v>
      </c>
      <c r="E613" s="2" t="s">
        <v>1080</v>
      </c>
      <c r="F613" s="1">
        <v>46125</v>
      </c>
      <c r="G613" s="1">
        <v>46136</v>
      </c>
      <c r="H613" s="2">
        <v>11</v>
      </c>
      <c r="I613" s="2">
        <v>187000</v>
      </c>
      <c r="J613" s="2" t="s">
        <v>1017</v>
      </c>
      <c r="K613" s="2" t="s">
        <v>1147</v>
      </c>
      <c r="L613" t="s">
        <v>1037</v>
      </c>
      <c r="M613" s="2" t="s">
        <v>1019</v>
      </c>
      <c r="N613">
        <v>33</v>
      </c>
    </row>
    <row r="614" spans="1:14" x14ac:dyDescent="0.3">
      <c r="A614" t="s">
        <v>437</v>
      </c>
      <c r="B614">
        <v>45</v>
      </c>
      <c r="C614" s="2" t="s">
        <v>1014</v>
      </c>
      <c r="D614" s="2" t="s">
        <v>1021</v>
      </c>
      <c r="E614" s="2" t="s">
        <v>1140</v>
      </c>
      <c r="F614" s="1">
        <v>46127</v>
      </c>
      <c r="G614" s="1">
        <v>46137</v>
      </c>
      <c r="H614" s="2">
        <v>10</v>
      </c>
      <c r="I614" s="2">
        <v>99000</v>
      </c>
      <c r="J614" s="2" t="s">
        <v>1017</v>
      </c>
      <c r="K614" s="2" t="s">
        <v>1147</v>
      </c>
      <c r="L614" t="s">
        <v>1018</v>
      </c>
      <c r="M614" s="2" t="s">
        <v>1019</v>
      </c>
      <c r="N614">
        <v>33</v>
      </c>
    </row>
    <row r="615" spans="1:14" x14ac:dyDescent="0.3">
      <c r="A615" t="s">
        <v>439</v>
      </c>
      <c r="B615">
        <v>78</v>
      </c>
      <c r="C615" s="2" t="s">
        <v>1020</v>
      </c>
      <c r="D615" s="2" t="s">
        <v>1021</v>
      </c>
      <c r="E615" s="2" t="s">
        <v>1139</v>
      </c>
      <c r="F615" s="1">
        <v>46129</v>
      </c>
      <c r="G615" s="1">
        <v>46142</v>
      </c>
      <c r="H615" s="2">
        <v>13</v>
      </c>
      <c r="I615" s="2">
        <v>245000</v>
      </c>
      <c r="J615" s="2" t="s">
        <v>1017</v>
      </c>
      <c r="K615" s="2" t="s">
        <v>1147</v>
      </c>
      <c r="L615" t="s">
        <v>1037</v>
      </c>
      <c r="M615" s="2" t="s">
        <v>1019</v>
      </c>
      <c r="N615">
        <v>5</v>
      </c>
    </row>
    <row r="616" spans="1:14" x14ac:dyDescent="0.3">
      <c r="A616" t="s">
        <v>455</v>
      </c>
      <c r="B616">
        <v>67</v>
      </c>
      <c r="C616" s="2" t="s">
        <v>1014</v>
      </c>
      <c r="D616" s="2" t="s">
        <v>1021</v>
      </c>
      <c r="E616" s="2" t="s">
        <v>1118</v>
      </c>
      <c r="F616" s="1">
        <v>46145</v>
      </c>
      <c r="G616" s="1">
        <v>46162</v>
      </c>
      <c r="H616" s="2">
        <v>17</v>
      </c>
      <c r="I616" s="2">
        <v>245678</v>
      </c>
      <c r="J616" s="2" t="s">
        <v>1027</v>
      </c>
      <c r="K616" s="2" t="s">
        <v>1147</v>
      </c>
      <c r="L616" t="s">
        <v>1018</v>
      </c>
      <c r="M616" s="2" t="s">
        <v>1019</v>
      </c>
      <c r="N616">
        <v>4</v>
      </c>
    </row>
    <row r="617" spans="1:14" x14ac:dyDescent="0.3">
      <c r="A617" t="s">
        <v>456</v>
      </c>
      <c r="B617">
        <v>78</v>
      </c>
      <c r="C617" s="2" t="s">
        <v>1020</v>
      </c>
      <c r="D617" s="2" t="s">
        <v>1021</v>
      </c>
      <c r="E617" s="2" t="s">
        <v>1162</v>
      </c>
      <c r="F617" s="1">
        <v>46146</v>
      </c>
      <c r="G617" s="1">
        <v>46163</v>
      </c>
      <c r="H617" s="2">
        <v>17</v>
      </c>
      <c r="I617" s="2">
        <v>456789</v>
      </c>
      <c r="J617" s="2" t="s">
        <v>1027</v>
      </c>
      <c r="K617" s="2" t="s">
        <v>1147</v>
      </c>
      <c r="L617" t="s">
        <v>1037</v>
      </c>
      <c r="M617" s="2" t="s">
        <v>1019</v>
      </c>
      <c r="N617">
        <v>4.0999999999999996</v>
      </c>
    </row>
    <row r="618" spans="1:14" x14ac:dyDescent="0.3">
      <c r="A618" t="s">
        <v>457</v>
      </c>
      <c r="B618">
        <v>89</v>
      </c>
      <c r="C618" s="2" t="s">
        <v>1020</v>
      </c>
      <c r="D618" s="2" t="s">
        <v>1021</v>
      </c>
      <c r="E618" s="2" t="s">
        <v>1118</v>
      </c>
      <c r="F618" s="1">
        <v>46147</v>
      </c>
      <c r="G618" s="1">
        <v>46167</v>
      </c>
      <c r="H618" s="2">
        <v>20</v>
      </c>
      <c r="I618" s="2">
        <v>870000</v>
      </c>
      <c r="J618" s="2" t="s">
        <v>1027</v>
      </c>
      <c r="K618" s="2" t="s">
        <v>1147</v>
      </c>
      <c r="L618" t="s">
        <v>1018</v>
      </c>
      <c r="M618" s="2" t="s">
        <v>1019</v>
      </c>
      <c r="N618">
        <v>4.2</v>
      </c>
    </row>
    <row r="619" spans="1:14" x14ac:dyDescent="0.3">
      <c r="A619" t="s">
        <v>459</v>
      </c>
      <c r="B619">
        <v>23</v>
      </c>
      <c r="C619" s="2" t="s">
        <v>1014</v>
      </c>
      <c r="D619" s="2" t="s">
        <v>1031</v>
      </c>
      <c r="E619" s="2" t="s">
        <v>1145</v>
      </c>
      <c r="F619" s="1">
        <v>46149</v>
      </c>
      <c r="G619" s="1">
        <v>46154</v>
      </c>
      <c r="H619" s="2">
        <v>5</v>
      </c>
      <c r="I619" s="2">
        <v>98000</v>
      </c>
      <c r="J619" s="2" t="s">
        <v>1027</v>
      </c>
      <c r="K619" s="2" t="s">
        <v>1161</v>
      </c>
      <c r="L619" t="s">
        <v>1018</v>
      </c>
      <c r="M619" s="2" t="s">
        <v>1019</v>
      </c>
      <c r="N619">
        <v>4.4000000000000004</v>
      </c>
    </row>
    <row r="620" spans="1:14" x14ac:dyDescent="0.3">
      <c r="A620" t="s">
        <v>460</v>
      </c>
      <c r="B620">
        <v>24</v>
      </c>
      <c r="C620" s="2" t="s">
        <v>1020</v>
      </c>
      <c r="D620" s="2" t="s">
        <v>1031</v>
      </c>
      <c r="E620" s="2" t="s">
        <v>1034</v>
      </c>
      <c r="F620" s="1">
        <v>46150</v>
      </c>
      <c r="G620" s="1">
        <v>46157</v>
      </c>
      <c r="H620" s="2">
        <v>7</v>
      </c>
      <c r="I620" s="2">
        <v>76990</v>
      </c>
      <c r="J620" s="2" t="s">
        <v>1027</v>
      </c>
      <c r="K620" s="2" t="s">
        <v>1161</v>
      </c>
      <c r="L620" t="s">
        <v>1037</v>
      </c>
      <c r="M620" s="2" t="s">
        <v>1019</v>
      </c>
      <c r="N620">
        <v>5</v>
      </c>
    </row>
    <row r="621" spans="1:14" x14ac:dyDescent="0.3">
      <c r="A621" t="s">
        <v>461</v>
      </c>
      <c r="B621">
        <v>29</v>
      </c>
      <c r="C621" s="2" t="s">
        <v>1014</v>
      </c>
      <c r="D621" s="2" t="s">
        <v>1031</v>
      </c>
      <c r="E621" s="2" t="s">
        <v>1053</v>
      </c>
      <c r="F621" s="1">
        <v>46151</v>
      </c>
      <c r="G621" s="1">
        <v>46162</v>
      </c>
      <c r="H621" s="2">
        <v>11</v>
      </c>
      <c r="I621" s="2">
        <v>145678</v>
      </c>
      <c r="J621" s="2" t="s">
        <v>1027</v>
      </c>
      <c r="K621" s="2" t="s">
        <v>1161</v>
      </c>
      <c r="L621" t="s">
        <v>1018</v>
      </c>
      <c r="M621" s="2" t="s">
        <v>1019</v>
      </c>
      <c r="N621">
        <v>4</v>
      </c>
    </row>
    <row r="622" spans="1:14" x14ac:dyDescent="0.3">
      <c r="A622" t="s">
        <v>463</v>
      </c>
      <c r="B622">
        <v>31</v>
      </c>
      <c r="C622" s="2" t="s">
        <v>1014</v>
      </c>
      <c r="D622" s="2" t="s">
        <v>1031</v>
      </c>
      <c r="E622" s="2" t="s">
        <v>1054</v>
      </c>
      <c r="F622" s="1">
        <v>46153</v>
      </c>
      <c r="G622" s="1">
        <v>46157</v>
      </c>
      <c r="H622" s="2">
        <v>4</v>
      </c>
      <c r="I622" s="2">
        <v>12345</v>
      </c>
      <c r="J622" s="2" t="s">
        <v>1027</v>
      </c>
      <c r="K622" s="2" t="s">
        <v>1161</v>
      </c>
      <c r="L622" t="s">
        <v>1018</v>
      </c>
      <c r="M622" s="2" t="s">
        <v>1019</v>
      </c>
      <c r="N622">
        <v>4</v>
      </c>
    </row>
    <row r="623" spans="1:14" x14ac:dyDescent="0.3">
      <c r="A623" t="s">
        <v>465</v>
      </c>
      <c r="B623">
        <v>44</v>
      </c>
      <c r="C623" s="2" t="s">
        <v>1014</v>
      </c>
      <c r="D623" s="2" t="s">
        <v>1031</v>
      </c>
      <c r="E623" s="2" t="s">
        <v>1145</v>
      </c>
      <c r="F623" s="1">
        <v>46155</v>
      </c>
      <c r="G623" s="1">
        <v>46157</v>
      </c>
      <c r="H623" s="2">
        <v>2</v>
      </c>
      <c r="I623" s="2">
        <v>110000</v>
      </c>
      <c r="J623" s="2" t="s">
        <v>1027</v>
      </c>
      <c r="K623" s="2" t="s">
        <v>1161</v>
      </c>
      <c r="L623" t="s">
        <v>1037</v>
      </c>
      <c r="M623" s="2" t="s">
        <v>1019</v>
      </c>
      <c r="N623">
        <v>2</v>
      </c>
    </row>
    <row r="624" spans="1:14" x14ac:dyDescent="0.3">
      <c r="A624" t="s">
        <v>467</v>
      </c>
      <c r="B624">
        <v>67</v>
      </c>
      <c r="C624" s="2" t="s">
        <v>1014</v>
      </c>
      <c r="D624" s="2" t="s">
        <v>1031</v>
      </c>
      <c r="E624" s="2" t="s">
        <v>1145</v>
      </c>
      <c r="F624" s="1">
        <v>46157</v>
      </c>
      <c r="G624" s="1">
        <v>46167</v>
      </c>
      <c r="H624" s="2">
        <v>10</v>
      </c>
      <c r="I624" s="2">
        <v>150000</v>
      </c>
      <c r="J624" s="2" t="s">
        <v>1027</v>
      </c>
      <c r="K624" s="2" t="s">
        <v>1161</v>
      </c>
      <c r="L624" t="s">
        <v>1018</v>
      </c>
      <c r="M624" s="2" t="s">
        <v>1019</v>
      </c>
      <c r="N624">
        <v>5</v>
      </c>
    </row>
    <row r="625" spans="1:14" x14ac:dyDescent="0.3">
      <c r="A625" t="s">
        <v>468</v>
      </c>
      <c r="B625">
        <v>56</v>
      </c>
      <c r="C625" s="2" t="s">
        <v>1020</v>
      </c>
      <c r="D625" s="2" t="s">
        <v>1031</v>
      </c>
      <c r="E625" s="2" t="s">
        <v>1034</v>
      </c>
      <c r="F625" s="1">
        <v>46158</v>
      </c>
      <c r="G625" s="1">
        <v>46162</v>
      </c>
      <c r="H625" s="2">
        <v>5</v>
      </c>
      <c r="I625" s="2">
        <v>67990</v>
      </c>
      <c r="J625" s="2" t="s">
        <v>1027</v>
      </c>
      <c r="K625" s="2" t="s">
        <v>1161</v>
      </c>
      <c r="L625" t="s">
        <v>1018</v>
      </c>
      <c r="M625" t="s">
        <v>1019</v>
      </c>
      <c r="N625">
        <v>3</v>
      </c>
    </row>
    <row r="626" spans="1:14" x14ac:dyDescent="0.3">
      <c r="A626" t="s">
        <v>469</v>
      </c>
      <c r="B626">
        <v>23</v>
      </c>
      <c r="C626" s="2" t="s">
        <v>1014</v>
      </c>
      <c r="D626" s="2" t="s">
        <v>1031</v>
      </c>
      <c r="E626" s="2" t="s">
        <v>1034</v>
      </c>
      <c r="F626" s="1">
        <v>46159</v>
      </c>
      <c r="G626" s="1">
        <v>46170</v>
      </c>
      <c r="H626" s="2">
        <v>11</v>
      </c>
      <c r="I626" s="2">
        <v>159000</v>
      </c>
      <c r="J626" s="2" t="s">
        <v>1027</v>
      </c>
      <c r="K626" s="2" t="s">
        <v>1161</v>
      </c>
      <c r="L626" t="s">
        <v>1037</v>
      </c>
      <c r="M626" s="2" t="s">
        <v>1019</v>
      </c>
      <c r="N626">
        <v>4</v>
      </c>
    </row>
    <row r="627" spans="1:14" x14ac:dyDescent="0.3">
      <c r="A627" t="s">
        <v>470</v>
      </c>
      <c r="B627">
        <v>25</v>
      </c>
      <c r="C627" s="2" t="s">
        <v>1014</v>
      </c>
      <c r="D627" s="2" t="s">
        <v>1031</v>
      </c>
      <c r="E627" s="2" t="s">
        <v>1054</v>
      </c>
      <c r="F627" s="1">
        <v>46159</v>
      </c>
      <c r="G627" s="1">
        <v>46162</v>
      </c>
      <c r="H627" s="2">
        <v>3</v>
      </c>
      <c r="I627" s="2">
        <v>154333</v>
      </c>
      <c r="J627" s="2" t="s">
        <v>1027</v>
      </c>
      <c r="K627" s="2" t="s">
        <v>1161</v>
      </c>
      <c r="L627" t="s">
        <v>1018</v>
      </c>
      <c r="M627" t="s">
        <v>1019</v>
      </c>
      <c r="N627">
        <v>5</v>
      </c>
    </row>
    <row r="628" spans="1:14" x14ac:dyDescent="0.3">
      <c r="A628" t="s">
        <v>471</v>
      </c>
      <c r="B628">
        <v>67</v>
      </c>
      <c r="C628" s="2" t="s">
        <v>1020</v>
      </c>
      <c r="D628" s="2" t="s">
        <v>1031</v>
      </c>
      <c r="E628" s="2" t="s">
        <v>1034</v>
      </c>
      <c r="F628" s="1">
        <v>46159</v>
      </c>
      <c r="G628" s="1">
        <v>46172</v>
      </c>
      <c r="H628" s="2">
        <v>13</v>
      </c>
      <c r="I628" s="2">
        <v>245000</v>
      </c>
      <c r="J628" s="2" t="s">
        <v>1027</v>
      </c>
      <c r="K628" s="2" t="s">
        <v>1161</v>
      </c>
      <c r="L628" t="s">
        <v>1037</v>
      </c>
      <c r="M628" s="2" t="s">
        <v>1019</v>
      </c>
      <c r="N628">
        <v>4</v>
      </c>
    </row>
    <row r="629" spans="1:14" x14ac:dyDescent="0.3">
      <c r="A629" t="s">
        <v>472</v>
      </c>
      <c r="B629">
        <v>54</v>
      </c>
      <c r="C629" s="2" t="s">
        <v>1014</v>
      </c>
      <c r="D629" s="2" t="s">
        <v>1031</v>
      </c>
      <c r="E629" s="2" t="s">
        <v>1145</v>
      </c>
      <c r="F629" s="1">
        <v>46160</v>
      </c>
      <c r="G629" s="1">
        <v>46169</v>
      </c>
      <c r="H629" s="2">
        <v>9</v>
      </c>
      <c r="I629" s="2">
        <v>134567</v>
      </c>
      <c r="J629" s="2" t="s">
        <v>1027</v>
      </c>
      <c r="K629" s="2" t="s">
        <v>1161</v>
      </c>
      <c r="L629" t="s">
        <v>1018</v>
      </c>
      <c r="M629" t="s">
        <v>1019</v>
      </c>
      <c r="N629">
        <v>3</v>
      </c>
    </row>
    <row r="630" spans="1:14" x14ac:dyDescent="0.3">
      <c r="A630" t="s">
        <v>478</v>
      </c>
      <c r="B630">
        <v>67</v>
      </c>
      <c r="C630" s="2" t="s">
        <v>1014</v>
      </c>
      <c r="D630" s="2" t="s">
        <v>1031</v>
      </c>
      <c r="E630" s="2" t="s">
        <v>1034</v>
      </c>
      <c r="F630" s="1">
        <v>46165</v>
      </c>
      <c r="G630" s="1">
        <v>46173</v>
      </c>
      <c r="H630" s="2">
        <v>8</v>
      </c>
      <c r="I630" s="2">
        <v>140000</v>
      </c>
      <c r="J630" s="2" t="s">
        <v>1027</v>
      </c>
      <c r="K630" s="2" t="s">
        <v>1161</v>
      </c>
      <c r="L630" t="s">
        <v>1018</v>
      </c>
      <c r="M630" s="2" t="s">
        <v>1019</v>
      </c>
      <c r="N630">
        <v>5</v>
      </c>
    </row>
    <row r="631" spans="1:14" x14ac:dyDescent="0.3">
      <c r="A631" t="s">
        <v>482</v>
      </c>
      <c r="B631">
        <v>56</v>
      </c>
      <c r="C631" s="2" t="s">
        <v>1014</v>
      </c>
      <c r="D631" s="2" t="s">
        <v>1031</v>
      </c>
      <c r="E631" s="2" t="s">
        <v>1145</v>
      </c>
      <c r="F631" s="1">
        <v>46169</v>
      </c>
      <c r="G631" s="1">
        <v>46178</v>
      </c>
      <c r="H631" s="2">
        <v>9</v>
      </c>
      <c r="I631" s="2">
        <v>67000</v>
      </c>
      <c r="J631" s="2" t="s">
        <v>1027</v>
      </c>
      <c r="K631" s="2" t="s">
        <v>1161</v>
      </c>
      <c r="L631" t="s">
        <v>1018</v>
      </c>
      <c r="M631" t="s">
        <v>1019</v>
      </c>
      <c r="N631">
        <v>5</v>
      </c>
    </row>
    <row r="632" spans="1:14" x14ac:dyDescent="0.3">
      <c r="A632" t="s">
        <v>492</v>
      </c>
      <c r="B632">
        <v>45</v>
      </c>
      <c r="C632" s="2" t="s">
        <v>1014</v>
      </c>
      <c r="D632" s="2" t="s">
        <v>1031</v>
      </c>
      <c r="E632" s="2" t="s">
        <v>1054</v>
      </c>
      <c r="F632" s="1">
        <v>46179</v>
      </c>
      <c r="G632" s="1">
        <v>46199</v>
      </c>
      <c r="H632" s="2">
        <v>20</v>
      </c>
      <c r="I632" s="2">
        <v>12345</v>
      </c>
      <c r="J632" s="2" t="s">
        <v>1027</v>
      </c>
      <c r="K632" s="2" t="s">
        <v>1161</v>
      </c>
      <c r="L632" t="s">
        <v>1037</v>
      </c>
      <c r="M632" t="s">
        <v>1019</v>
      </c>
      <c r="N632">
        <v>3</v>
      </c>
    </row>
    <row r="633" spans="1:14" x14ac:dyDescent="0.3">
      <c r="A633" t="s">
        <v>493</v>
      </c>
      <c r="B633">
        <v>43</v>
      </c>
      <c r="C633" s="2" t="s">
        <v>1020</v>
      </c>
      <c r="D633" s="2" t="s">
        <v>1031</v>
      </c>
      <c r="E633" s="2" t="s">
        <v>1054</v>
      </c>
      <c r="F633" s="1">
        <v>46180</v>
      </c>
      <c r="G633" s="1">
        <v>46200</v>
      </c>
      <c r="H633" s="2">
        <v>20</v>
      </c>
      <c r="I633" s="2">
        <v>145000</v>
      </c>
      <c r="J633" s="2" t="s">
        <v>1027</v>
      </c>
      <c r="K633" s="2" t="s">
        <v>1161</v>
      </c>
      <c r="L633" t="s">
        <v>1018</v>
      </c>
      <c r="M633" s="2" t="s">
        <v>1019</v>
      </c>
      <c r="N633">
        <v>5</v>
      </c>
    </row>
    <row r="634" spans="1:14" x14ac:dyDescent="0.3">
      <c r="A634" t="s">
        <v>494</v>
      </c>
      <c r="B634">
        <v>32</v>
      </c>
      <c r="C634" s="2" t="s">
        <v>1020</v>
      </c>
      <c r="D634" s="2" t="s">
        <v>1031</v>
      </c>
      <c r="E634" s="2" t="s">
        <v>1054</v>
      </c>
      <c r="F634" s="1">
        <v>46181</v>
      </c>
      <c r="G634" s="1">
        <v>46201</v>
      </c>
      <c r="H634" s="2">
        <v>20</v>
      </c>
      <c r="I634" s="2">
        <v>45999</v>
      </c>
      <c r="J634" s="2" t="s">
        <v>1027</v>
      </c>
      <c r="K634" s="2" t="s">
        <v>1161</v>
      </c>
      <c r="L634" t="s">
        <v>1037</v>
      </c>
      <c r="M634" t="s">
        <v>1019</v>
      </c>
      <c r="N634">
        <v>4</v>
      </c>
    </row>
    <row r="635" spans="1:14" x14ac:dyDescent="0.3">
      <c r="A635" t="s">
        <v>495</v>
      </c>
      <c r="B635">
        <v>12</v>
      </c>
      <c r="C635" s="2" t="s">
        <v>1020</v>
      </c>
      <c r="D635" s="2" t="s">
        <v>1031</v>
      </c>
      <c r="E635" s="2" t="s">
        <v>1054</v>
      </c>
      <c r="F635" s="1">
        <v>46182</v>
      </c>
      <c r="G635" s="1">
        <v>46202</v>
      </c>
      <c r="H635" s="2">
        <v>20</v>
      </c>
      <c r="I635" s="2">
        <v>78900</v>
      </c>
      <c r="J635" s="2" t="s">
        <v>1027</v>
      </c>
      <c r="K635" s="2" t="s">
        <v>1161</v>
      </c>
      <c r="L635" t="s">
        <v>1037</v>
      </c>
      <c r="M635" s="2" t="s">
        <v>1019</v>
      </c>
      <c r="N635">
        <v>3</v>
      </c>
    </row>
    <row r="636" spans="1:14" x14ac:dyDescent="0.3">
      <c r="A636" t="s">
        <v>496</v>
      </c>
      <c r="B636">
        <v>23</v>
      </c>
      <c r="C636" s="2" t="s">
        <v>1020</v>
      </c>
      <c r="D636" s="2" t="s">
        <v>1031</v>
      </c>
      <c r="E636" s="2" t="s">
        <v>1054</v>
      </c>
      <c r="F636" s="1">
        <v>46183</v>
      </c>
      <c r="G636" s="1">
        <v>46203</v>
      </c>
      <c r="H636" s="2">
        <v>20</v>
      </c>
      <c r="I636" s="2">
        <v>98000</v>
      </c>
      <c r="J636" s="2" t="s">
        <v>1027</v>
      </c>
      <c r="K636" s="2" t="s">
        <v>1161</v>
      </c>
      <c r="L636" t="s">
        <v>1037</v>
      </c>
      <c r="M636" t="s">
        <v>1019</v>
      </c>
      <c r="N636">
        <v>5</v>
      </c>
    </row>
    <row r="637" spans="1:14" x14ac:dyDescent="0.3">
      <c r="A637" t="s">
        <v>497</v>
      </c>
      <c r="B637">
        <v>34</v>
      </c>
      <c r="C637" s="2" t="s">
        <v>1020</v>
      </c>
      <c r="D637" s="2" t="s">
        <v>1031</v>
      </c>
      <c r="E637" s="2" t="s">
        <v>1054</v>
      </c>
      <c r="F637" s="1">
        <v>46184</v>
      </c>
      <c r="G637" s="1">
        <v>46204</v>
      </c>
      <c r="H637" s="2">
        <v>20</v>
      </c>
      <c r="I637" s="2">
        <v>100000</v>
      </c>
      <c r="J637" s="2" t="s">
        <v>1027</v>
      </c>
      <c r="K637" s="2" t="s">
        <v>1161</v>
      </c>
      <c r="L637" t="s">
        <v>1018</v>
      </c>
      <c r="M637" s="2" t="s">
        <v>1019</v>
      </c>
      <c r="N637">
        <v>4</v>
      </c>
    </row>
    <row r="638" spans="1:14" x14ac:dyDescent="0.3">
      <c r="A638" t="s">
        <v>498</v>
      </c>
      <c r="B638">
        <v>32</v>
      </c>
      <c r="C638" s="2" t="s">
        <v>1014</v>
      </c>
      <c r="D638" s="2" t="s">
        <v>1031</v>
      </c>
      <c r="E638" s="2" t="s">
        <v>1054</v>
      </c>
      <c r="F638" s="1">
        <v>46185</v>
      </c>
      <c r="G638" s="1">
        <v>46205</v>
      </c>
      <c r="H638" s="2">
        <v>20</v>
      </c>
      <c r="I638" s="2">
        <v>120000</v>
      </c>
      <c r="J638" s="2" t="s">
        <v>1027</v>
      </c>
      <c r="K638" s="2" t="s">
        <v>1161</v>
      </c>
      <c r="L638" t="s">
        <v>1018</v>
      </c>
      <c r="M638" t="s">
        <v>1019</v>
      </c>
      <c r="N638">
        <v>3</v>
      </c>
    </row>
    <row r="639" spans="1:14" x14ac:dyDescent="0.3">
      <c r="A639" t="s">
        <v>499</v>
      </c>
      <c r="B639">
        <v>12</v>
      </c>
      <c r="C639" s="2" t="s">
        <v>1014</v>
      </c>
      <c r="D639" s="2" t="s">
        <v>1031</v>
      </c>
      <c r="E639" s="2" t="s">
        <v>1054</v>
      </c>
      <c r="F639" s="1">
        <v>46186</v>
      </c>
      <c r="G639" s="1">
        <v>46206</v>
      </c>
      <c r="H639" s="2">
        <v>20</v>
      </c>
      <c r="I639" s="2">
        <v>23999</v>
      </c>
      <c r="J639" s="2" t="s">
        <v>1027</v>
      </c>
      <c r="K639" s="2" t="s">
        <v>1161</v>
      </c>
      <c r="L639" t="s">
        <v>1037</v>
      </c>
      <c r="M639" s="2" t="s">
        <v>1019</v>
      </c>
      <c r="N639">
        <v>5</v>
      </c>
    </row>
    <row r="640" spans="1:14" x14ac:dyDescent="0.3">
      <c r="A640" t="s">
        <v>500</v>
      </c>
      <c r="B640">
        <v>23</v>
      </c>
      <c r="C640" s="2" t="s">
        <v>1014</v>
      </c>
      <c r="D640" s="2" t="s">
        <v>1031</v>
      </c>
      <c r="E640" s="2" t="s">
        <v>1053</v>
      </c>
      <c r="F640" s="1">
        <v>46187</v>
      </c>
      <c r="G640" s="1">
        <v>46207</v>
      </c>
      <c r="H640" s="2">
        <v>20</v>
      </c>
      <c r="I640" s="2">
        <v>48999</v>
      </c>
      <c r="J640" s="2" t="s">
        <v>1027</v>
      </c>
      <c r="K640" s="2" t="s">
        <v>1161</v>
      </c>
      <c r="L640" t="s">
        <v>1018</v>
      </c>
      <c r="M640" t="s">
        <v>1019</v>
      </c>
      <c r="N640">
        <v>4</v>
      </c>
    </row>
    <row r="641" spans="1:14" x14ac:dyDescent="0.3">
      <c r="A641" t="s">
        <v>501</v>
      </c>
      <c r="B641">
        <v>32</v>
      </c>
      <c r="C641" s="2" t="s">
        <v>1014</v>
      </c>
      <c r="D641" s="2" t="s">
        <v>1031</v>
      </c>
      <c r="E641" s="2" t="s">
        <v>1053</v>
      </c>
      <c r="F641" s="1">
        <v>46188</v>
      </c>
      <c r="G641" s="1">
        <v>46208</v>
      </c>
      <c r="H641" s="2">
        <v>20</v>
      </c>
      <c r="I641" s="2">
        <v>56000</v>
      </c>
      <c r="J641" s="2" t="s">
        <v>1027</v>
      </c>
      <c r="K641" s="2" t="s">
        <v>1161</v>
      </c>
      <c r="L641" t="s">
        <v>1037</v>
      </c>
      <c r="M641" s="2" t="s">
        <v>1019</v>
      </c>
      <c r="N641">
        <v>3</v>
      </c>
    </row>
    <row r="642" spans="1:14" x14ac:dyDescent="0.3">
      <c r="A642" t="s">
        <v>504</v>
      </c>
      <c r="B642">
        <v>12</v>
      </c>
      <c r="C642" s="2" t="s">
        <v>1020</v>
      </c>
      <c r="D642" s="2" t="s">
        <v>1031</v>
      </c>
      <c r="E642" s="2" t="s">
        <v>1053</v>
      </c>
      <c r="F642" s="1">
        <v>46191</v>
      </c>
      <c r="G642" s="1">
        <v>46211</v>
      </c>
      <c r="H642" s="2">
        <v>20</v>
      </c>
      <c r="I642" s="2">
        <v>78000</v>
      </c>
      <c r="J642" s="2" t="s">
        <v>1027</v>
      </c>
      <c r="K642" s="2" t="s">
        <v>1161</v>
      </c>
      <c r="L642" t="s">
        <v>1018</v>
      </c>
      <c r="M642" t="s">
        <v>1019</v>
      </c>
      <c r="N642">
        <v>3</v>
      </c>
    </row>
    <row r="643" spans="1:14" x14ac:dyDescent="0.3">
      <c r="A643" t="s">
        <v>505</v>
      </c>
      <c r="B643">
        <v>13</v>
      </c>
      <c r="C643" s="2" t="s">
        <v>1020</v>
      </c>
      <c r="D643" s="2" t="s">
        <v>1031</v>
      </c>
      <c r="E643" s="2" t="s">
        <v>1053</v>
      </c>
      <c r="F643" s="1">
        <v>46192</v>
      </c>
      <c r="G643" s="1">
        <v>46211</v>
      </c>
      <c r="H643" s="2">
        <v>19</v>
      </c>
      <c r="I643" s="2">
        <v>99000</v>
      </c>
      <c r="J643" s="2" t="s">
        <v>1027</v>
      </c>
      <c r="K643" s="2" t="s">
        <v>1146</v>
      </c>
      <c r="L643" t="s">
        <v>1037</v>
      </c>
      <c r="M643" s="2" t="s">
        <v>1019</v>
      </c>
      <c r="N643">
        <v>4</v>
      </c>
    </row>
    <row r="644" spans="1:14" x14ac:dyDescent="0.3">
      <c r="A644" t="s">
        <v>988</v>
      </c>
      <c r="B644">
        <v>54</v>
      </c>
      <c r="C644" t="s">
        <v>1020</v>
      </c>
      <c r="D644" s="2" t="s">
        <v>1031</v>
      </c>
      <c r="E644" t="s">
        <v>1032</v>
      </c>
      <c r="F644" s="1">
        <v>44970</v>
      </c>
      <c r="G644" s="1">
        <v>44982</v>
      </c>
      <c r="H644" s="2">
        <v>12</v>
      </c>
      <c r="I644" s="2">
        <v>119000</v>
      </c>
      <c r="J644" s="2" t="s">
        <v>1027</v>
      </c>
      <c r="K644" t="s">
        <v>1161</v>
      </c>
      <c r="L644" t="s">
        <v>1018</v>
      </c>
      <c r="M644" s="2" t="s">
        <v>1158</v>
      </c>
      <c r="N644">
        <v>3.6</v>
      </c>
    </row>
    <row r="645" spans="1:14" x14ac:dyDescent="0.3">
      <c r="A645" t="s">
        <v>989</v>
      </c>
      <c r="B645">
        <v>54</v>
      </c>
      <c r="C645" t="s">
        <v>1020</v>
      </c>
      <c r="D645" s="2" t="s">
        <v>1031</v>
      </c>
      <c r="E645" t="s">
        <v>1032</v>
      </c>
      <c r="F645" s="1">
        <v>44971</v>
      </c>
      <c r="G645" s="1">
        <v>44983</v>
      </c>
      <c r="H645" s="2">
        <v>12</v>
      </c>
      <c r="I645" s="2">
        <v>119000</v>
      </c>
      <c r="J645" s="2" t="s">
        <v>1027</v>
      </c>
      <c r="K645" t="s">
        <v>1161</v>
      </c>
      <c r="L645" t="s">
        <v>1037</v>
      </c>
      <c r="M645" s="2" t="s">
        <v>1158</v>
      </c>
      <c r="N645">
        <v>3.6</v>
      </c>
    </row>
    <row r="646" spans="1:14" x14ac:dyDescent="0.3">
      <c r="A646" t="s">
        <v>990</v>
      </c>
      <c r="B646">
        <v>56</v>
      </c>
      <c r="C646" t="s">
        <v>1020</v>
      </c>
      <c r="D646" s="2" t="s">
        <v>1031</v>
      </c>
      <c r="E646" t="s">
        <v>1032</v>
      </c>
      <c r="F646" s="1">
        <v>44972</v>
      </c>
      <c r="G646" s="1">
        <v>44984</v>
      </c>
      <c r="H646" s="2">
        <v>12</v>
      </c>
      <c r="I646" s="2">
        <v>119000</v>
      </c>
      <c r="J646" s="2" t="s">
        <v>1027</v>
      </c>
      <c r="K646" t="s">
        <v>1161</v>
      </c>
      <c r="L646" t="s">
        <v>1037</v>
      </c>
      <c r="M646" s="2" t="s">
        <v>1158</v>
      </c>
      <c r="N646">
        <v>3.6</v>
      </c>
    </row>
    <row r="647" spans="1:14" x14ac:dyDescent="0.3">
      <c r="A647" t="s">
        <v>991</v>
      </c>
      <c r="B647">
        <v>67</v>
      </c>
      <c r="C647" t="s">
        <v>1020</v>
      </c>
      <c r="D647" s="2" t="s">
        <v>1031</v>
      </c>
      <c r="E647" t="s">
        <v>1034</v>
      </c>
      <c r="F647" s="1">
        <v>44973</v>
      </c>
      <c r="G647" s="1">
        <v>44985</v>
      </c>
      <c r="H647" s="2">
        <v>12</v>
      </c>
      <c r="I647" s="2">
        <v>119000</v>
      </c>
      <c r="J647" s="2" t="s">
        <v>1027</v>
      </c>
      <c r="K647" t="s">
        <v>1161</v>
      </c>
      <c r="L647" t="s">
        <v>1037</v>
      </c>
      <c r="M647" s="2" t="s">
        <v>1158</v>
      </c>
      <c r="N647">
        <v>3.6</v>
      </c>
    </row>
    <row r="648" spans="1:14" x14ac:dyDescent="0.3">
      <c r="A648" t="s">
        <v>992</v>
      </c>
      <c r="B648">
        <v>78</v>
      </c>
      <c r="C648" t="s">
        <v>1020</v>
      </c>
      <c r="D648" s="2" t="s">
        <v>1031</v>
      </c>
      <c r="E648" t="s">
        <v>1034</v>
      </c>
      <c r="F648" s="1">
        <v>44974</v>
      </c>
      <c r="G648" s="1">
        <v>44986</v>
      </c>
      <c r="H648" s="2">
        <v>12</v>
      </c>
      <c r="I648" s="2">
        <v>119000</v>
      </c>
      <c r="J648" s="2" t="s">
        <v>1027</v>
      </c>
      <c r="K648" t="s">
        <v>1161</v>
      </c>
      <c r="L648" t="s">
        <v>1018</v>
      </c>
      <c r="M648" s="2" t="s">
        <v>1158</v>
      </c>
      <c r="N648">
        <v>3.6</v>
      </c>
    </row>
    <row r="649" spans="1:14" x14ac:dyDescent="0.3">
      <c r="A649" t="s">
        <v>993</v>
      </c>
      <c r="B649">
        <v>56</v>
      </c>
      <c r="C649" t="s">
        <v>1020</v>
      </c>
      <c r="D649" s="2" t="s">
        <v>1031</v>
      </c>
      <c r="E649" t="s">
        <v>1034</v>
      </c>
      <c r="F649" s="1">
        <v>44975</v>
      </c>
      <c r="G649" s="1">
        <v>44987</v>
      </c>
      <c r="H649" s="2">
        <v>12</v>
      </c>
      <c r="I649" s="2">
        <v>119000</v>
      </c>
      <c r="J649" s="2" t="s">
        <v>1027</v>
      </c>
      <c r="K649" t="s">
        <v>1161</v>
      </c>
      <c r="L649" t="s">
        <v>1018</v>
      </c>
      <c r="M649" s="2" t="s">
        <v>1158</v>
      </c>
      <c r="N649">
        <v>3.6</v>
      </c>
    </row>
    <row r="650" spans="1:14" x14ac:dyDescent="0.3">
      <c r="A650" t="s">
        <v>994</v>
      </c>
      <c r="B650">
        <v>67</v>
      </c>
      <c r="C650" t="s">
        <v>1020</v>
      </c>
      <c r="D650" s="2" t="s">
        <v>1031</v>
      </c>
      <c r="E650" t="s">
        <v>1034</v>
      </c>
      <c r="F650" s="1">
        <v>44976</v>
      </c>
      <c r="G650" s="1">
        <v>45015</v>
      </c>
      <c r="H650" s="2">
        <v>11</v>
      </c>
      <c r="I650" s="2">
        <v>119000</v>
      </c>
      <c r="J650" s="2" t="s">
        <v>1027</v>
      </c>
      <c r="K650" t="s">
        <v>1161</v>
      </c>
      <c r="L650" t="s">
        <v>1037</v>
      </c>
      <c r="M650" s="2" t="s">
        <v>1158</v>
      </c>
      <c r="N650">
        <v>3.6</v>
      </c>
    </row>
    <row r="651" spans="1:14" x14ac:dyDescent="0.3">
      <c r="A651" t="s">
        <v>995</v>
      </c>
      <c r="B651">
        <v>65</v>
      </c>
      <c r="C651" t="s">
        <v>1020</v>
      </c>
      <c r="D651" s="2" t="s">
        <v>1031</v>
      </c>
      <c r="E651" t="s">
        <v>1034</v>
      </c>
      <c r="F651" s="1">
        <v>44977</v>
      </c>
      <c r="G651" s="1">
        <v>45016</v>
      </c>
      <c r="H651" s="2">
        <v>11</v>
      </c>
      <c r="I651" s="2">
        <v>119000</v>
      </c>
      <c r="J651" s="2" t="s">
        <v>1027</v>
      </c>
      <c r="K651" t="s">
        <v>1161</v>
      </c>
      <c r="L651" t="s">
        <v>1018</v>
      </c>
      <c r="M651" s="2" t="s">
        <v>1158</v>
      </c>
      <c r="N651">
        <v>3.6</v>
      </c>
    </row>
    <row r="652" spans="1:14" x14ac:dyDescent="0.3">
      <c r="A652" t="s">
        <v>996</v>
      </c>
      <c r="B652">
        <v>67</v>
      </c>
      <c r="C652" t="s">
        <v>1020</v>
      </c>
      <c r="D652" s="2" t="s">
        <v>1031</v>
      </c>
      <c r="E652" t="s">
        <v>1034</v>
      </c>
      <c r="F652" s="1">
        <v>44978</v>
      </c>
      <c r="G652" s="1">
        <v>45017</v>
      </c>
      <c r="H652" s="2">
        <v>11</v>
      </c>
      <c r="I652" s="2">
        <v>119000</v>
      </c>
      <c r="J652" s="2" t="s">
        <v>1027</v>
      </c>
      <c r="K652" t="s">
        <v>1161</v>
      </c>
      <c r="L652" t="s">
        <v>1037</v>
      </c>
      <c r="M652" s="2" t="s">
        <v>1158</v>
      </c>
      <c r="N652">
        <v>3.6</v>
      </c>
    </row>
    <row r="653" spans="1:14" x14ac:dyDescent="0.3">
      <c r="A653" t="s">
        <v>997</v>
      </c>
      <c r="B653">
        <v>78</v>
      </c>
      <c r="C653" t="s">
        <v>1020</v>
      </c>
      <c r="D653" s="2" t="s">
        <v>1031</v>
      </c>
      <c r="E653" t="s">
        <v>1034</v>
      </c>
      <c r="F653" s="1">
        <v>44979</v>
      </c>
      <c r="G653" s="1">
        <v>45018</v>
      </c>
      <c r="H653" s="2">
        <v>11</v>
      </c>
      <c r="I653" s="2">
        <v>119000</v>
      </c>
      <c r="J653" s="2" t="s">
        <v>1027</v>
      </c>
      <c r="K653" t="s">
        <v>1161</v>
      </c>
      <c r="L653" t="s">
        <v>1037</v>
      </c>
      <c r="M653" s="2" t="s">
        <v>1158</v>
      </c>
      <c r="N653">
        <v>3.6</v>
      </c>
    </row>
    <row r="654" spans="1:14" x14ac:dyDescent="0.3">
      <c r="A654" t="s">
        <v>998</v>
      </c>
      <c r="B654">
        <v>76</v>
      </c>
      <c r="C654" t="s">
        <v>1020</v>
      </c>
      <c r="D654" s="2" t="s">
        <v>1031</v>
      </c>
      <c r="E654" t="s">
        <v>1034</v>
      </c>
      <c r="F654" s="1">
        <v>44980</v>
      </c>
      <c r="G654" s="1">
        <v>45019</v>
      </c>
      <c r="H654" s="2">
        <v>11</v>
      </c>
      <c r="I654" s="2">
        <v>119000</v>
      </c>
      <c r="J654" s="2" t="s">
        <v>1027</v>
      </c>
      <c r="K654" t="s">
        <v>1161</v>
      </c>
      <c r="L654" t="s">
        <v>1018</v>
      </c>
      <c r="M654" s="2" t="s">
        <v>1158</v>
      </c>
      <c r="N654">
        <v>3.6</v>
      </c>
    </row>
    <row r="655" spans="1:14" x14ac:dyDescent="0.3">
      <c r="A655" t="s">
        <v>999</v>
      </c>
      <c r="B655">
        <v>78</v>
      </c>
      <c r="C655" t="s">
        <v>1020</v>
      </c>
      <c r="D655" s="2" t="s">
        <v>1124</v>
      </c>
      <c r="E655" t="s">
        <v>1168</v>
      </c>
      <c r="F655" s="1">
        <v>44981</v>
      </c>
      <c r="G655" s="1">
        <v>45020</v>
      </c>
      <c r="H655" s="2">
        <v>11</v>
      </c>
      <c r="I655" s="2">
        <v>119000</v>
      </c>
      <c r="J655" s="2" t="s">
        <v>1027</v>
      </c>
      <c r="K655" t="s">
        <v>1044</v>
      </c>
      <c r="L655" t="s">
        <v>1018</v>
      </c>
      <c r="M655" s="2" t="s">
        <v>1158</v>
      </c>
      <c r="N655">
        <v>3.6</v>
      </c>
    </row>
    <row r="656" spans="1:14" x14ac:dyDescent="0.3">
      <c r="A656" t="s">
        <v>1000</v>
      </c>
      <c r="B656">
        <v>78</v>
      </c>
      <c r="C656" t="s">
        <v>1020</v>
      </c>
      <c r="D656" s="2" t="s">
        <v>1124</v>
      </c>
      <c r="E656" t="s">
        <v>1168</v>
      </c>
      <c r="F656" s="1">
        <v>44982</v>
      </c>
      <c r="G656" s="1">
        <v>45021</v>
      </c>
      <c r="H656" s="2">
        <v>11</v>
      </c>
      <c r="I656" s="2">
        <v>119000</v>
      </c>
      <c r="J656" s="2" t="s">
        <v>1027</v>
      </c>
      <c r="K656" t="s">
        <v>1044</v>
      </c>
      <c r="L656" t="s">
        <v>1037</v>
      </c>
      <c r="M656" s="2" t="s">
        <v>1158</v>
      </c>
      <c r="N656">
        <v>3.6</v>
      </c>
    </row>
    <row r="657" spans="1:14" x14ac:dyDescent="0.3">
      <c r="A657" t="s">
        <v>1001</v>
      </c>
      <c r="B657">
        <v>76</v>
      </c>
      <c r="C657" t="s">
        <v>1020</v>
      </c>
      <c r="D657" s="2" t="s">
        <v>1041</v>
      </c>
      <c r="E657" t="s">
        <v>1042</v>
      </c>
      <c r="F657" s="1">
        <v>44983</v>
      </c>
      <c r="G657" s="1">
        <v>45022</v>
      </c>
      <c r="H657" s="2">
        <v>11</v>
      </c>
      <c r="I657" s="2">
        <v>119000</v>
      </c>
      <c r="J657" s="2" t="s">
        <v>1027</v>
      </c>
      <c r="K657" t="s">
        <v>1128</v>
      </c>
      <c r="L657" t="s">
        <v>1018</v>
      </c>
      <c r="M657" s="2" t="s">
        <v>1158</v>
      </c>
      <c r="N657">
        <v>3.6</v>
      </c>
    </row>
    <row r="658" spans="1:14" x14ac:dyDescent="0.3">
      <c r="A658" t="s">
        <v>1002</v>
      </c>
      <c r="B658">
        <v>78</v>
      </c>
      <c r="C658" t="s">
        <v>1020</v>
      </c>
      <c r="D658" s="2" t="s">
        <v>1041</v>
      </c>
      <c r="E658" t="s">
        <v>1042</v>
      </c>
      <c r="F658" s="1">
        <v>44984</v>
      </c>
      <c r="G658" s="1">
        <v>45023</v>
      </c>
      <c r="H658" s="2">
        <v>11</v>
      </c>
      <c r="I658" s="2">
        <v>119000</v>
      </c>
      <c r="J658" s="2" t="s">
        <v>1027</v>
      </c>
      <c r="K658" t="s">
        <v>1128</v>
      </c>
      <c r="L658" t="s">
        <v>1037</v>
      </c>
      <c r="M658" s="2" t="s">
        <v>1158</v>
      </c>
      <c r="N658">
        <v>3.6</v>
      </c>
    </row>
    <row r="659" spans="1:14" x14ac:dyDescent="0.3">
      <c r="A659" t="s">
        <v>1003</v>
      </c>
      <c r="B659">
        <v>89</v>
      </c>
      <c r="C659" t="s">
        <v>1020</v>
      </c>
      <c r="D659" s="2" t="s">
        <v>1041</v>
      </c>
      <c r="E659" t="s">
        <v>1042</v>
      </c>
      <c r="F659" s="1">
        <v>44985</v>
      </c>
      <c r="G659" s="1">
        <v>45024</v>
      </c>
      <c r="H659" s="2">
        <v>11</v>
      </c>
      <c r="I659" s="2">
        <v>119000</v>
      </c>
      <c r="J659" s="2" t="s">
        <v>1027</v>
      </c>
      <c r="K659" t="s">
        <v>1128</v>
      </c>
      <c r="L659" t="s">
        <v>1018</v>
      </c>
      <c r="M659" s="2" t="s">
        <v>1158</v>
      </c>
      <c r="N659">
        <v>3.6</v>
      </c>
    </row>
    <row r="660" spans="1:14" x14ac:dyDescent="0.3">
      <c r="A660" t="s">
        <v>1004</v>
      </c>
      <c r="B660">
        <v>87</v>
      </c>
      <c r="C660" t="s">
        <v>1020</v>
      </c>
      <c r="D660" s="2" t="s">
        <v>1041</v>
      </c>
      <c r="E660" t="s">
        <v>1042</v>
      </c>
      <c r="F660" s="1">
        <v>44986</v>
      </c>
      <c r="G660" s="1">
        <v>45025</v>
      </c>
      <c r="H660" s="2">
        <v>11</v>
      </c>
      <c r="I660" s="2">
        <v>119000</v>
      </c>
      <c r="J660" s="2" t="s">
        <v>1027</v>
      </c>
      <c r="K660" t="s">
        <v>1128</v>
      </c>
      <c r="L660" t="s">
        <v>1037</v>
      </c>
      <c r="M660" s="2" t="s">
        <v>1158</v>
      </c>
      <c r="N660">
        <v>3.6</v>
      </c>
    </row>
    <row r="661" spans="1:14" x14ac:dyDescent="0.3">
      <c r="A661" t="s">
        <v>1005</v>
      </c>
      <c r="B661">
        <v>98</v>
      </c>
      <c r="C661" t="s">
        <v>1020</v>
      </c>
      <c r="D661" s="2" t="s">
        <v>1041</v>
      </c>
      <c r="E661" t="s">
        <v>1042</v>
      </c>
      <c r="F661" s="1">
        <v>44987</v>
      </c>
      <c r="G661" s="1">
        <v>45026</v>
      </c>
      <c r="H661" s="2">
        <v>11</v>
      </c>
      <c r="I661" s="2">
        <v>119000</v>
      </c>
      <c r="J661" s="2" t="s">
        <v>1027</v>
      </c>
      <c r="K661" t="s">
        <v>1128</v>
      </c>
      <c r="L661" t="s">
        <v>1037</v>
      </c>
      <c r="M661" s="2" t="s">
        <v>1158</v>
      </c>
      <c r="N661">
        <v>3.6</v>
      </c>
    </row>
    <row r="662" spans="1:14" x14ac:dyDescent="0.3">
      <c r="A662" t="s">
        <v>1006</v>
      </c>
      <c r="B662">
        <v>87</v>
      </c>
      <c r="C662" t="s">
        <v>1020</v>
      </c>
      <c r="D662" s="2" t="s">
        <v>1041</v>
      </c>
      <c r="E662" t="s">
        <v>1042</v>
      </c>
      <c r="F662" s="1">
        <v>44988</v>
      </c>
      <c r="G662" s="1">
        <v>45027</v>
      </c>
      <c r="H662" s="2">
        <v>11</v>
      </c>
      <c r="I662" s="2">
        <v>119000</v>
      </c>
      <c r="J662" s="2" t="s">
        <v>1027</v>
      </c>
      <c r="K662" t="s">
        <v>1128</v>
      </c>
      <c r="L662" t="s">
        <v>1037</v>
      </c>
      <c r="M662" s="2" t="s">
        <v>1158</v>
      </c>
      <c r="N662">
        <v>3.6</v>
      </c>
    </row>
    <row r="663" spans="1:14" x14ac:dyDescent="0.3">
      <c r="A663" t="s">
        <v>1007</v>
      </c>
      <c r="B663">
        <v>67</v>
      </c>
      <c r="C663" t="s">
        <v>1020</v>
      </c>
      <c r="D663" s="2" t="s">
        <v>1041</v>
      </c>
      <c r="E663" t="s">
        <v>1042</v>
      </c>
      <c r="F663" s="1">
        <v>44989</v>
      </c>
      <c r="G663" s="1">
        <v>45028</v>
      </c>
      <c r="H663" s="2">
        <v>11</v>
      </c>
      <c r="I663" s="2">
        <v>119000</v>
      </c>
      <c r="J663" s="2" t="s">
        <v>1027</v>
      </c>
      <c r="K663" t="s">
        <v>1128</v>
      </c>
      <c r="L663" t="s">
        <v>1018</v>
      </c>
      <c r="M663" s="2" t="s">
        <v>1158</v>
      </c>
      <c r="N663">
        <v>3.6</v>
      </c>
    </row>
    <row r="664" spans="1:14" x14ac:dyDescent="0.3">
      <c r="A664" t="s">
        <v>1008</v>
      </c>
      <c r="B664">
        <v>23</v>
      </c>
      <c r="C664" t="s">
        <v>1020</v>
      </c>
      <c r="D664" s="2" t="s">
        <v>1160</v>
      </c>
      <c r="E664" t="s">
        <v>1063</v>
      </c>
      <c r="F664" s="1">
        <v>44990</v>
      </c>
      <c r="G664" s="1">
        <v>45029</v>
      </c>
      <c r="H664" s="2">
        <v>11</v>
      </c>
      <c r="I664" s="2">
        <v>119000</v>
      </c>
      <c r="J664" s="2" t="s">
        <v>1027</v>
      </c>
      <c r="K664" t="s">
        <v>1028</v>
      </c>
      <c r="L664" t="s">
        <v>1018</v>
      </c>
      <c r="M664" s="2" t="s">
        <v>1158</v>
      </c>
      <c r="N664">
        <v>3.6</v>
      </c>
    </row>
    <row r="665" spans="1:14" x14ac:dyDescent="0.3">
      <c r="A665" t="s">
        <v>1009</v>
      </c>
      <c r="B665">
        <v>34</v>
      </c>
      <c r="C665" t="s">
        <v>1020</v>
      </c>
      <c r="D665" s="2" t="s">
        <v>1160</v>
      </c>
      <c r="E665" t="s">
        <v>1063</v>
      </c>
      <c r="F665" s="1">
        <v>44991</v>
      </c>
      <c r="G665" s="1">
        <v>45030</v>
      </c>
      <c r="H665" s="2">
        <v>11</v>
      </c>
      <c r="I665" s="2">
        <v>119000</v>
      </c>
      <c r="J665" s="2" t="s">
        <v>1027</v>
      </c>
      <c r="K665" t="s">
        <v>1028</v>
      </c>
      <c r="L665" t="s">
        <v>1037</v>
      </c>
      <c r="M665" s="2" t="s">
        <v>1158</v>
      </c>
      <c r="N665">
        <v>3.6</v>
      </c>
    </row>
    <row r="666" spans="1:14" x14ac:dyDescent="0.3">
      <c r="A666" t="s">
        <v>1010</v>
      </c>
      <c r="B666">
        <v>45</v>
      </c>
      <c r="C666" t="s">
        <v>1020</v>
      </c>
      <c r="D666" s="2" t="s">
        <v>1160</v>
      </c>
      <c r="E666" t="s">
        <v>1063</v>
      </c>
      <c r="F666" s="1">
        <v>44992</v>
      </c>
      <c r="G666" s="1">
        <v>45031</v>
      </c>
      <c r="H666" s="2">
        <v>11</v>
      </c>
      <c r="I666" s="2">
        <v>119000</v>
      </c>
      <c r="J666" s="2" t="s">
        <v>1027</v>
      </c>
      <c r="K666" t="s">
        <v>1028</v>
      </c>
      <c r="L666" t="s">
        <v>1018</v>
      </c>
      <c r="M666" s="2" t="s">
        <v>1158</v>
      </c>
      <c r="N666">
        <v>3.6</v>
      </c>
    </row>
    <row r="667" spans="1:14" x14ac:dyDescent="0.3">
      <c r="A667" t="s">
        <v>1011</v>
      </c>
      <c r="B667">
        <v>56</v>
      </c>
      <c r="C667" t="s">
        <v>1020</v>
      </c>
      <c r="D667" s="2" t="s">
        <v>1160</v>
      </c>
      <c r="E667" t="s">
        <v>1063</v>
      </c>
      <c r="F667" s="1">
        <v>44993</v>
      </c>
      <c r="G667" s="1">
        <v>45032</v>
      </c>
      <c r="H667" s="2">
        <v>11</v>
      </c>
      <c r="I667" s="2">
        <v>119000</v>
      </c>
      <c r="J667" s="2" t="s">
        <v>1027</v>
      </c>
      <c r="K667" t="s">
        <v>1028</v>
      </c>
      <c r="L667" t="s">
        <v>1037</v>
      </c>
      <c r="M667" s="2" t="s">
        <v>1158</v>
      </c>
      <c r="N667">
        <v>3.6</v>
      </c>
    </row>
    <row r="668" spans="1:14" x14ac:dyDescent="0.3">
      <c r="A668" t="s">
        <v>1012</v>
      </c>
      <c r="B668">
        <v>54</v>
      </c>
      <c r="C668" t="s">
        <v>1020</v>
      </c>
      <c r="D668" s="2" t="s">
        <v>1160</v>
      </c>
      <c r="E668" t="s">
        <v>1063</v>
      </c>
      <c r="F668" s="1">
        <v>44994</v>
      </c>
      <c r="G668" s="1">
        <v>45033</v>
      </c>
      <c r="H668" s="2">
        <v>11</v>
      </c>
      <c r="I668" s="2">
        <v>119000</v>
      </c>
      <c r="J668" s="2" t="s">
        <v>1027</v>
      </c>
      <c r="K668" t="s">
        <v>1028</v>
      </c>
      <c r="L668" t="s">
        <v>1037</v>
      </c>
      <c r="M668" s="2" t="s">
        <v>1158</v>
      </c>
      <c r="N668">
        <v>3.6</v>
      </c>
    </row>
    <row r="669" spans="1:14" x14ac:dyDescent="0.3">
      <c r="A669" t="s">
        <v>1013</v>
      </c>
      <c r="B669">
        <v>43</v>
      </c>
      <c r="C669" t="s">
        <v>1020</v>
      </c>
      <c r="D669" s="2" t="s">
        <v>1160</v>
      </c>
      <c r="E669" t="s">
        <v>1063</v>
      </c>
      <c r="F669" s="1">
        <v>44995</v>
      </c>
      <c r="G669" s="1">
        <v>45034</v>
      </c>
      <c r="H669" s="2">
        <v>11</v>
      </c>
      <c r="I669" s="2">
        <v>119000</v>
      </c>
      <c r="J669" s="2" t="s">
        <v>1027</v>
      </c>
      <c r="K669" t="s">
        <v>1028</v>
      </c>
      <c r="L669" t="s">
        <v>1018</v>
      </c>
      <c r="M669" s="2" t="s">
        <v>1158</v>
      </c>
      <c r="N669">
        <v>3.6</v>
      </c>
    </row>
    <row r="670" spans="1:14" x14ac:dyDescent="0.3">
      <c r="A670" t="s">
        <v>580</v>
      </c>
      <c r="B670">
        <v>43</v>
      </c>
      <c r="C670" t="s">
        <v>1020</v>
      </c>
      <c r="D670" s="2" t="s">
        <v>1039</v>
      </c>
      <c r="E670" t="s">
        <v>1165</v>
      </c>
      <c r="F670" s="1">
        <v>45293</v>
      </c>
      <c r="G670" s="1">
        <v>45303</v>
      </c>
      <c r="H670" s="2">
        <v>10</v>
      </c>
      <c r="I670" s="2">
        <v>34000</v>
      </c>
      <c r="J670" s="2" t="s">
        <v>1023</v>
      </c>
      <c r="K670" t="s">
        <v>1059</v>
      </c>
      <c r="L670" t="s">
        <v>1037</v>
      </c>
      <c r="M670" t="s">
        <v>1038</v>
      </c>
      <c r="N670">
        <v>4</v>
      </c>
    </row>
    <row r="671" spans="1:14" x14ac:dyDescent="0.3">
      <c r="A671" t="s">
        <v>608</v>
      </c>
      <c r="B671">
        <v>34</v>
      </c>
      <c r="C671" t="s">
        <v>1014</v>
      </c>
      <c r="D671" s="2" t="s">
        <v>1039</v>
      </c>
      <c r="E671" t="s">
        <v>1164</v>
      </c>
      <c r="F671" s="1">
        <v>45321</v>
      </c>
      <c r="G671" s="1">
        <v>45331</v>
      </c>
      <c r="H671" s="2">
        <v>10</v>
      </c>
      <c r="I671" s="2">
        <v>45600</v>
      </c>
      <c r="J671" s="2" t="s">
        <v>1017</v>
      </c>
      <c r="K671" t="s">
        <v>1059</v>
      </c>
      <c r="L671" t="s">
        <v>1037</v>
      </c>
      <c r="M671" t="s">
        <v>1038</v>
      </c>
      <c r="N671">
        <v>5</v>
      </c>
    </row>
    <row r="672" spans="1:14" x14ac:dyDescent="0.3">
      <c r="A672" t="s">
        <v>609</v>
      </c>
      <c r="B672">
        <v>23</v>
      </c>
      <c r="C672" t="s">
        <v>1014</v>
      </c>
      <c r="D672" s="2" t="s">
        <v>1039</v>
      </c>
      <c r="E672" t="s">
        <v>1164</v>
      </c>
      <c r="F672" s="1">
        <v>45322</v>
      </c>
      <c r="G672" s="1">
        <v>45332</v>
      </c>
      <c r="H672" s="2">
        <v>10</v>
      </c>
      <c r="I672" s="2">
        <v>78000</v>
      </c>
      <c r="J672" s="2" t="s">
        <v>1017</v>
      </c>
      <c r="K672" t="s">
        <v>1059</v>
      </c>
      <c r="L672" t="s">
        <v>1018</v>
      </c>
      <c r="M672" s="2" t="s">
        <v>1038</v>
      </c>
      <c r="N672">
        <v>5</v>
      </c>
    </row>
    <row r="673" spans="1:14" x14ac:dyDescent="0.3">
      <c r="A673" t="s">
        <v>610</v>
      </c>
      <c r="B673">
        <v>34</v>
      </c>
      <c r="C673" t="s">
        <v>1014</v>
      </c>
      <c r="D673" s="2" t="s">
        <v>1039</v>
      </c>
      <c r="E673" t="s">
        <v>1164</v>
      </c>
      <c r="F673" s="1">
        <v>45323</v>
      </c>
      <c r="G673" s="1">
        <v>45333</v>
      </c>
      <c r="H673" s="2">
        <v>10</v>
      </c>
      <c r="I673" s="2">
        <v>89000</v>
      </c>
      <c r="J673" s="2" t="s">
        <v>1017</v>
      </c>
      <c r="K673" t="s">
        <v>1059</v>
      </c>
      <c r="L673" t="s">
        <v>1037</v>
      </c>
      <c r="M673" t="s">
        <v>1038</v>
      </c>
      <c r="N673">
        <v>5</v>
      </c>
    </row>
    <row r="674" spans="1:14" x14ac:dyDescent="0.3">
      <c r="A674" t="s">
        <v>611</v>
      </c>
      <c r="B674">
        <v>56</v>
      </c>
      <c r="C674" t="s">
        <v>1014</v>
      </c>
      <c r="D674" s="2" t="s">
        <v>1039</v>
      </c>
      <c r="E674" t="s">
        <v>1164</v>
      </c>
      <c r="F674" s="1">
        <v>45324</v>
      </c>
      <c r="G674" s="1">
        <v>45334</v>
      </c>
      <c r="H674" s="2">
        <v>10</v>
      </c>
      <c r="I674" s="2">
        <v>87000</v>
      </c>
      <c r="J674" s="2" t="s">
        <v>1017</v>
      </c>
      <c r="K674" t="s">
        <v>1059</v>
      </c>
      <c r="L674" t="s">
        <v>1018</v>
      </c>
      <c r="M674" t="s">
        <v>1038</v>
      </c>
      <c r="N674">
        <v>5</v>
      </c>
    </row>
    <row r="675" spans="1:14" x14ac:dyDescent="0.3">
      <c r="A675" t="s">
        <v>612</v>
      </c>
      <c r="B675">
        <v>45</v>
      </c>
      <c r="C675" t="s">
        <v>1014</v>
      </c>
      <c r="D675" s="2" t="s">
        <v>1039</v>
      </c>
      <c r="E675" t="s">
        <v>1164</v>
      </c>
      <c r="F675" s="1">
        <v>45325</v>
      </c>
      <c r="G675" s="1">
        <v>45335</v>
      </c>
      <c r="H675" s="2">
        <v>10</v>
      </c>
      <c r="I675" s="2">
        <v>76000</v>
      </c>
      <c r="J675" s="2" t="s">
        <v>1017</v>
      </c>
      <c r="K675" t="s">
        <v>1059</v>
      </c>
      <c r="L675" t="s">
        <v>1037</v>
      </c>
      <c r="M675" t="s">
        <v>1038</v>
      </c>
      <c r="N675">
        <v>5</v>
      </c>
    </row>
    <row r="676" spans="1:14" x14ac:dyDescent="0.3">
      <c r="A676" t="s">
        <v>613</v>
      </c>
      <c r="B676">
        <v>34</v>
      </c>
      <c r="C676" t="s">
        <v>1014</v>
      </c>
      <c r="D676" s="2" t="s">
        <v>1039</v>
      </c>
      <c r="E676" t="s">
        <v>1164</v>
      </c>
      <c r="F676" s="1">
        <v>45326</v>
      </c>
      <c r="G676" s="1">
        <v>45336</v>
      </c>
      <c r="H676" s="2">
        <v>10</v>
      </c>
      <c r="I676" s="2">
        <v>87000</v>
      </c>
      <c r="J676" s="2" t="s">
        <v>1017</v>
      </c>
      <c r="K676" t="s">
        <v>1059</v>
      </c>
      <c r="L676" t="s">
        <v>1018</v>
      </c>
      <c r="M676" t="s">
        <v>1038</v>
      </c>
      <c r="N676">
        <v>5</v>
      </c>
    </row>
    <row r="677" spans="1:14" x14ac:dyDescent="0.3">
      <c r="A677" t="s">
        <v>614</v>
      </c>
      <c r="B677">
        <v>23</v>
      </c>
      <c r="C677" t="s">
        <v>1014</v>
      </c>
      <c r="D677" s="2" t="s">
        <v>1039</v>
      </c>
      <c r="E677" t="s">
        <v>1164</v>
      </c>
      <c r="F677" s="1">
        <v>45327</v>
      </c>
      <c r="G677" s="1">
        <v>45337</v>
      </c>
      <c r="H677" s="2">
        <v>10</v>
      </c>
      <c r="I677" s="2">
        <v>12000</v>
      </c>
      <c r="J677" s="2" t="s">
        <v>1017</v>
      </c>
      <c r="K677" t="s">
        <v>1059</v>
      </c>
      <c r="L677" t="s">
        <v>1037</v>
      </c>
      <c r="M677" t="s">
        <v>1038</v>
      </c>
      <c r="N677">
        <v>5</v>
      </c>
    </row>
    <row r="678" spans="1:14" x14ac:dyDescent="0.3">
      <c r="A678" t="s">
        <v>615</v>
      </c>
      <c r="B678">
        <v>45</v>
      </c>
      <c r="C678" t="s">
        <v>1014</v>
      </c>
      <c r="D678" s="2" t="s">
        <v>1039</v>
      </c>
      <c r="E678" t="s">
        <v>1164</v>
      </c>
      <c r="F678" s="1">
        <v>45328</v>
      </c>
      <c r="G678" s="1">
        <v>45338</v>
      </c>
      <c r="H678" s="2">
        <v>10</v>
      </c>
      <c r="I678" s="2">
        <v>33400</v>
      </c>
      <c r="J678" s="2" t="s">
        <v>1017</v>
      </c>
      <c r="K678" t="s">
        <v>1059</v>
      </c>
      <c r="L678" t="s">
        <v>1037</v>
      </c>
      <c r="M678" t="s">
        <v>1038</v>
      </c>
      <c r="N678">
        <v>5</v>
      </c>
    </row>
    <row r="679" spans="1:14" x14ac:dyDescent="0.3">
      <c r="A679" t="s">
        <v>616</v>
      </c>
      <c r="B679">
        <v>34</v>
      </c>
      <c r="C679" t="s">
        <v>1014</v>
      </c>
      <c r="D679" s="2" t="s">
        <v>1039</v>
      </c>
      <c r="E679" t="s">
        <v>1164</v>
      </c>
      <c r="F679" s="1">
        <v>45329</v>
      </c>
      <c r="G679" s="1">
        <v>45339</v>
      </c>
      <c r="H679" s="2">
        <v>10</v>
      </c>
      <c r="I679" s="2">
        <v>45000</v>
      </c>
      <c r="J679" s="2" t="s">
        <v>1017</v>
      </c>
      <c r="K679" t="s">
        <v>1059</v>
      </c>
      <c r="L679" t="s">
        <v>1037</v>
      </c>
      <c r="M679" t="s">
        <v>1038</v>
      </c>
      <c r="N679">
        <v>5</v>
      </c>
    </row>
    <row r="680" spans="1:14" x14ac:dyDescent="0.3">
      <c r="A680" t="s">
        <v>617</v>
      </c>
      <c r="B680">
        <v>23</v>
      </c>
      <c r="C680" t="s">
        <v>1014</v>
      </c>
      <c r="D680" s="2" t="s">
        <v>1039</v>
      </c>
      <c r="E680" t="s">
        <v>1164</v>
      </c>
      <c r="F680" s="1">
        <v>45330</v>
      </c>
      <c r="G680" s="1">
        <v>45340</v>
      </c>
      <c r="H680" s="2">
        <v>10</v>
      </c>
      <c r="I680" s="2">
        <v>56000</v>
      </c>
      <c r="J680" s="2" t="s">
        <v>1017</v>
      </c>
      <c r="K680" t="s">
        <v>1059</v>
      </c>
      <c r="L680" t="s">
        <v>1018</v>
      </c>
      <c r="M680" t="s">
        <v>1038</v>
      </c>
      <c r="N680">
        <v>5</v>
      </c>
    </row>
    <row r="681" spans="1:14" x14ac:dyDescent="0.3">
      <c r="A681" t="s">
        <v>618</v>
      </c>
      <c r="B681">
        <v>34</v>
      </c>
      <c r="C681" t="s">
        <v>1014</v>
      </c>
      <c r="D681" s="2" t="s">
        <v>1039</v>
      </c>
      <c r="E681" t="s">
        <v>1164</v>
      </c>
      <c r="F681" s="1">
        <v>45331</v>
      </c>
      <c r="G681" s="1">
        <v>45341</v>
      </c>
      <c r="H681" s="2">
        <v>10</v>
      </c>
      <c r="I681" s="2">
        <v>65000</v>
      </c>
      <c r="J681" s="2" t="s">
        <v>1017</v>
      </c>
      <c r="K681" t="s">
        <v>1059</v>
      </c>
      <c r="L681" t="s">
        <v>1018</v>
      </c>
      <c r="M681" t="s">
        <v>1038</v>
      </c>
      <c r="N681">
        <v>5</v>
      </c>
    </row>
    <row r="682" spans="1:14" x14ac:dyDescent="0.3">
      <c r="A682" t="s">
        <v>619</v>
      </c>
      <c r="B682">
        <v>45</v>
      </c>
      <c r="C682" t="s">
        <v>1014</v>
      </c>
      <c r="D682" s="2" t="s">
        <v>1039</v>
      </c>
      <c r="E682" t="s">
        <v>1164</v>
      </c>
      <c r="F682" s="1">
        <v>45332</v>
      </c>
      <c r="G682" s="1">
        <v>45342</v>
      </c>
      <c r="H682" s="2">
        <v>10</v>
      </c>
      <c r="I682" s="2">
        <v>45600</v>
      </c>
      <c r="J682" s="2" t="s">
        <v>1017</v>
      </c>
      <c r="K682" t="s">
        <v>1059</v>
      </c>
      <c r="L682" t="s">
        <v>1037</v>
      </c>
      <c r="M682" t="s">
        <v>1038</v>
      </c>
      <c r="N682">
        <v>5</v>
      </c>
    </row>
    <row r="683" spans="1:14" x14ac:dyDescent="0.3">
      <c r="A683" t="s">
        <v>620</v>
      </c>
      <c r="B683">
        <v>56</v>
      </c>
      <c r="C683" t="s">
        <v>1014</v>
      </c>
      <c r="D683" s="2" t="s">
        <v>1039</v>
      </c>
      <c r="E683" t="s">
        <v>1164</v>
      </c>
      <c r="F683" s="1">
        <v>45333</v>
      </c>
      <c r="G683" s="1">
        <v>45343</v>
      </c>
      <c r="H683" s="2">
        <v>10</v>
      </c>
      <c r="I683" s="2">
        <v>34500</v>
      </c>
      <c r="J683" s="2" t="s">
        <v>1017</v>
      </c>
      <c r="K683" t="s">
        <v>1059</v>
      </c>
      <c r="L683" t="s">
        <v>1018</v>
      </c>
      <c r="M683" t="s">
        <v>1038</v>
      </c>
      <c r="N683">
        <v>5</v>
      </c>
    </row>
    <row r="684" spans="1:14" x14ac:dyDescent="0.3">
      <c r="A684" t="s">
        <v>622</v>
      </c>
      <c r="B684">
        <v>67</v>
      </c>
      <c r="C684" t="s">
        <v>1014</v>
      </c>
      <c r="D684" s="2" t="s">
        <v>1039</v>
      </c>
      <c r="E684" t="s">
        <v>1164</v>
      </c>
      <c r="F684" s="1">
        <v>45335</v>
      </c>
      <c r="G684" s="1">
        <v>45345</v>
      </c>
      <c r="H684" s="2">
        <v>10</v>
      </c>
      <c r="I684" s="2">
        <v>12300</v>
      </c>
      <c r="J684" s="2" t="s">
        <v>1017</v>
      </c>
      <c r="K684" t="s">
        <v>1059</v>
      </c>
      <c r="L684" t="s">
        <v>1018</v>
      </c>
      <c r="M684" s="2" t="s">
        <v>1038</v>
      </c>
      <c r="N684">
        <v>5</v>
      </c>
    </row>
    <row r="685" spans="1:14" x14ac:dyDescent="0.3">
      <c r="A685" t="s">
        <v>623</v>
      </c>
      <c r="B685">
        <v>78</v>
      </c>
      <c r="C685" t="s">
        <v>1014</v>
      </c>
      <c r="D685" s="2" t="s">
        <v>1039</v>
      </c>
      <c r="E685" t="s">
        <v>1164</v>
      </c>
      <c r="F685" s="1">
        <v>45336</v>
      </c>
      <c r="G685" s="1">
        <v>45346</v>
      </c>
      <c r="H685" s="2">
        <v>10</v>
      </c>
      <c r="I685" s="2">
        <v>34500</v>
      </c>
      <c r="J685" s="2" t="s">
        <v>1017</v>
      </c>
      <c r="K685" t="s">
        <v>1059</v>
      </c>
      <c r="L685" t="s">
        <v>1018</v>
      </c>
      <c r="M685" s="2" t="s">
        <v>1038</v>
      </c>
      <c r="N685">
        <v>5</v>
      </c>
    </row>
    <row r="686" spans="1:14" x14ac:dyDescent="0.3">
      <c r="A686" t="s">
        <v>624</v>
      </c>
      <c r="B686">
        <v>67</v>
      </c>
      <c r="C686" t="s">
        <v>1014</v>
      </c>
      <c r="D686" s="2" t="s">
        <v>1039</v>
      </c>
      <c r="E686" t="s">
        <v>1164</v>
      </c>
      <c r="F686" s="1">
        <v>45337</v>
      </c>
      <c r="G686" s="1">
        <v>45347</v>
      </c>
      <c r="H686" s="2">
        <v>10</v>
      </c>
      <c r="I686" s="2">
        <v>40000</v>
      </c>
      <c r="J686" s="2" t="s">
        <v>1017</v>
      </c>
      <c r="K686" t="s">
        <v>1059</v>
      </c>
      <c r="L686" t="s">
        <v>1018</v>
      </c>
      <c r="M686" s="2" t="s">
        <v>1038</v>
      </c>
      <c r="N686">
        <v>5</v>
      </c>
    </row>
    <row r="687" spans="1:14" x14ac:dyDescent="0.3">
      <c r="A687" t="s">
        <v>625</v>
      </c>
      <c r="B687">
        <v>56</v>
      </c>
      <c r="C687" t="s">
        <v>1014</v>
      </c>
      <c r="D687" s="2" t="s">
        <v>1039</v>
      </c>
      <c r="E687" t="s">
        <v>1164</v>
      </c>
      <c r="F687" s="1">
        <v>45338</v>
      </c>
      <c r="G687" s="1">
        <v>45348</v>
      </c>
      <c r="H687" s="2">
        <v>10</v>
      </c>
      <c r="I687" s="2">
        <v>12000</v>
      </c>
      <c r="J687" s="2" t="s">
        <v>1017</v>
      </c>
      <c r="K687" t="s">
        <v>1059</v>
      </c>
      <c r="L687" t="s">
        <v>1037</v>
      </c>
      <c r="M687" s="2" t="s">
        <v>1038</v>
      </c>
      <c r="N687">
        <v>5</v>
      </c>
    </row>
    <row r="688" spans="1:14" x14ac:dyDescent="0.3">
      <c r="A688" t="s">
        <v>626</v>
      </c>
      <c r="B688">
        <v>45</v>
      </c>
      <c r="C688" t="s">
        <v>1014</v>
      </c>
      <c r="D688" s="2" t="s">
        <v>1039</v>
      </c>
      <c r="E688" t="s">
        <v>1164</v>
      </c>
      <c r="F688" s="1">
        <v>45339</v>
      </c>
      <c r="G688" s="1">
        <v>45349</v>
      </c>
      <c r="H688" s="2">
        <v>10</v>
      </c>
      <c r="I688" s="2">
        <v>23000</v>
      </c>
      <c r="J688" s="2" t="s">
        <v>1017</v>
      </c>
      <c r="K688" t="s">
        <v>1059</v>
      </c>
      <c r="L688" t="s">
        <v>1018</v>
      </c>
      <c r="M688" s="2" t="s">
        <v>1038</v>
      </c>
      <c r="N688">
        <v>5</v>
      </c>
    </row>
    <row r="689" spans="1:14" x14ac:dyDescent="0.3">
      <c r="A689" t="s">
        <v>627</v>
      </c>
      <c r="B689">
        <v>43</v>
      </c>
      <c r="C689" t="s">
        <v>1014</v>
      </c>
      <c r="D689" s="2" t="s">
        <v>1039</v>
      </c>
      <c r="E689" t="s">
        <v>1164</v>
      </c>
      <c r="F689" s="1">
        <v>45340</v>
      </c>
      <c r="G689" s="1">
        <v>45350</v>
      </c>
      <c r="H689" s="2">
        <v>10</v>
      </c>
      <c r="I689" s="2">
        <v>45000</v>
      </c>
      <c r="J689" s="2" t="s">
        <v>1017</v>
      </c>
      <c r="K689" t="s">
        <v>1059</v>
      </c>
      <c r="L689" t="s">
        <v>1037</v>
      </c>
      <c r="M689" s="2" t="s">
        <v>1038</v>
      </c>
      <c r="N689">
        <v>5</v>
      </c>
    </row>
    <row r="690" spans="1:14" x14ac:dyDescent="0.3">
      <c r="A690" t="s">
        <v>638</v>
      </c>
      <c r="B690">
        <v>42</v>
      </c>
      <c r="C690" t="s">
        <v>1014</v>
      </c>
      <c r="D690" s="2" t="s">
        <v>1039</v>
      </c>
      <c r="E690" t="s">
        <v>1164</v>
      </c>
      <c r="F690" s="1">
        <v>45351</v>
      </c>
      <c r="G690" s="1">
        <v>45361</v>
      </c>
      <c r="H690" s="2">
        <v>10</v>
      </c>
      <c r="I690" s="2">
        <v>23000</v>
      </c>
      <c r="J690" s="2" t="s">
        <v>1023</v>
      </c>
      <c r="K690" t="s">
        <v>1059</v>
      </c>
      <c r="L690" t="s">
        <v>1018</v>
      </c>
      <c r="M690" s="2" t="s">
        <v>1038</v>
      </c>
      <c r="N690">
        <v>5</v>
      </c>
    </row>
    <row r="691" spans="1:14" x14ac:dyDescent="0.3">
      <c r="A691" t="s">
        <v>639</v>
      </c>
      <c r="B691">
        <v>43</v>
      </c>
      <c r="C691" t="s">
        <v>1014</v>
      </c>
      <c r="D691" s="2" t="s">
        <v>1039</v>
      </c>
      <c r="E691" t="s">
        <v>1164</v>
      </c>
      <c r="F691" s="1">
        <v>45352</v>
      </c>
      <c r="G691" s="1">
        <v>45362</v>
      </c>
      <c r="H691" s="2">
        <v>10</v>
      </c>
      <c r="I691" s="2">
        <v>24000</v>
      </c>
      <c r="J691" s="2" t="s">
        <v>1023</v>
      </c>
      <c r="K691" t="s">
        <v>1059</v>
      </c>
      <c r="L691" t="s">
        <v>1018</v>
      </c>
      <c r="M691" s="2" t="s">
        <v>1038</v>
      </c>
      <c r="N691">
        <v>5</v>
      </c>
    </row>
    <row r="692" spans="1:14" x14ac:dyDescent="0.3">
      <c r="A692" t="s">
        <v>640</v>
      </c>
      <c r="B692">
        <v>41</v>
      </c>
      <c r="C692" t="s">
        <v>1014</v>
      </c>
      <c r="D692" s="2" t="s">
        <v>1039</v>
      </c>
      <c r="E692" t="s">
        <v>1164</v>
      </c>
      <c r="F692" s="1">
        <v>45353</v>
      </c>
      <c r="G692" s="1">
        <v>45363</v>
      </c>
      <c r="H692" s="2">
        <v>10</v>
      </c>
      <c r="I692" s="2">
        <v>25000</v>
      </c>
      <c r="J692" s="2" t="s">
        <v>1023</v>
      </c>
      <c r="K692" t="s">
        <v>1059</v>
      </c>
      <c r="L692" t="s">
        <v>1037</v>
      </c>
      <c r="M692" s="2" t="s">
        <v>1038</v>
      </c>
      <c r="N692">
        <v>5</v>
      </c>
    </row>
    <row r="693" spans="1:14" x14ac:dyDescent="0.3">
      <c r="A693" t="s">
        <v>641</v>
      </c>
      <c r="B693">
        <v>45</v>
      </c>
      <c r="C693" t="s">
        <v>1014</v>
      </c>
      <c r="D693" s="2" t="s">
        <v>1039</v>
      </c>
      <c r="E693" t="s">
        <v>1164</v>
      </c>
      <c r="F693" s="1">
        <v>45354</v>
      </c>
      <c r="G693" s="1">
        <v>45364</v>
      </c>
      <c r="H693" s="2">
        <v>10</v>
      </c>
      <c r="I693" s="2">
        <v>27000</v>
      </c>
      <c r="J693" s="2" t="s">
        <v>1023</v>
      </c>
      <c r="K693" t="s">
        <v>1059</v>
      </c>
      <c r="L693" t="s">
        <v>1018</v>
      </c>
      <c r="M693" s="2" t="s">
        <v>1038</v>
      </c>
      <c r="N693">
        <v>5</v>
      </c>
    </row>
    <row r="694" spans="1:14" x14ac:dyDescent="0.3">
      <c r="A694" t="s">
        <v>642</v>
      </c>
      <c r="B694">
        <v>54</v>
      </c>
      <c r="C694" t="s">
        <v>1014</v>
      </c>
      <c r="D694" s="2" t="s">
        <v>1039</v>
      </c>
      <c r="E694" t="s">
        <v>1164</v>
      </c>
      <c r="F694" s="1">
        <v>45355</v>
      </c>
      <c r="G694" s="1">
        <v>45365</v>
      </c>
      <c r="H694" s="2">
        <v>10</v>
      </c>
      <c r="I694" s="2">
        <v>48000</v>
      </c>
      <c r="J694" s="2" t="s">
        <v>1023</v>
      </c>
      <c r="K694" t="s">
        <v>1059</v>
      </c>
      <c r="L694" t="s">
        <v>1037</v>
      </c>
      <c r="M694" s="2" t="s">
        <v>1038</v>
      </c>
      <c r="N694">
        <v>5</v>
      </c>
    </row>
    <row r="695" spans="1:14" x14ac:dyDescent="0.3">
      <c r="A695" t="s">
        <v>643</v>
      </c>
      <c r="B695">
        <v>34</v>
      </c>
      <c r="C695" t="s">
        <v>1014</v>
      </c>
      <c r="D695" s="2" t="s">
        <v>1039</v>
      </c>
      <c r="E695" t="s">
        <v>1164</v>
      </c>
      <c r="F695" s="1">
        <v>45356</v>
      </c>
      <c r="G695" s="1">
        <v>45366</v>
      </c>
      <c r="H695" s="2">
        <v>10</v>
      </c>
      <c r="I695" s="2">
        <v>50000</v>
      </c>
      <c r="J695" s="2" t="s">
        <v>1023</v>
      </c>
      <c r="K695" t="s">
        <v>1059</v>
      </c>
      <c r="L695" t="s">
        <v>1018</v>
      </c>
      <c r="M695" s="2" t="s">
        <v>1038</v>
      </c>
      <c r="N695">
        <v>5</v>
      </c>
    </row>
    <row r="696" spans="1:14" x14ac:dyDescent="0.3">
      <c r="A696" t="s">
        <v>644</v>
      </c>
      <c r="B696">
        <v>32</v>
      </c>
      <c r="C696" t="s">
        <v>1014</v>
      </c>
      <c r="D696" s="2" t="s">
        <v>1039</v>
      </c>
      <c r="E696" t="s">
        <v>1165</v>
      </c>
      <c r="F696" s="1">
        <v>45357</v>
      </c>
      <c r="G696" s="1">
        <v>45367</v>
      </c>
      <c r="H696" s="2">
        <v>10</v>
      </c>
      <c r="I696" s="2">
        <v>68000</v>
      </c>
      <c r="J696" s="2" t="s">
        <v>1023</v>
      </c>
      <c r="K696" t="s">
        <v>1059</v>
      </c>
      <c r="L696" t="s">
        <v>1037</v>
      </c>
      <c r="M696" s="2" t="s">
        <v>1038</v>
      </c>
      <c r="N696">
        <v>5</v>
      </c>
    </row>
    <row r="697" spans="1:14" x14ac:dyDescent="0.3">
      <c r="A697" t="s">
        <v>645</v>
      </c>
      <c r="B697">
        <v>32</v>
      </c>
      <c r="C697" t="s">
        <v>1014</v>
      </c>
      <c r="D697" s="2" t="s">
        <v>1039</v>
      </c>
      <c r="E697" t="s">
        <v>1137</v>
      </c>
      <c r="F697" s="1">
        <v>45358</v>
      </c>
      <c r="G697" s="1">
        <v>45368</v>
      </c>
      <c r="H697" s="2">
        <v>10</v>
      </c>
      <c r="I697" s="2">
        <v>34000</v>
      </c>
      <c r="J697" s="2" t="s">
        <v>1023</v>
      </c>
      <c r="K697" t="s">
        <v>1059</v>
      </c>
      <c r="L697" t="s">
        <v>1037</v>
      </c>
      <c r="M697" s="2" t="s">
        <v>1038</v>
      </c>
      <c r="N697">
        <v>5</v>
      </c>
    </row>
    <row r="698" spans="1:14" x14ac:dyDescent="0.3">
      <c r="A698" t="s">
        <v>646</v>
      </c>
      <c r="B698">
        <v>31</v>
      </c>
      <c r="C698" t="s">
        <v>1014</v>
      </c>
      <c r="D698" s="2" t="s">
        <v>1039</v>
      </c>
      <c r="E698" t="s">
        <v>1137</v>
      </c>
      <c r="F698" s="1">
        <v>45359</v>
      </c>
      <c r="G698" s="1">
        <v>45369</v>
      </c>
      <c r="H698" s="2">
        <v>10</v>
      </c>
      <c r="I698" s="2">
        <v>56000</v>
      </c>
      <c r="J698" s="2" t="s">
        <v>1023</v>
      </c>
      <c r="K698" t="s">
        <v>1059</v>
      </c>
      <c r="L698" t="s">
        <v>1037</v>
      </c>
      <c r="M698" s="2" t="s">
        <v>1038</v>
      </c>
      <c r="N698">
        <v>5</v>
      </c>
    </row>
    <row r="699" spans="1:14" x14ac:dyDescent="0.3">
      <c r="A699" t="s">
        <v>647</v>
      </c>
      <c r="B699">
        <v>35</v>
      </c>
      <c r="C699" t="s">
        <v>1014</v>
      </c>
      <c r="D699" s="2" t="s">
        <v>1039</v>
      </c>
      <c r="E699" t="s">
        <v>1137</v>
      </c>
      <c r="F699" s="1">
        <v>45360</v>
      </c>
      <c r="G699" s="1">
        <v>45370</v>
      </c>
      <c r="H699" s="2">
        <v>10</v>
      </c>
      <c r="I699" s="2">
        <v>78000</v>
      </c>
      <c r="J699" s="2" t="s">
        <v>1023</v>
      </c>
      <c r="K699" t="s">
        <v>1059</v>
      </c>
      <c r="L699" t="s">
        <v>1018</v>
      </c>
      <c r="M699" s="2" t="s">
        <v>1038</v>
      </c>
      <c r="N699">
        <v>5</v>
      </c>
    </row>
    <row r="700" spans="1:14" x14ac:dyDescent="0.3">
      <c r="A700" t="s">
        <v>648</v>
      </c>
      <c r="B700">
        <v>36</v>
      </c>
      <c r="C700" t="s">
        <v>1014</v>
      </c>
      <c r="D700" s="2" t="s">
        <v>1039</v>
      </c>
      <c r="E700" t="s">
        <v>1137</v>
      </c>
      <c r="F700" s="1">
        <v>45361</v>
      </c>
      <c r="G700" s="1">
        <v>45371</v>
      </c>
      <c r="H700" s="2">
        <v>10</v>
      </c>
      <c r="I700" s="2">
        <v>98000</v>
      </c>
      <c r="J700" s="2" t="s">
        <v>1023</v>
      </c>
      <c r="K700" t="s">
        <v>1059</v>
      </c>
      <c r="L700" t="s">
        <v>1018</v>
      </c>
      <c r="M700" s="2" t="s">
        <v>1038</v>
      </c>
      <c r="N700">
        <v>5</v>
      </c>
    </row>
    <row r="701" spans="1:14" x14ac:dyDescent="0.3">
      <c r="A701" t="s">
        <v>649</v>
      </c>
      <c r="B701">
        <v>78</v>
      </c>
      <c r="C701" t="s">
        <v>1014</v>
      </c>
      <c r="D701" s="2" t="s">
        <v>1039</v>
      </c>
      <c r="E701" t="s">
        <v>1137</v>
      </c>
      <c r="F701" s="1">
        <v>45362</v>
      </c>
      <c r="G701" s="1">
        <v>45372</v>
      </c>
      <c r="H701" s="2">
        <v>10</v>
      </c>
      <c r="I701" s="2">
        <v>34000</v>
      </c>
      <c r="J701" s="2" t="s">
        <v>1023</v>
      </c>
      <c r="K701" t="s">
        <v>1059</v>
      </c>
      <c r="L701" t="s">
        <v>1037</v>
      </c>
      <c r="M701" s="2" t="s">
        <v>1038</v>
      </c>
      <c r="N701">
        <v>5</v>
      </c>
    </row>
    <row r="702" spans="1:14" x14ac:dyDescent="0.3">
      <c r="A702" t="s">
        <v>650</v>
      </c>
      <c r="B702">
        <v>67</v>
      </c>
      <c r="C702" t="s">
        <v>1014</v>
      </c>
      <c r="D702" s="2" t="s">
        <v>1039</v>
      </c>
      <c r="E702" t="s">
        <v>1137</v>
      </c>
      <c r="F702" s="1">
        <v>45363</v>
      </c>
      <c r="G702" s="1">
        <v>45373</v>
      </c>
      <c r="H702" s="2">
        <v>10</v>
      </c>
      <c r="I702" s="2">
        <v>56000</v>
      </c>
      <c r="J702" s="2" t="s">
        <v>1023</v>
      </c>
      <c r="K702" t="s">
        <v>1059</v>
      </c>
      <c r="L702" t="s">
        <v>1018</v>
      </c>
      <c r="M702" s="2" t="s">
        <v>1038</v>
      </c>
      <c r="N702">
        <v>5</v>
      </c>
    </row>
    <row r="703" spans="1:14" x14ac:dyDescent="0.3">
      <c r="A703" t="s">
        <v>651</v>
      </c>
      <c r="B703">
        <v>65</v>
      </c>
      <c r="C703" t="s">
        <v>1014</v>
      </c>
      <c r="D703" s="2" t="s">
        <v>1039</v>
      </c>
      <c r="E703" t="s">
        <v>1137</v>
      </c>
      <c r="F703" s="1">
        <v>45364</v>
      </c>
      <c r="G703" s="1">
        <v>45374</v>
      </c>
      <c r="H703" s="2">
        <v>10</v>
      </c>
      <c r="I703" s="2">
        <v>78000</v>
      </c>
      <c r="J703" s="2" t="s">
        <v>1023</v>
      </c>
      <c r="K703" t="s">
        <v>1059</v>
      </c>
      <c r="L703" t="s">
        <v>1037</v>
      </c>
      <c r="M703" s="2" t="s">
        <v>1038</v>
      </c>
      <c r="N703">
        <v>5</v>
      </c>
    </row>
    <row r="704" spans="1:14" x14ac:dyDescent="0.3">
      <c r="A704" t="s">
        <v>652</v>
      </c>
      <c r="B704">
        <v>56</v>
      </c>
      <c r="C704" t="s">
        <v>1014</v>
      </c>
      <c r="D704" s="2" t="s">
        <v>1039</v>
      </c>
      <c r="E704" t="s">
        <v>1137</v>
      </c>
      <c r="F704" s="1">
        <v>45365</v>
      </c>
      <c r="G704" s="1">
        <v>45375</v>
      </c>
      <c r="H704" s="2">
        <v>10</v>
      </c>
      <c r="I704" s="2">
        <v>98000</v>
      </c>
      <c r="J704" s="2" t="s">
        <v>1023</v>
      </c>
      <c r="K704" t="s">
        <v>1059</v>
      </c>
      <c r="L704" t="s">
        <v>1018</v>
      </c>
      <c r="M704" s="2" t="s">
        <v>1038</v>
      </c>
      <c r="N704">
        <v>5</v>
      </c>
    </row>
    <row r="705" spans="1:14" x14ac:dyDescent="0.3">
      <c r="A705" t="s">
        <v>653</v>
      </c>
      <c r="B705">
        <v>45</v>
      </c>
      <c r="C705" t="s">
        <v>1014</v>
      </c>
      <c r="D705" s="2" t="s">
        <v>1039</v>
      </c>
      <c r="E705" t="s">
        <v>1137</v>
      </c>
      <c r="F705" s="1">
        <v>45366</v>
      </c>
      <c r="G705" s="1">
        <v>45376</v>
      </c>
      <c r="H705" s="2">
        <v>10</v>
      </c>
      <c r="I705" s="2">
        <v>12000</v>
      </c>
      <c r="J705" s="2" t="s">
        <v>1023</v>
      </c>
      <c r="K705" t="s">
        <v>1059</v>
      </c>
      <c r="L705" t="s">
        <v>1018</v>
      </c>
      <c r="M705" s="2" t="s">
        <v>1038</v>
      </c>
      <c r="N705">
        <v>5</v>
      </c>
    </row>
    <row r="706" spans="1:14" x14ac:dyDescent="0.3">
      <c r="A706" t="s">
        <v>654</v>
      </c>
      <c r="B706">
        <v>43</v>
      </c>
      <c r="C706" t="s">
        <v>1014</v>
      </c>
      <c r="D706" s="2" t="s">
        <v>1039</v>
      </c>
      <c r="E706" t="s">
        <v>1137</v>
      </c>
      <c r="F706" s="1">
        <v>45367</v>
      </c>
      <c r="G706" s="1">
        <v>45377</v>
      </c>
      <c r="H706" s="2">
        <v>10</v>
      </c>
      <c r="I706" s="2">
        <v>45000</v>
      </c>
      <c r="J706" s="2" t="s">
        <v>1023</v>
      </c>
      <c r="K706" t="s">
        <v>1059</v>
      </c>
      <c r="L706" t="s">
        <v>1018</v>
      </c>
      <c r="M706" s="2" t="s">
        <v>1038</v>
      </c>
      <c r="N706">
        <v>5</v>
      </c>
    </row>
    <row r="707" spans="1:14" x14ac:dyDescent="0.3">
      <c r="A707" t="s">
        <v>655</v>
      </c>
      <c r="B707">
        <v>42</v>
      </c>
      <c r="C707" t="s">
        <v>1014</v>
      </c>
      <c r="D707" s="2" t="s">
        <v>1039</v>
      </c>
      <c r="E707" t="s">
        <v>1137</v>
      </c>
      <c r="F707" s="1">
        <v>45368</v>
      </c>
      <c r="G707" s="1">
        <v>45378</v>
      </c>
      <c r="H707" s="2">
        <v>10</v>
      </c>
      <c r="I707" s="2">
        <v>45000</v>
      </c>
      <c r="J707" s="2" t="s">
        <v>1023</v>
      </c>
      <c r="K707" t="s">
        <v>1059</v>
      </c>
      <c r="L707" t="s">
        <v>1037</v>
      </c>
      <c r="M707" s="2" t="s">
        <v>1038</v>
      </c>
      <c r="N707">
        <v>5</v>
      </c>
    </row>
    <row r="708" spans="1:14" x14ac:dyDescent="0.3">
      <c r="A708" t="s">
        <v>656</v>
      </c>
      <c r="B708">
        <v>41</v>
      </c>
      <c r="C708" t="s">
        <v>1014</v>
      </c>
      <c r="D708" s="2" t="s">
        <v>1039</v>
      </c>
      <c r="E708" t="s">
        <v>1137</v>
      </c>
      <c r="F708" s="1">
        <v>45369</v>
      </c>
      <c r="G708" s="1">
        <v>45379</v>
      </c>
      <c r="H708" s="2">
        <v>10</v>
      </c>
      <c r="I708" s="2">
        <v>56000</v>
      </c>
      <c r="J708" s="2" t="s">
        <v>1023</v>
      </c>
      <c r="K708" t="s">
        <v>1059</v>
      </c>
      <c r="L708" t="s">
        <v>1018</v>
      </c>
      <c r="M708" s="2" t="s">
        <v>1038</v>
      </c>
      <c r="N708">
        <v>5</v>
      </c>
    </row>
    <row r="709" spans="1:14" x14ac:dyDescent="0.3">
      <c r="A709" t="s">
        <v>657</v>
      </c>
      <c r="B709">
        <v>34</v>
      </c>
      <c r="C709" t="s">
        <v>1014</v>
      </c>
      <c r="D709" s="2" t="s">
        <v>1039</v>
      </c>
      <c r="E709" t="s">
        <v>1137</v>
      </c>
      <c r="F709" s="1">
        <v>45370</v>
      </c>
      <c r="G709" s="1">
        <v>45380</v>
      </c>
      <c r="H709" s="2">
        <v>10</v>
      </c>
      <c r="I709" s="2">
        <v>78000</v>
      </c>
      <c r="J709" s="2" t="s">
        <v>1023</v>
      </c>
      <c r="K709" t="s">
        <v>1059</v>
      </c>
      <c r="L709" t="s">
        <v>1037</v>
      </c>
      <c r="M709" s="2" t="s">
        <v>1038</v>
      </c>
      <c r="N709">
        <v>5</v>
      </c>
    </row>
    <row r="710" spans="1:14" x14ac:dyDescent="0.3">
      <c r="A710" t="s">
        <v>658</v>
      </c>
      <c r="B710">
        <v>56</v>
      </c>
      <c r="C710" t="s">
        <v>1014</v>
      </c>
      <c r="D710" s="2" t="s">
        <v>1039</v>
      </c>
      <c r="E710" t="s">
        <v>1137</v>
      </c>
      <c r="F710" s="1">
        <v>45371</v>
      </c>
      <c r="G710" s="1">
        <v>45381</v>
      </c>
      <c r="H710" s="2">
        <v>10</v>
      </c>
      <c r="I710" s="2">
        <v>76000</v>
      </c>
      <c r="J710" s="2" t="s">
        <v>1023</v>
      </c>
      <c r="K710" t="s">
        <v>1059</v>
      </c>
      <c r="L710" t="s">
        <v>1018</v>
      </c>
      <c r="M710" s="2" t="s">
        <v>1038</v>
      </c>
      <c r="N710">
        <v>5</v>
      </c>
    </row>
    <row r="711" spans="1:14" x14ac:dyDescent="0.3">
      <c r="A711" t="s">
        <v>659</v>
      </c>
      <c r="B711">
        <v>78</v>
      </c>
      <c r="C711" t="s">
        <v>1014</v>
      </c>
      <c r="D711" s="2" t="s">
        <v>1039</v>
      </c>
      <c r="E711" t="s">
        <v>1137</v>
      </c>
      <c r="F711" s="1">
        <v>45372</v>
      </c>
      <c r="G711" s="1">
        <v>45382</v>
      </c>
      <c r="H711" s="2">
        <v>10</v>
      </c>
      <c r="I711" s="2">
        <v>34000</v>
      </c>
      <c r="J711" s="2" t="s">
        <v>1023</v>
      </c>
      <c r="K711" t="s">
        <v>1059</v>
      </c>
      <c r="L711" t="s">
        <v>1037</v>
      </c>
      <c r="M711" s="2" t="s">
        <v>1038</v>
      </c>
      <c r="N711">
        <v>5</v>
      </c>
    </row>
    <row r="712" spans="1:14" x14ac:dyDescent="0.3">
      <c r="A712" t="s">
        <v>660</v>
      </c>
      <c r="B712">
        <v>90</v>
      </c>
      <c r="C712" t="s">
        <v>1014</v>
      </c>
      <c r="D712" s="2" t="s">
        <v>1039</v>
      </c>
      <c r="E712" t="s">
        <v>1137</v>
      </c>
      <c r="F712" s="1">
        <v>45373</v>
      </c>
      <c r="G712" s="1">
        <v>45383</v>
      </c>
      <c r="H712" s="2">
        <v>10</v>
      </c>
      <c r="I712" s="2">
        <v>12000</v>
      </c>
      <c r="J712" s="2" t="s">
        <v>1023</v>
      </c>
      <c r="K712" t="s">
        <v>1059</v>
      </c>
      <c r="L712" t="s">
        <v>1037</v>
      </c>
      <c r="M712" s="2" t="s">
        <v>1038</v>
      </c>
      <c r="N712">
        <v>5</v>
      </c>
    </row>
    <row r="713" spans="1:14" x14ac:dyDescent="0.3">
      <c r="A713" t="s">
        <v>661</v>
      </c>
      <c r="B713">
        <v>12</v>
      </c>
      <c r="C713" t="s">
        <v>1014</v>
      </c>
      <c r="D713" s="2" t="s">
        <v>1039</v>
      </c>
      <c r="E713" t="s">
        <v>1137</v>
      </c>
      <c r="F713" s="1">
        <v>45374</v>
      </c>
      <c r="G713" s="1">
        <v>45384</v>
      </c>
      <c r="H713" s="2">
        <v>10</v>
      </c>
      <c r="I713" s="2">
        <v>34000</v>
      </c>
      <c r="J713" s="2" t="s">
        <v>1023</v>
      </c>
      <c r="K713" t="s">
        <v>1059</v>
      </c>
      <c r="L713" t="s">
        <v>1037</v>
      </c>
      <c r="M713" s="2" t="s">
        <v>1038</v>
      </c>
      <c r="N713">
        <v>5</v>
      </c>
    </row>
    <row r="714" spans="1:14" x14ac:dyDescent="0.3">
      <c r="A714" t="s">
        <v>662</v>
      </c>
      <c r="B714">
        <v>34</v>
      </c>
      <c r="C714" t="s">
        <v>1014</v>
      </c>
      <c r="D714" s="2" t="s">
        <v>1039</v>
      </c>
      <c r="E714" t="s">
        <v>1137</v>
      </c>
      <c r="F714" s="1">
        <v>45375</v>
      </c>
      <c r="G714" s="1">
        <v>45385</v>
      </c>
      <c r="H714" s="2">
        <v>10</v>
      </c>
      <c r="I714" s="2">
        <v>45000</v>
      </c>
      <c r="J714" s="2" t="s">
        <v>1023</v>
      </c>
      <c r="K714" t="s">
        <v>1059</v>
      </c>
      <c r="L714" t="s">
        <v>1018</v>
      </c>
      <c r="M714" s="2" t="s">
        <v>1038</v>
      </c>
      <c r="N714">
        <v>5</v>
      </c>
    </row>
    <row r="715" spans="1:14" x14ac:dyDescent="0.3">
      <c r="A715" t="s">
        <v>663</v>
      </c>
      <c r="B715">
        <v>56</v>
      </c>
      <c r="C715" t="s">
        <v>1014</v>
      </c>
      <c r="D715" s="2" t="s">
        <v>1039</v>
      </c>
      <c r="E715" t="s">
        <v>1137</v>
      </c>
      <c r="F715" s="1">
        <v>45376</v>
      </c>
      <c r="G715" s="1">
        <v>45386</v>
      </c>
      <c r="H715" s="2">
        <v>10</v>
      </c>
      <c r="I715" s="2">
        <v>12000</v>
      </c>
      <c r="J715" s="2" t="s">
        <v>1023</v>
      </c>
      <c r="K715" t="s">
        <v>1059</v>
      </c>
      <c r="L715" t="s">
        <v>1018</v>
      </c>
      <c r="M715" s="2" t="s">
        <v>1038</v>
      </c>
      <c r="N715">
        <v>5</v>
      </c>
    </row>
    <row r="716" spans="1:14" x14ac:dyDescent="0.3">
      <c r="A716" t="s">
        <v>664</v>
      </c>
      <c r="B716">
        <v>43</v>
      </c>
      <c r="C716" t="s">
        <v>1014</v>
      </c>
      <c r="D716" s="2" t="s">
        <v>1039</v>
      </c>
      <c r="E716" t="s">
        <v>1137</v>
      </c>
      <c r="F716" s="1">
        <v>45377</v>
      </c>
      <c r="G716" s="1">
        <v>45387</v>
      </c>
      <c r="H716" s="2">
        <v>10</v>
      </c>
      <c r="I716" s="2">
        <v>34000</v>
      </c>
      <c r="J716" s="2" t="s">
        <v>1023</v>
      </c>
      <c r="K716" t="s">
        <v>1059</v>
      </c>
      <c r="L716" t="s">
        <v>1037</v>
      </c>
      <c r="M716" s="2" t="s">
        <v>1038</v>
      </c>
      <c r="N716">
        <v>5</v>
      </c>
    </row>
    <row r="717" spans="1:14" x14ac:dyDescent="0.3">
      <c r="A717" t="s">
        <v>665</v>
      </c>
      <c r="B717">
        <v>32</v>
      </c>
      <c r="C717" t="s">
        <v>1014</v>
      </c>
      <c r="D717" s="2" t="s">
        <v>1039</v>
      </c>
      <c r="E717" t="s">
        <v>1137</v>
      </c>
      <c r="F717" s="1">
        <v>45378</v>
      </c>
      <c r="G717" s="1">
        <v>45388</v>
      </c>
      <c r="H717" s="2">
        <v>10</v>
      </c>
      <c r="I717" s="2">
        <v>5600</v>
      </c>
      <c r="J717" s="2" t="s">
        <v>1023</v>
      </c>
      <c r="K717" t="s">
        <v>1059</v>
      </c>
      <c r="L717" t="s">
        <v>1018</v>
      </c>
      <c r="M717" s="2" t="s">
        <v>1038</v>
      </c>
      <c r="N717">
        <v>5</v>
      </c>
    </row>
    <row r="718" spans="1:14" x14ac:dyDescent="0.3">
      <c r="A718" t="s">
        <v>731</v>
      </c>
      <c r="B718">
        <v>34</v>
      </c>
      <c r="C718" t="s">
        <v>1020</v>
      </c>
      <c r="D718" s="2" t="s">
        <v>1025</v>
      </c>
      <c r="E718" t="s">
        <v>1055</v>
      </c>
      <c r="F718" s="1">
        <v>45444</v>
      </c>
      <c r="G718" s="1">
        <v>45459</v>
      </c>
      <c r="H718" s="2">
        <v>15</v>
      </c>
      <c r="I718" s="2">
        <v>120000</v>
      </c>
      <c r="J718" s="2" t="s">
        <v>1027</v>
      </c>
      <c r="K718" t="s">
        <v>1046</v>
      </c>
      <c r="L718" t="s">
        <v>1018</v>
      </c>
      <c r="M718" s="2" t="s">
        <v>1038</v>
      </c>
      <c r="N718">
        <v>3.6</v>
      </c>
    </row>
    <row r="719" spans="1:14" x14ac:dyDescent="0.3">
      <c r="A719" t="s">
        <v>732</v>
      </c>
      <c r="B719">
        <v>23</v>
      </c>
      <c r="C719" t="s">
        <v>1020</v>
      </c>
      <c r="D719" s="2" t="s">
        <v>1025</v>
      </c>
      <c r="E719" t="s">
        <v>1055</v>
      </c>
      <c r="F719" s="1">
        <v>45445</v>
      </c>
      <c r="G719" s="1">
        <v>45460</v>
      </c>
      <c r="H719" s="2">
        <v>15</v>
      </c>
      <c r="I719" s="2">
        <v>230000</v>
      </c>
      <c r="J719" s="2" t="s">
        <v>1027</v>
      </c>
      <c r="K719" t="s">
        <v>1046</v>
      </c>
      <c r="L719" t="s">
        <v>1037</v>
      </c>
      <c r="M719" s="2" t="s">
        <v>1038</v>
      </c>
      <c r="N719">
        <v>3.6</v>
      </c>
    </row>
    <row r="720" spans="1:14" x14ac:dyDescent="0.3">
      <c r="A720" t="s">
        <v>733</v>
      </c>
      <c r="B720">
        <v>12</v>
      </c>
      <c r="C720" t="s">
        <v>1020</v>
      </c>
      <c r="D720" s="2" t="s">
        <v>1025</v>
      </c>
      <c r="E720" t="s">
        <v>1055</v>
      </c>
      <c r="F720" s="1">
        <v>45446</v>
      </c>
      <c r="G720" s="1">
        <v>45461</v>
      </c>
      <c r="H720" s="2">
        <v>15</v>
      </c>
      <c r="I720" s="2">
        <v>145000</v>
      </c>
      <c r="J720" s="2" t="s">
        <v>1027</v>
      </c>
      <c r="K720" t="s">
        <v>1046</v>
      </c>
      <c r="L720" t="s">
        <v>1018</v>
      </c>
      <c r="M720" s="2" t="s">
        <v>1038</v>
      </c>
      <c r="N720">
        <v>3.6</v>
      </c>
    </row>
    <row r="721" spans="1:14" x14ac:dyDescent="0.3">
      <c r="A721" t="s">
        <v>734</v>
      </c>
      <c r="B721">
        <v>23</v>
      </c>
      <c r="C721" t="s">
        <v>1020</v>
      </c>
      <c r="D721" s="2" t="s">
        <v>1025</v>
      </c>
      <c r="E721" t="s">
        <v>1055</v>
      </c>
      <c r="F721" s="1">
        <v>45447</v>
      </c>
      <c r="G721" s="1">
        <v>45462</v>
      </c>
      <c r="H721" s="2">
        <v>15</v>
      </c>
      <c r="I721" s="2">
        <v>230000</v>
      </c>
      <c r="J721" s="2" t="s">
        <v>1027</v>
      </c>
      <c r="K721" t="s">
        <v>1046</v>
      </c>
      <c r="L721" t="s">
        <v>1037</v>
      </c>
      <c r="M721" s="2" t="s">
        <v>1038</v>
      </c>
      <c r="N721">
        <v>3.6</v>
      </c>
    </row>
    <row r="722" spans="1:14" x14ac:dyDescent="0.3">
      <c r="A722" t="s">
        <v>735</v>
      </c>
      <c r="B722">
        <v>24</v>
      </c>
      <c r="C722" t="s">
        <v>1020</v>
      </c>
      <c r="D722" s="2" t="s">
        <v>1025</v>
      </c>
      <c r="E722" t="s">
        <v>1055</v>
      </c>
      <c r="F722" s="1">
        <v>45448</v>
      </c>
      <c r="G722" s="1">
        <v>45463</v>
      </c>
      <c r="H722" s="2">
        <v>15</v>
      </c>
      <c r="I722" s="2">
        <v>120000</v>
      </c>
      <c r="J722" s="2" t="s">
        <v>1027</v>
      </c>
      <c r="K722" t="s">
        <v>1046</v>
      </c>
      <c r="L722" t="s">
        <v>1037</v>
      </c>
      <c r="M722" s="2" t="s">
        <v>1038</v>
      </c>
      <c r="N722">
        <v>3.6</v>
      </c>
    </row>
    <row r="723" spans="1:14" x14ac:dyDescent="0.3">
      <c r="A723" t="s">
        <v>736</v>
      </c>
      <c r="B723">
        <v>25</v>
      </c>
      <c r="C723" t="s">
        <v>1020</v>
      </c>
      <c r="D723" s="2" t="s">
        <v>1025</v>
      </c>
      <c r="E723" t="s">
        <v>1055</v>
      </c>
      <c r="F723" s="1">
        <v>45449</v>
      </c>
      <c r="G723" s="1">
        <v>45464</v>
      </c>
      <c r="H723" s="2">
        <v>15</v>
      </c>
      <c r="I723" s="2">
        <v>120000</v>
      </c>
      <c r="J723" s="2" t="s">
        <v>1027</v>
      </c>
      <c r="K723" t="s">
        <v>1046</v>
      </c>
      <c r="L723" t="s">
        <v>1037</v>
      </c>
      <c r="M723" s="2" t="s">
        <v>1038</v>
      </c>
      <c r="N723">
        <v>3.6</v>
      </c>
    </row>
    <row r="724" spans="1:14" x14ac:dyDescent="0.3">
      <c r="A724" t="s">
        <v>737</v>
      </c>
      <c r="B724">
        <v>26</v>
      </c>
      <c r="C724" t="s">
        <v>1020</v>
      </c>
      <c r="D724" s="2" t="s">
        <v>1025</v>
      </c>
      <c r="E724" t="s">
        <v>1055</v>
      </c>
      <c r="F724" s="1">
        <v>45450</v>
      </c>
      <c r="G724" s="1">
        <v>45465</v>
      </c>
      <c r="H724" s="2">
        <v>15</v>
      </c>
      <c r="I724" s="2">
        <v>230000</v>
      </c>
      <c r="J724" s="2" t="s">
        <v>1027</v>
      </c>
      <c r="K724" t="s">
        <v>1046</v>
      </c>
      <c r="L724" t="s">
        <v>1018</v>
      </c>
      <c r="M724" s="2" t="s">
        <v>1038</v>
      </c>
      <c r="N724">
        <v>3.6</v>
      </c>
    </row>
    <row r="725" spans="1:14" x14ac:dyDescent="0.3">
      <c r="A725" t="s">
        <v>738</v>
      </c>
      <c r="B725">
        <v>27</v>
      </c>
      <c r="C725" t="s">
        <v>1020</v>
      </c>
      <c r="D725" s="2" t="s">
        <v>1025</v>
      </c>
      <c r="E725" t="s">
        <v>1055</v>
      </c>
      <c r="F725" s="1">
        <v>45451</v>
      </c>
      <c r="G725" s="1">
        <v>45466</v>
      </c>
      <c r="H725" s="2">
        <v>15</v>
      </c>
      <c r="I725" s="2">
        <v>119000</v>
      </c>
      <c r="J725" s="2" t="s">
        <v>1027</v>
      </c>
      <c r="K725" t="s">
        <v>1046</v>
      </c>
      <c r="L725" t="s">
        <v>1018</v>
      </c>
      <c r="M725" s="2" t="s">
        <v>1038</v>
      </c>
      <c r="N725">
        <v>3.6</v>
      </c>
    </row>
    <row r="726" spans="1:14" x14ac:dyDescent="0.3">
      <c r="A726" t="s">
        <v>739</v>
      </c>
      <c r="B726">
        <v>28</v>
      </c>
      <c r="C726" t="s">
        <v>1020</v>
      </c>
      <c r="D726" s="2" t="s">
        <v>1025</v>
      </c>
      <c r="E726" t="s">
        <v>1055</v>
      </c>
      <c r="F726" s="1">
        <v>45452</v>
      </c>
      <c r="G726" s="1">
        <v>45467</v>
      </c>
      <c r="H726" s="2">
        <v>15</v>
      </c>
      <c r="I726" s="2">
        <v>120000</v>
      </c>
      <c r="J726" s="2" t="s">
        <v>1027</v>
      </c>
      <c r="K726" t="s">
        <v>1046</v>
      </c>
      <c r="L726" t="s">
        <v>1037</v>
      </c>
      <c r="M726" s="2" t="s">
        <v>1038</v>
      </c>
      <c r="N726">
        <v>3.6</v>
      </c>
    </row>
    <row r="727" spans="1:14" x14ac:dyDescent="0.3">
      <c r="A727" t="s">
        <v>740</v>
      </c>
      <c r="B727">
        <v>47</v>
      </c>
      <c r="C727" t="s">
        <v>1020</v>
      </c>
      <c r="D727" s="2" t="s">
        <v>1025</v>
      </c>
      <c r="E727" t="s">
        <v>1055</v>
      </c>
      <c r="F727" s="1">
        <v>45453</v>
      </c>
      <c r="G727" s="1">
        <v>45468</v>
      </c>
      <c r="H727" s="2">
        <v>15</v>
      </c>
      <c r="I727" s="2">
        <v>131000</v>
      </c>
      <c r="J727" s="2" t="s">
        <v>1027</v>
      </c>
      <c r="K727" t="s">
        <v>1046</v>
      </c>
      <c r="L727" t="s">
        <v>1018</v>
      </c>
      <c r="M727" s="2" t="s">
        <v>1038</v>
      </c>
      <c r="N727">
        <v>3.6</v>
      </c>
    </row>
    <row r="728" spans="1:14" x14ac:dyDescent="0.3">
      <c r="A728" t="s">
        <v>741</v>
      </c>
      <c r="B728">
        <v>49</v>
      </c>
      <c r="C728" t="s">
        <v>1020</v>
      </c>
      <c r="D728" s="2" t="s">
        <v>1025</v>
      </c>
      <c r="E728" t="s">
        <v>1055</v>
      </c>
      <c r="F728" s="1">
        <v>45454</v>
      </c>
      <c r="G728" s="1">
        <v>45469</v>
      </c>
      <c r="H728" s="2">
        <v>15</v>
      </c>
      <c r="I728" s="2">
        <v>141000</v>
      </c>
      <c r="J728" s="2" t="s">
        <v>1027</v>
      </c>
      <c r="K728" t="s">
        <v>1046</v>
      </c>
      <c r="L728" t="s">
        <v>1037</v>
      </c>
      <c r="M728" s="2" t="s">
        <v>1038</v>
      </c>
      <c r="N728">
        <v>3.6</v>
      </c>
    </row>
    <row r="729" spans="1:14" x14ac:dyDescent="0.3">
      <c r="A729" t="s">
        <v>742</v>
      </c>
      <c r="B729">
        <v>40</v>
      </c>
      <c r="C729" t="s">
        <v>1020</v>
      </c>
      <c r="D729" s="2" t="s">
        <v>1025</v>
      </c>
      <c r="E729" t="s">
        <v>1055</v>
      </c>
      <c r="F729" s="1">
        <v>45455</v>
      </c>
      <c r="G729" s="1">
        <v>45470</v>
      </c>
      <c r="H729" s="2">
        <v>15</v>
      </c>
      <c r="I729" s="2">
        <v>151000</v>
      </c>
      <c r="J729" s="2" t="s">
        <v>1027</v>
      </c>
      <c r="K729" t="s">
        <v>1046</v>
      </c>
      <c r="L729" t="s">
        <v>1018</v>
      </c>
      <c r="M729" s="2" t="s">
        <v>1038</v>
      </c>
      <c r="N729">
        <v>3.6</v>
      </c>
    </row>
    <row r="730" spans="1:14" x14ac:dyDescent="0.3">
      <c r="A730" t="s">
        <v>743</v>
      </c>
      <c r="B730">
        <v>45</v>
      </c>
      <c r="C730" t="s">
        <v>1020</v>
      </c>
      <c r="D730" s="2" t="s">
        <v>1025</v>
      </c>
      <c r="E730" t="s">
        <v>1055</v>
      </c>
      <c r="F730" s="1">
        <v>45456</v>
      </c>
      <c r="G730" s="1">
        <v>45471</v>
      </c>
      <c r="H730" s="2">
        <v>15</v>
      </c>
      <c r="I730" s="2">
        <v>161000</v>
      </c>
      <c r="J730" s="2" t="s">
        <v>1027</v>
      </c>
      <c r="K730" t="s">
        <v>1046</v>
      </c>
      <c r="L730" t="s">
        <v>1018</v>
      </c>
      <c r="M730" s="2" t="s">
        <v>1038</v>
      </c>
      <c r="N730">
        <v>3.6</v>
      </c>
    </row>
    <row r="731" spans="1:14" x14ac:dyDescent="0.3">
      <c r="A731" t="s">
        <v>744</v>
      </c>
      <c r="B731">
        <v>46</v>
      </c>
      <c r="C731" t="s">
        <v>1020</v>
      </c>
      <c r="D731" s="2" t="s">
        <v>1025</v>
      </c>
      <c r="E731" t="s">
        <v>1055</v>
      </c>
      <c r="F731" s="1">
        <v>45457</v>
      </c>
      <c r="G731" s="1">
        <v>45472</v>
      </c>
      <c r="H731" s="2">
        <v>15</v>
      </c>
      <c r="I731" s="2">
        <v>171000</v>
      </c>
      <c r="J731" s="2" t="s">
        <v>1027</v>
      </c>
      <c r="K731" t="s">
        <v>1046</v>
      </c>
      <c r="L731" t="s">
        <v>1018</v>
      </c>
      <c r="M731" s="2" t="s">
        <v>1038</v>
      </c>
      <c r="N731">
        <v>3.6</v>
      </c>
    </row>
    <row r="732" spans="1:14" x14ac:dyDescent="0.3">
      <c r="A732" t="s">
        <v>745</v>
      </c>
      <c r="B732">
        <v>54</v>
      </c>
      <c r="C732" t="s">
        <v>1020</v>
      </c>
      <c r="D732" s="2" t="s">
        <v>1025</v>
      </c>
      <c r="E732" t="s">
        <v>1055</v>
      </c>
      <c r="F732" s="1">
        <v>45458</v>
      </c>
      <c r="G732" s="1">
        <v>45473</v>
      </c>
      <c r="H732" s="2">
        <v>15</v>
      </c>
      <c r="I732" s="2">
        <v>191000</v>
      </c>
      <c r="J732" s="2" t="s">
        <v>1027</v>
      </c>
      <c r="K732" t="s">
        <v>1046</v>
      </c>
      <c r="L732" t="s">
        <v>1037</v>
      </c>
      <c r="M732" s="2" t="s">
        <v>1038</v>
      </c>
      <c r="N732">
        <v>3.6</v>
      </c>
    </row>
    <row r="733" spans="1:14" x14ac:dyDescent="0.3">
      <c r="A733" t="s">
        <v>746</v>
      </c>
      <c r="B733">
        <v>43</v>
      </c>
      <c r="C733" t="s">
        <v>1020</v>
      </c>
      <c r="D733" s="2" t="s">
        <v>1025</v>
      </c>
      <c r="E733" t="s">
        <v>1055</v>
      </c>
      <c r="F733" s="1">
        <v>45459</v>
      </c>
      <c r="G733" s="1">
        <v>45474</v>
      </c>
      <c r="H733" s="2">
        <v>15</v>
      </c>
      <c r="I733" s="2">
        <v>140000</v>
      </c>
      <c r="J733" s="2" t="s">
        <v>1027</v>
      </c>
      <c r="K733" t="s">
        <v>1046</v>
      </c>
      <c r="L733" t="s">
        <v>1018</v>
      </c>
      <c r="M733" s="2" t="s">
        <v>1038</v>
      </c>
      <c r="N733">
        <v>3.6</v>
      </c>
    </row>
    <row r="734" spans="1:14" x14ac:dyDescent="0.3">
      <c r="A734" t="s">
        <v>747</v>
      </c>
      <c r="B734">
        <v>23</v>
      </c>
      <c r="C734" t="s">
        <v>1020</v>
      </c>
      <c r="D734" s="2" t="s">
        <v>1025</v>
      </c>
      <c r="E734" t="s">
        <v>1055</v>
      </c>
      <c r="F734" s="1">
        <v>45460</v>
      </c>
      <c r="G734" s="1">
        <v>45475</v>
      </c>
      <c r="H734" s="2">
        <v>15</v>
      </c>
      <c r="I734" s="2">
        <v>150000</v>
      </c>
      <c r="J734" s="2" t="s">
        <v>1027</v>
      </c>
      <c r="K734" t="s">
        <v>1046</v>
      </c>
      <c r="L734" t="s">
        <v>1037</v>
      </c>
      <c r="M734" s="2" t="s">
        <v>1038</v>
      </c>
      <c r="N734">
        <v>3.6</v>
      </c>
    </row>
    <row r="735" spans="1:14" x14ac:dyDescent="0.3">
      <c r="A735" t="s">
        <v>748</v>
      </c>
      <c r="B735">
        <v>21</v>
      </c>
      <c r="C735" t="s">
        <v>1020</v>
      </c>
      <c r="D735" s="2" t="s">
        <v>1025</v>
      </c>
      <c r="E735" t="s">
        <v>1055</v>
      </c>
      <c r="F735" s="1">
        <v>45461</v>
      </c>
      <c r="G735" s="1">
        <v>45476</v>
      </c>
      <c r="H735" s="2">
        <v>15</v>
      </c>
      <c r="I735" s="2">
        <v>129900</v>
      </c>
      <c r="J735" s="2" t="s">
        <v>1027</v>
      </c>
      <c r="K735" t="s">
        <v>1046</v>
      </c>
      <c r="L735" t="s">
        <v>1018</v>
      </c>
      <c r="M735" s="2" t="s">
        <v>1038</v>
      </c>
      <c r="N735">
        <v>3.6</v>
      </c>
    </row>
    <row r="736" spans="1:14" x14ac:dyDescent="0.3">
      <c r="A736" t="s">
        <v>749</v>
      </c>
      <c r="B736">
        <v>22</v>
      </c>
      <c r="C736" t="s">
        <v>1020</v>
      </c>
      <c r="D736" s="2" t="s">
        <v>1025</v>
      </c>
      <c r="E736" t="s">
        <v>1055</v>
      </c>
      <c r="F736" s="1">
        <v>45462</v>
      </c>
      <c r="G736" s="1">
        <v>45477</v>
      </c>
      <c r="H736" s="2">
        <v>15</v>
      </c>
      <c r="I736" s="2">
        <v>143000</v>
      </c>
      <c r="J736" s="2" t="s">
        <v>1027</v>
      </c>
      <c r="K736" t="s">
        <v>1046</v>
      </c>
      <c r="L736" t="s">
        <v>1037</v>
      </c>
      <c r="M736" s="2" t="s">
        <v>1038</v>
      </c>
      <c r="N736">
        <v>3.6</v>
      </c>
    </row>
    <row r="737" spans="1:14" x14ac:dyDescent="0.3">
      <c r="A737" t="s">
        <v>750</v>
      </c>
      <c r="B737">
        <v>33</v>
      </c>
      <c r="C737" t="s">
        <v>1020</v>
      </c>
      <c r="D737" s="2" t="s">
        <v>1025</v>
      </c>
      <c r="E737" t="s">
        <v>1055</v>
      </c>
      <c r="F737" s="1">
        <v>45463</v>
      </c>
      <c r="G737" s="1">
        <v>45478</v>
      </c>
      <c r="H737" s="2">
        <v>15</v>
      </c>
      <c r="I737" s="2">
        <v>155000</v>
      </c>
      <c r="J737" s="2" t="s">
        <v>1027</v>
      </c>
      <c r="K737" t="s">
        <v>1046</v>
      </c>
      <c r="L737" t="s">
        <v>1037</v>
      </c>
      <c r="M737" s="2" t="s">
        <v>1038</v>
      </c>
      <c r="N737">
        <v>3.6</v>
      </c>
    </row>
    <row r="738" spans="1:14" x14ac:dyDescent="0.3">
      <c r="A738" t="s">
        <v>751</v>
      </c>
      <c r="B738">
        <v>44</v>
      </c>
      <c r="C738" t="s">
        <v>1020</v>
      </c>
      <c r="D738" s="2" t="s">
        <v>1025</v>
      </c>
      <c r="E738" t="s">
        <v>1055</v>
      </c>
      <c r="F738" s="1">
        <v>45464</v>
      </c>
      <c r="G738" s="1">
        <v>45479</v>
      </c>
      <c r="H738" s="2">
        <v>15</v>
      </c>
      <c r="I738" s="2">
        <v>145000</v>
      </c>
      <c r="J738" s="2" t="s">
        <v>1027</v>
      </c>
      <c r="K738" t="s">
        <v>1046</v>
      </c>
      <c r="L738" t="s">
        <v>1037</v>
      </c>
      <c r="M738" s="2" t="s">
        <v>1038</v>
      </c>
      <c r="N738">
        <v>3.6</v>
      </c>
    </row>
    <row r="739" spans="1:14" x14ac:dyDescent="0.3">
      <c r="A739" t="s">
        <v>752</v>
      </c>
      <c r="B739">
        <v>22</v>
      </c>
      <c r="C739" t="s">
        <v>1020</v>
      </c>
      <c r="D739" s="2" t="s">
        <v>1015</v>
      </c>
      <c r="E739" t="s">
        <v>1016</v>
      </c>
      <c r="F739" s="1">
        <v>45465</v>
      </c>
      <c r="G739" s="1">
        <v>45480</v>
      </c>
      <c r="H739" s="2">
        <v>15</v>
      </c>
      <c r="I739" s="2">
        <v>161000</v>
      </c>
      <c r="J739" s="2" t="s">
        <v>1027</v>
      </c>
      <c r="K739" t="s">
        <v>1052</v>
      </c>
      <c r="L739" t="s">
        <v>1018</v>
      </c>
      <c r="M739" s="2" t="s">
        <v>1038</v>
      </c>
      <c r="N739">
        <v>3.6</v>
      </c>
    </row>
    <row r="740" spans="1:14" x14ac:dyDescent="0.3">
      <c r="A740" t="s">
        <v>753</v>
      </c>
      <c r="B740">
        <v>11</v>
      </c>
      <c r="C740" t="s">
        <v>1020</v>
      </c>
      <c r="D740" s="2" t="s">
        <v>1015</v>
      </c>
      <c r="E740" t="s">
        <v>1016</v>
      </c>
      <c r="F740" s="1">
        <v>45466</v>
      </c>
      <c r="G740" s="1">
        <v>45481</v>
      </c>
      <c r="H740" s="2">
        <v>15</v>
      </c>
      <c r="I740" s="2">
        <v>171000</v>
      </c>
      <c r="J740" s="2" t="s">
        <v>1027</v>
      </c>
      <c r="K740" t="s">
        <v>1052</v>
      </c>
      <c r="L740" t="s">
        <v>1018</v>
      </c>
      <c r="M740" s="2" t="s">
        <v>1038</v>
      </c>
      <c r="N740">
        <v>3.6</v>
      </c>
    </row>
    <row r="741" spans="1:14" x14ac:dyDescent="0.3">
      <c r="A741" t="s">
        <v>754</v>
      </c>
      <c r="B741">
        <v>22</v>
      </c>
      <c r="C741" t="s">
        <v>1020</v>
      </c>
      <c r="D741" s="2" t="s">
        <v>1015</v>
      </c>
      <c r="E741" t="s">
        <v>1016</v>
      </c>
      <c r="F741" s="1">
        <v>45467</v>
      </c>
      <c r="G741" s="1">
        <v>45482</v>
      </c>
      <c r="H741" s="2">
        <v>15</v>
      </c>
      <c r="I741" s="2">
        <v>230000</v>
      </c>
      <c r="J741" s="2" t="s">
        <v>1027</v>
      </c>
      <c r="K741" t="s">
        <v>1052</v>
      </c>
      <c r="L741" t="s">
        <v>1037</v>
      </c>
      <c r="M741" s="2" t="s">
        <v>1038</v>
      </c>
      <c r="N741">
        <v>3.6</v>
      </c>
    </row>
    <row r="742" spans="1:14" x14ac:dyDescent="0.3">
      <c r="A742" t="s">
        <v>755</v>
      </c>
      <c r="B742">
        <v>21</v>
      </c>
      <c r="C742" t="s">
        <v>1020</v>
      </c>
      <c r="D742" s="2" t="s">
        <v>1015</v>
      </c>
      <c r="E742" t="s">
        <v>1016</v>
      </c>
      <c r="F742" s="1">
        <v>45468</v>
      </c>
      <c r="G742" s="1">
        <v>45483</v>
      </c>
      <c r="H742" s="2">
        <v>15</v>
      </c>
      <c r="I742" s="2">
        <v>54000</v>
      </c>
      <c r="J742" s="2" t="s">
        <v>1027</v>
      </c>
      <c r="K742" t="s">
        <v>1052</v>
      </c>
      <c r="L742" t="s">
        <v>1018</v>
      </c>
      <c r="M742" s="2" t="s">
        <v>1038</v>
      </c>
      <c r="N742">
        <v>3.6</v>
      </c>
    </row>
    <row r="743" spans="1:14" x14ac:dyDescent="0.3">
      <c r="A743" t="s">
        <v>756</v>
      </c>
      <c r="B743">
        <v>11</v>
      </c>
      <c r="C743" t="s">
        <v>1020</v>
      </c>
      <c r="D743" s="2" t="s">
        <v>1015</v>
      </c>
      <c r="E743" t="s">
        <v>1016</v>
      </c>
      <c r="F743" s="1">
        <v>45469</v>
      </c>
      <c r="G743" s="1">
        <v>45484</v>
      </c>
      <c r="H743" s="2">
        <v>15</v>
      </c>
      <c r="I743" s="2">
        <v>89000</v>
      </c>
      <c r="J743" s="2" t="s">
        <v>1027</v>
      </c>
      <c r="K743" t="s">
        <v>1052</v>
      </c>
      <c r="L743" t="s">
        <v>1037</v>
      </c>
      <c r="M743" s="2" t="s">
        <v>1038</v>
      </c>
      <c r="N743">
        <v>3.6</v>
      </c>
    </row>
    <row r="744" spans="1:14" x14ac:dyDescent="0.3">
      <c r="A744" t="s">
        <v>757</v>
      </c>
      <c r="B744">
        <v>23</v>
      </c>
      <c r="C744" t="s">
        <v>1020</v>
      </c>
      <c r="D744" s="2" t="s">
        <v>1015</v>
      </c>
      <c r="E744" t="s">
        <v>1016</v>
      </c>
      <c r="F744" s="1">
        <v>45470</v>
      </c>
      <c r="G744" s="1">
        <v>45489</v>
      </c>
      <c r="H744" s="2">
        <v>19</v>
      </c>
      <c r="I744" s="2">
        <v>99000</v>
      </c>
      <c r="J744" s="2" t="s">
        <v>1027</v>
      </c>
      <c r="K744" t="s">
        <v>1052</v>
      </c>
      <c r="L744" t="s">
        <v>1018</v>
      </c>
      <c r="M744" s="2" t="s">
        <v>1038</v>
      </c>
      <c r="N744">
        <v>3.6</v>
      </c>
    </row>
    <row r="745" spans="1:14" x14ac:dyDescent="0.3">
      <c r="A745" t="s">
        <v>758</v>
      </c>
      <c r="B745">
        <v>24</v>
      </c>
      <c r="C745" t="s">
        <v>1020</v>
      </c>
      <c r="D745" s="2" t="s">
        <v>1015</v>
      </c>
      <c r="E745" t="s">
        <v>1016</v>
      </c>
      <c r="F745" s="1">
        <v>45471</v>
      </c>
      <c r="G745" s="1">
        <v>45490</v>
      </c>
      <c r="H745" s="2">
        <v>19</v>
      </c>
      <c r="I745" s="2">
        <v>100000</v>
      </c>
      <c r="J745" s="2" t="s">
        <v>1027</v>
      </c>
      <c r="K745" t="s">
        <v>1052</v>
      </c>
      <c r="L745" t="s">
        <v>1018</v>
      </c>
      <c r="M745" s="2" t="s">
        <v>1038</v>
      </c>
      <c r="N745">
        <v>3.6</v>
      </c>
    </row>
    <row r="746" spans="1:14" x14ac:dyDescent="0.3">
      <c r="A746" t="s">
        <v>759</v>
      </c>
      <c r="B746">
        <v>24</v>
      </c>
      <c r="C746" t="s">
        <v>1020</v>
      </c>
      <c r="D746" s="2" t="s">
        <v>1015</v>
      </c>
      <c r="E746" t="s">
        <v>1016</v>
      </c>
      <c r="F746" s="1">
        <v>45472</v>
      </c>
      <c r="G746" s="1">
        <v>45491</v>
      </c>
      <c r="H746" s="2">
        <v>19</v>
      </c>
      <c r="I746" s="2">
        <v>112000</v>
      </c>
      <c r="J746" s="2" t="s">
        <v>1027</v>
      </c>
      <c r="K746" t="s">
        <v>1052</v>
      </c>
      <c r="L746" t="s">
        <v>1018</v>
      </c>
      <c r="M746" s="2" t="s">
        <v>1038</v>
      </c>
      <c r="N746">
        <v>3.6</v>
      </c>
    </row>
    <row r="747" spans="1:14" x14ac:dyDescent="0.3">
      <c r="A747" t="s">
        <v>760</v>
      </c>
      <c r="B747">
        <v>25</v>
      </c>
      <c r="C747" t="s">
        <v>1020</v>
      </c>
      <c r="D747" s="2" t="s">
        <v>1015</v>
      </c>
      <c r="E747" t="s">
        <v>1016</v>
      </c>
      <c r="F747" s="1">
        <v>45473</v>
      </c>
      <c r="G747" s="1">
        <v>45492</v>
      </c>
      <c r="H747" s="2">
        <v>19</v>
      </c>
      <c r="I747" s="2">
        <v>150000</v>
      </c>
      <c r="J747" s="2" t="s">
        <v>1027</v>
      </c>
      <c r="K747" t="s">
        <v>1052</v>
      </c>
      <c r="L747" t="s">
        <v>1037</v>
      </c>
      <c r="M747" s="2" t="s">
        <v>1038</v>
      </c>
      <c r="N747">
        <v>3.6</v>
      </c>
    </row>
    <row r="748" spans="1:14" x14ac:dyDescent="0.3">
      <c r="A748" t="s">
        <v>761</v>
      </c>
      <c r="B748">
        <v>36</v>
      </c>
      <c r="C748" t="s">
        <v>1020</v>
      </c>
      <c r="D748" s="2" t="s">
        <v>1015</v>
      </c>
      <c r="E748" t="s">
        <v>1016</v>
      </c>
      <c r="F748" s="1">
        <v>45474</v>
      </c>
      <c r="G748" s="1">
        <v>45493</v>
      </c>
      <c r="H748" s="2">
        <v>19</v>
      </c>
      <c r="I748" s="2">
        <v>160000</v>
      </c>
      <c r="J748" s="2" t="s">
        <v>1027</v>
      </c>
      <c r="K748" t="s">
        <v>1052</v>
      </c>
      <c r="L748" t="s">
        <v>1018</v>
      </c>
      <c r="M748" s="2" t="s">
        <v>1038</v>
      </c>
      <c r="N748">
        <v>3.6</v>
      </c>
    </row>
    <row r="749" spans="1:14" x14ac:dyDescent="0.3">
      <c r="A749" t="s">
        <v>762</v>
      </c>
      <c r="B749">
        <v>34</v>
      </c>
      <c r="C749" t="s">
        <v>1020</v>
      </c>
      <c r="D749" s="2" t="s">
        <v>1015</v>
      </c>
      <c r="E749" t="s">
        <v>1016</v>
      </c>
      <c r="F749" s="1">
        <v>45475</v>
      </c>
      <c r="G749" s="1">
        <v>45494</v>
      </c>
      <c r="H749" s="2">
        <v>19</v>
      </c>
      <c r="I749" s="2">
        <v>198000</v>
      </c>
      <c r="J749" s="2" t="s">
        <v>1027</v>
      </c>
      <c r="K749" t="s">
        <v>1052</v>
      </c>
      <c r="L749" t="s">
        <v>1037</v>
      </c>
      <c r="M749" s="2" t="s">
        <v>1038</v>
      </c>
      <c r="N749">
        <v>3.6</v>
      </c>
    </row>
    <row r="750" spans="1:14" x14ac:dyDescent="0.3">
      <c r="A750" t="s">
        <v>763</v>
      </c>
      <c r="B750">
        <v>56</v>
      </c>
      <c r="C750" t="s">
        <v>1020</v>
      </c>
      <c r="D750" s="2" t="s">
        <v>1015</v>
      </c>
      <c r="E750" t="s">
        <v>1016</v>
      </c>
      <c r="F750" s="1">
        <v>45476</v>
      </c>
      <c r="G750" s="1">
        <v>45495</v>
      </c>
      <c r="H750" s="2">
        <v>19</v>
      </c>
      <c r="I750" s="2">
        <v>199000</v>
      </c>
      <c r="J750" s="2" t="s">
        <v>1027</v>
      </c>
      <c r="K750" t="s">
        <v>1052</v>
      </c>
      <c r="L750" t="s">
        <v>1018</v>
      </c>
      <c r="M750" s="2" t="s">
        <v>1038</v>
      </c>
      <c r="N750">
        <v>3.6</v>
      </c>
    </row>
    <row r="751" spans="1:14" x14ac:dyDescent="0.3">
      <c r="A751" t="s">
        <v>901</v>
      </c>
      <c r="B751">
        <v>65</v>
      </c>
      <c r="C751" t="s">
        <v>1014</v>
      </c>
      <c r="D751" s="2" t="s">
        <v>1124</v>
      </c>
      <c r="E751" t="s">
        <v>1135</v>
      </c>
      <c r="F751" s="1">
        <v>45614</v>
      </c>
      <c r="G751" s="1">
        <v>45628</v>
      </c>
      <c r="H751" s="2">
        <v>14</v>
      </c>
      <c r="I751" s="2">
        <v>120000</v>
      </c>
      <c r="J751" s="2" t="s">
        <v>1027</v>
      </c>
      <c r="K751" t="s">
        <v>1044</v>
      </c>
      <c r="L751" t="s">
        <v>1037</v>
      </c>
      <c r="M751" s="2" t="s">
        <v>1158</v>
      </c>
      <c r="N751">
        <v>3.6</v>
      </c>
    </row>
    <row r="752" spans="1:14" x14ac:dyDescent="0.3">
      <c r="A752" t="s">
        <v>902</v>
      </c>
      <c r="B752">
        <v>65</v>
      </c>
      <c r="C752" t="s">
        <v>1014</v>
      </c>
      <c r="D752" s="2" t="s">
        <v>1124</v>
      </c>
      <c r="E752" t="s">
        <v>1135</v>
      </c>
      <c r="F752" s="1">
        <v>45615</v>
      </c>
      <c r="G752" s="1">
        <v>45629</v>
      </c>
      <c r="H752" s="2">
        <v>14</v>
      </c>
      <c r="I752" s="2">
        <v>120000</v>
      </c>
      <c r="J752" s="2" t="s">
        <v>1027</v>
      </c>
      <c r="K752" t="s">
        <v>1044</v>
      </c>
      <c r="L752" t="s">
        <v>1018</v>
      </c>
      <c r="M752" s="2" t="s">
        <v>1158</v>
      </c>
      <c r="N752">
        <v>3.6</v>
      </c>
    </row>
    <row r="753" spans="1:14" x14ac:dyDescent="0.3">
      <c r="A753" t="s">
        <v>903</v>
      </c>
      <c r="B753">
        <v>76</v>
      </c>
      <c r="C753" t="s">
        <v>1014</v>
      </c>
      <c r="D753" s="2" t="s">
        <v>1124</v>
      </c>
      <c r="E753" t="s">
        <v>1135</v>
      </c>
      <c r="F753" s="1">
        <v>45616</v>
      </c>
      <c r="G753" s="1">
        <v>45630</v>
      </c>
      <c r="H753" s="2">
        <v>14</v>
      </c>
      <c r="I753" s="2">
        <v>120000</v>
      </c>
      <c r="J753" s="2" t="s">
        <v>1027</v>
      </c>
      <c r="K753" t="s">
        <v>1044</v>
      </c>
      <c r="L753" t="s">
        <v>1018</v>
      </c>
      <c r="M753" s="2" t="s">
        <v>1158</v>
      </c>
      <c r="N753">
        <v>3.6</v>
      </c>
    </row>
    <row r="754" spans="1:14" x14ac:dyDescent="0.3">
      <c r="A754" t="s">
        <v>904</v>
      </c>
      <c r="B754">
        <v>67</v>
      </c>
      <c r="C754" t="s">
        <v>1014</v>
      </c>
      <c r="D754" s="2" t="s">
        <v>1124</v>
      </c>
      <c r="E754" t="s">
        <v>1135</v>
      </c>
      <c r="F754" s="1">
        <v>45617</v>
      </c>
      <c r="G754" s="1">
        <v>45631</v>
      </c>
      <c r="H754" s="2">
        <v>14</v>
      </c>
      <c r="I754" s="2">
        <v>120000</v>
      </c>
      <c r="J754" s="2" t="s">
        <v>1027</v>
      </c>
      <c r="K754" t="s">
        <v>1044</v>
      </c>
      <c r="L754" t="s">
        <v>1037</v>
      </c>
      <c r="M754" s="2" t="s">
        <v>1158</v>
      </c>
      <c r="N754">
        <v>3.6</v>
      </c>
    </row>
    <row r="755" spans="1:14" x14ac:dyDescent="0.3">
      <c r="A755" t="s">
        <v>905</v>
      </c>
      <c r="B755">
        <v>76</v>
      </c>
      <c r="C755" t="s">
        <v>1014</v>
      </c>
      <c r="D755" s="2" t="s">
        <v>1124</v>
      </c>
      <c r="E755" t="s">
        <v>1135</v>
      </c>
      <c r="F755" s="1">
        <v>45618</v>
      </c>
      <c r="G755" s="1">
        <v>45632</v>
      </c>
      <c r="H755" s="2">
        <v>14</v>
      </c>
      <c r="I755" s="2">
        <v>120000</v>
      </c>
      <c r="J755" s="2" t="s">
        <v>1027</v>
      </c>
      <c r="K755" t="s">
        <v>1044</v>
      </c>
      <c r="L755" t="s">
        <v>1018</v>
      </c>
      <c r="M755" s="2" t="s">
        <v>1158</v>
      </c>
      <c r="N755">
        <v>3.6</v>
      </c>
    </row>
    <row r="756" spans="1:14" x14ac:dyDescent="0.3">
      <c r="A756" t="s">
        <v>906</v>
      </c>
      <c r="B756">
        <v>56</v>
      </c>
      <c r="C756" t="s">
        <v>1014</v>
      </c>
      <c r="D756" s="2" t="s">
        <v>1124</v>
      </c>
      <c r="E756" t="s">
        <v>1135</v>
      </c>
      <c r="F756" s="1">
        <v>45619</v>
      </c>
      <c r="G756" s="1">
        <v>45633</v>
      </c>
      <c r="H756" s="2">
        <v>14</v>
      </c>
      <c r="I756" s="2">
        <v>120000</v>
      </c>
      <c r="J756" s="2" t="s">
        <v>1027</v>
      </c>
      <c r="K756" t="s">
        <v>1044</v>
      </c>
      <c r="L756" t="s">
        <v>1037</v>
      </c>
      <c r="M756" s="2" t="s">
        <v>1158</v>
      </c>
      <c r="N756">
        <v>3.6</v>
      </c>
    </row>
    <row r="757" spans="1:14" x14ac:dyDescent="0.3">
      <c r="A757" t="s">
        <v>907</v>
      </c>
      <c r="B757">
        <v>65</v>
      </c>
      <c r="C757" t="s">
        <v>1014</v>
      </c>
      <c r="D757" s="2" t="s">
        <v>1124</v>
      </c>
      <c r="E757" t="s">
        <v>1125</v>
      </c>
      <c r="F757" s="1">
        <v>45620</v>
      </c>
      <c r="G757" s="1">
        <v>45634</v>
      </c>
      <c r="H757" s="2">
        <v>14</v>
      </c>
      <c r="I757" s="2">
        <v>120000</v>
      </c>
      <c r="J757" s="2" t="s">
        <v>1027</v>
      </c>
      <c r="K757" t="s">
        <v>1044</v>
      </c>
      <c r="L757" t="s">
        <v>1018</v>
      </c>
      <c r="M757" s="2" t="s">
        <v>1158</v>
      </c>
      <c r="N757">
        <v>3.6</v>
      </c>
    </row>
    <row r="758" spans="1:14" x14ac:dyDescent="0.3">
      <c r="A758" t="s">
        <v>908</v>
      </c>
      <c r="B758">
        <v>87</v>
      </c>
      <c r="C758" t="s">
        <v>1014</v>
      </c>
      <c r="D758" s="2" t="s">
        <v>1124</v>
      </c>
      <c r="E758" t="s">
        <v>1125</v>
      </c>
      <c r="F758" s="1">
        <v>45621</v>
      </c>
      <c r="G758" s="1">
        <v>45635</v>
      </c>
      <c r="H758" s="2">
        <v>14</v>
      </c>
      <c r="I758" s="2">
        <v>120000</v>
      </c>
      <c r="J758" s="2" t="s">
        <v>1027</v>
      </c>
      <c r="K758" t="s">
        <v>1044</v>
      </c>
      <c r="L758" t="s">
        <v>1018</v>
      </c>
      <c r="M758" s="2" t="s">
        <v>1158</v>
      </c>
      <c r="N758">
        <v>3.6</v>
      </c>
    </row>
    <row r="759" spans="1:14" x14ac:dyDescent="0.3">
      <c r="A759" t="s">
        <v>909</v>
      </c>
      <c r="B759">
        <v>78</v>
      </c>
      <c r="C759" t="s">
        <v>1014</v>
      </c>
      <c r="D759" s="2" t="s">
        <v>1124</v>
      </c>
      <c r="E759" t="s">
        <v>1125</v>
      </c>
      <c r="F759" s="1">
        <v>45622</v>
      </c>
      <c r="G759" s="1">
        <v>45636</v>
      </c>
      <c r="H759" s="2">
        <v>14</v>
      </c>
      <c r="I759" s="2">
        <v>120000</v>
      </c>
      <c r="J759" s="2" t="s">
        <v>1027</v>
      </c>
      <c r="K759" t="s">
        <v>1044</v>
      </c>
      <c r="L759" t="s">
        <v>1018</v>
      </c>
      <c r="M759" s="2" t="s">
        <v>1158</v>
      </c>
      <c r="N759">
        <v>3.6</v>
      </c>
    </row>
    <row r="760" spans="1:14" x14ac:dyDescent="0.3">
      <c r="A760" t="s">
        <v>910</v>
      </c>
      <c r="B760">
        <v>76</v>
      </c>
      <c r="C760" t="s">
        <v>1014</v>
      </c>
      <c r="D760" s="2" t="s">
        <v>1124</v>
      </c>
      <c r="E760" t="s">
        <v>1125</v>
      </c>
      <c r="F760" s="1">
        <v>45623</v>
      </c>
      <c r="G760" s="1">
        <v>45637</v>
      </c>
      <c r="H760" s="2">
        <v>14</v>
      </c>
      <c r="I760" s="2">
        <v>120000</v>
      </c>
      <c r="J760" s="2" t="s">
        <v>1027</v>
      </c>
      <c r="K760" t="s">
        <v>1044</v>
      </c>
      <c r="L760" t="s">
        <v>1037</v>
      </c>
      <c r="M760" s="2" t="s">
        <v>1158</v>
      </c>
      <c r="N760">
        <v>3.6</v>
      </c>
    </row>
    <row r="761" spans="1:14" x14ac:dyDescent="0.3">
      <c r="A761" t="s">
        <v>911</v>
      </c>
      <c r="B761">
        <v>76</v>
      </c>
      <c r="C761" t="s">
        <v>1014</v>
      </c>
      <c r="D761" s="2" t="s">
        <v>1124</v>
      </c>
      <c r="E761" t="s">
        <v>1125</v>
      </c>
      <c r="F761" s="1">
        <v>45624</v>
      </c>
      <c r="G761" s="1">
        <v>45638</v>
      </c>
      <c r="H761" s="2">
        <v>14</v>
      </c>
      <c r="I761" s="2">
        <v>120000</v>
      </c>
      <c r="J761" s="2" t="s">
        <v>1027</v>
      </c>
      <c r="K761" t="s">
        <v>1044</v>
      </c>
      <c r="L761" t="s">
        <v>1018</v>
      </c>
      <c r="M761" s="2" t="s">
        <v>1158</v>
      </c>
      <c r="N761">
        <v>3.6</v>
      </c>
    </row>
    <row r="762" spans="1:14" x14ac:dyDescent="0.3">
      <c r="A762" t="s">
        <v>912</v>
      </c>
      <c r="B762">
        <v>56</v>
      </c>
      <c r="C762" t="s">
        <v>1014</v>
      </c>
      <c r="D762" s="2" t="s">
        <v>1124</v>
      </c>
      <c r="E762" t="s">
        <v>1125</v>
      </c>
      <c r="F762" s="1">
        <v>45625</v>
      </c>
      <c r="G762" s="1">
        <v>45639</v>
      </c>
      <c r="H762" s="2">
        <v>14</v>
      </c>
      <c r="I762" s="2">
        <v>120000</v>
      </c>
      <c r="J762" s="2" t="s">
        <v>1027</v>
      </c>
      <c r="K762" t="s">
        <v>1044</v>
      </c>
      <c r="L762" t="s">
        <v>1037</v>
      </c>
      <c r="M762" s="2" t="s">
        <v>1158</v>
      </c>
      <c r="N762">
        <v>3.6</v>
      </c>
    </row>
    <row r="763" spans="1:14" x14ac:dyDescent="0.3">
      <c r="A763" t="s">
        <v>913</v>
      </c>
      <c r="B763">
        <v>45</v>
      </c>
      <c r="C763" t="s">
        <v>1014</v>
      </c>
      <c r="D763" s="2" t="s">
        <v>1124</v>
      </c>
      <c r="E763" t="s">
        <v>1125</v>
      </c>
      <c r="F763" s="1">
        <v>45626</v>
      </c>
      <c r="G763" s="1">
        <v>45640</v>
      </c>
      <c r="H763" s="2">
        <v>14</v>
      </c>
      <c r="I763" s="2">
        <v>120000</v>
      </c>
      <c r="J763" s="2" t="s">
        <v>1027</v>
      </c>
      <c r="K763" t="s">
        <v>1044</v>
      </c>
      <c r="L763" t="s">
        <v>1018</v>
      </c>
      <c r="M763" s="2" t="s">
        <v>1158</v>
      </c>
      <c r="N763">
        <v>3.6</v>
      </c>
    </row>
    <row r="764" spans="1:14" x14ac:dyDescent="0.3">
      <c r="A764" t="s">
        <v>914</v>
      </c>
      <c r="B764">
        <v>54</v>
      </c>
      <c r="C764" t="s">
        <v>1014</v>
      </c>
      <c r="D764" s="2" t="s">
        <v>1124</v>
      </c>
      <c r="E764" t="s">
        <v>1125</v>
      </c>
      <c r="F764" s="1">
        <v>45627</v>
      </c>
      <c r="G764" s="1">
        <v>45641</v>
      </c>
      <c r="H764" s="2">
        <v>14</v>
      </c>
      <c r="I764" s="2">
        <v>120000</v>
      </c>
      <c r="J764" s="2" t="s">
        <v>1027</v>
      </c>
      <c r="K764" t="s">
        <v>1044</v>
      </c>
      <c r="L764" t="s">
        <v>1037</v>
      </c>
      <c r="M764" s="2" t="s">
        <v>1158</v>
      </c>
      <c r="N764">
        <v>3.6</v>
      </c>
    </row>
    <row r="765" spans="1:14" x14ac:dyDescent="0.3">
      <c r="A765" t="s">
        <v>915</v>
      </c>
      <c r="B765">
        <v>87</v>
      </c>
      <c r="C765" t="s">
        <v>1014</v>
      </c>
      <c r="D765" s="2" t="s">
        <v>1124</v>
      </c>
      <c r="E765" t="s">
        <v>1125</v>
      </c>
      <c r="F765" s="1">
        <v>45628</v>
      </c>
      <c r="G765" s="1">
        <v>45642</v>
      </c>
      <c r="H765" s="2">
        <v>14</v>
      </c>
      <c r="I765" s="2">
        <v>120000</v>
      </c>
      <c r="J765" s="2" t="s">
        <v>1027</v>
      </c>
      <c r="K765" t="s">
        <v>1044</v>
      </c>
      <c r="L765" t="s">
        <v>1037</v>
      </c>
      <c r="M765" s="2" t="s">
        <v>1158</v>
      </c>
      <c r="N765">
        <v>3.6</v>
      </c>
    </row>
    <row r="766" spans="1:14" x14ac:dyDescent="0.3">
      <c r="A766" t="s">
        <v>916</v>
      </c>
      <c r="B766">
        <v>76</v>
      </c>
      <c r="C766" t="s">
        <v>1014</v>
      </c>
      <c r="D766" s="2" t="s">
        <v>1124</v>
      </c>
      <c r="E766" t="s">
        <v>1125</v>
      </c>
      <c r="F766" s="1">
        <v>45629</v>
      </c>
      <c r="G766" s="1">
        <v>45643</v>
      </c>
      <c r="H766" s="2">
        <v>14</v>
      </c>
      <c r="I766" s="2">
        <v>120000</v>
      </c>
      <c r="J766" s="2" t="s">
        <v>1027</v>
      </c>
      <c r="K766" t="s">
        <v>1044</v>
      </c>
      <c r="L766" t="s">
        <v>1037</v>
      </c>
      <c r="M766" s="2" t="s">
        <v>1158</v>
      </c>
      <c r="N766">
        <v>3.6</v>
      </c>
    </row>
    <row r="767" spans="1:14" x14ac:dyDescent="0.3">
      <c r="A767" t="s">
        <v>917</v>
      </c>
      <c r="B767">
        <v>67</v>
      </c>
      <c r="C767" t="s">
        <v>1014</v>
      </c>
      <c r="D767" s="2" t="s">
        <v>1124</v>
      </c>
      <c r="E767" t="s">
        <v>1125</v>
      </c>
      <c r="F767" s="1">
        <v>45630</v>
      </c>
      <c r="G767" s="1">
        <v>45644</v>
      </c>
      <c r="H767" s="2">
        <v>14</v>
      </c>
      <c r="I767" s="2">
        <v>120000</v>
      </c>
      <c r="J767" s="2" t="s">
        <v>1027</v>
      </c>
      <c r="K767" t="s">
        <v>1044</v>
      </c>
      <c r="L767" t="s">
        <v>1018</v>
      </c>
      <c r="M767" s="2" t="s">
        <v>1158</v>
      </c>
      <c r="N767">
        <v>3.6</v>
      </c>
    </row>
    <row r="768" spans="1:14" x14ac:dyDescent="0.3">
      <c r="A768" t="s">
        <v>20</v>
      </c>
      <c r="B768" s="2">
        <v>39</v>
      </c>
      <c r="C768" s="2" t="s">
        <v>1020</v>
      </c>
      <c r="D768" s="2" t="s">
        <v>1035</v>
      </c>
      <c r="E768" s="2" t="s">
        <v>1036</v>
      </c>
      <c r="F768" s="3">
        <v>45677</v>
      </c>
      <c r="G768" s="3">
        <v>45686</v>
      </c>
      <c r="H768" s="2">
        <v>9</v>
      </c>
      <c r="I768" s="2">
        <v>60000</v>
      </c>
      <c r="J768" s="2" t="s">
        <v>1023</v>
      </c>
      <c r="K768" s="2" t="s">
        <v>1106</v>
      </c>
      <c r="L768" s="2" t="s">
        <v>1037</v>
      </c>
      <c r="M768" s="2" t="s">
        <v>1038</v>
      </c>
      <c r="N768" s="2">
        <v>3.6</v>
      </c>
    </row>
    <row r="769" spans="1:14" x14ac:dyDescent="0.3">
      <c r="A769" t="s">
        <v>30</v>
      </c>
      <c r="B769" s="2">
        <v>54</v>
      </c>
      <c r="C769" s="2" t="s">
        <v>1014</v>
      </c>
      <c r="D769" s="2" t="s">
        <v>1015</v>
      </c>
      <c r="E769" s="2" t="s">
        <v>1016</v>
      </c>
      <c r="F769" s="3">
        <v>45693</v>
      </c>
      <c r="G769" s="3">
        <v>45698</v>
      </c>
      <c r="H769" s="2">
        <v>5</v>
      </c>
      <c r="I769" s="2">
        <v>65000</v>
      </c>
      <c r="J769" s="2" t="s">
        <v>1023</v>
      </c>
      <c r="K769" s="2" t="s">
        <v>1052</v>
      </c>
      <c r="L769" s="2" t="s">
        <v>1037</v>
      </c>
      <c r="M769" s="2" t="s">
        <v>1038</v>
      </c>
      <c r="N769" s="2">
        <v>2.6</v>
      </c>
    </row>
    <row r="770" spans="1:14" x14ac:dyDescent="0.3">
      <c r="A770" t="s">
        <v>32</v>
      </c>
      <c r="B770" s="2">
        <v>47</v>
      </c>
      <c r="C770" s="2" t="s">
        <v>1020</v>
      </c>
      <c r="D770" s="2" t="s">
        <v>1039</v>
      </c>
      <c r="E770" s="2" t="s">
        <v>1043</v>
      </c>
      <c r="F770" s="3">
        <v>45698</v>
      </c>
      <c r="G770" s="3">
        <v>45700</v>
      </c>
      <c r="H770" s="2">
        <v>2</v>
      </c>
      <c r="I770" s="2">
        <v>55000</v>
      </c>
      <c r="J770" s="2" t="s">
        <v>1027</v>
      </c>
      <c r="K770" s="2" t="s">
        <v>1059</v>
      </c>
      <c r="L770" s="2" t="s">
        <v>1018</v>
      </c>
      <c r="M770" s="2" t="s">
        <v>1038</v>
      </c>
      <c r="N770" s="2">
        <v>2.4</v>
      </c>
    </row>
    <row r="771" spans="1:14" x14ac:dyDescent="0.3">
      <c r="A771" t="s">
        <v>33</v>
      </c>
      <c r="B771" s="2">
        <v>48</v>
      </c>
      <c r="C771" s="2" t="s">
        <v>1014</v>
      </c>
      <c r="D771" s="2" t="s">
        <v>1015</v>
      </c>
      <c r="E771" s="2" t="s">
        <v>1016</v>
      </c>
      <c r="F771" s="3">
        <v>45700</v>
      </c>
      <c r="G771" s="3">
        <v>45707</v>
      </c>
      <c r="H771" s="2">
        <v>7</v>
      </c>
      <c r="I771" s="2">
        <v>43000</v>
      </c>
      <c r="J771" s="2" t="s">
        <v>1027</v>
      </c>
      <c r="K771" s="2" t="s">
        <v>1052</v>
      </c>
      <c r="L771" s="2" t="s">
        <v>1018</v>
      </c>
      <c r="M771" s="2" t="s">
        <v>1038</v>
      </c>
      <c r="N771" s="2">
        <v>2.2999999999999998</v>
      </c>
    </row>
    <row r="772" spans="1:14" x14ac:dyDescent="0.3">
      <c r="A772" t="s">
        <v>39</v>
      </c>
      <c r="B772" s="2">
        <v>30</v>
      </c>
      <c r="C772" s="2" t="s">
        <v>1014</v>
      </c>
      <c r="D772" s="2" t="s">
        <v>1015</v>
      </c>
      <c r="E772" s="2" t="s">
        <v>1016</v>
      </c>
      <c r="F772" s="3">
        <v>45716</v>
      </c>
      <c r="G772" s="3">
        <v>45719</v>
      </c>
      <c r="H772" s="2">
        <v>3</v>
      </c>
      <c r="I772" s="2">
        <v>55000</v>
      </c>
      <c r="J772" s="2" t="s">
        <v>1017</v>
      </c>
      <c r="K772" s="2" t="s">
        <v>1052</v>
      </c>
      <c r="L772" s="2" t="s">
        <v>1018</v>
      </c>
      <c r="M772" s="2" t="s">
        <v>1038</v>
      </c>
      <c r="N772" s="2">
        <v>4</v>
      </c>
    </row>
    <row r="773" spans="1:14" x14ac:dyDescent="0.3">
      <c r="A773" t="s">
        <v>40</v>
      </c>
      <c r="B773" s="2">
        <v>44</v>
      </c>
      <c r="C773" s="2" t="s">
        <v>1020</v>
      </c>
      <c r="D773" s="2" t="s">
        <v>1041</v>
      </c>
      <c r="E773" s="2" t="s">
        <v>1042</v>
      </c>
      <c r="F773" s="3">
        <v>45720</v>
      </c>
      <c r="G773" s="3">
        <v>45725</v>
      </c>
      <c r="H773" s="2">
        <v>5</v>
      </c>
      <c r="I773" s="2">
        <v>45000</v>
      </c>
      <c r="J773" s="2" t="s">
        <v>1027</v>
      </c>
      <c r="K773" s="2" t="s">
        <v>1128</v>
      </c>
      <c r="L773" s="2" t="s">
        <v>1037</v>
      </c>
      <c r="M773" s="2" t="s">
        <v>1038</v>
      </c>
      <c r="N773" s="2">
        <v>3.4</v>
      </c>
    </row>
    <row r="774" spans="1:14" x14ac:dyDescent="0.3">
      <c r="A774" t="s">
        <v>44</v>
      </c>
      <c r="B774" s="2">
        <v>36</v>
      </c>
      <c r="C774" s="2" t="s">
        <v>1014</v>
      </c>
      <c r="D774" s="2" t="s">
        <v>1029</v>
      </c>
      <c r="E774" s="2" t="s">
        <v>1057</v>
      </c>
      <c r="F774" s="3">
        <v>45728</v>
      </c>
      <c r="G774" s="3">
        <v>45736</v>
      </c>
      <c r="H774" s="2">
        <v>8</v>
      </c>
      <c r="I774" s="2">
        <v>99000</v>
      </c>
      <c r="J774" s="2" t="s">
        <v>1017</v>
      </c>
      <c r="K774" s="2" t="s">
        <v>1033</v>
      </c>
      <c r="L774" s="2" t="s">
        <v>1037</v>
      </c>
      <c r="M774" s="2" t="s">
        <v>1038</v>
      </c>
      <c r="N774" s="2">
        <v>5</v>
      </c>
    </row>
    <row r="775" spans="1:14" x14ac:dyDescent="0.3">
      <c r="A775" t="s">
        <v>46</v>
      </c>
      <c r="B775" s="2">
        <v>40</v>
      </c>
      <c r="C775" s="2" t="s">
        <v>1020</v>
      </c>
      <c r="D775" s="2" t="s">
        <v>1021</v>
      </c>
      <c r="E775" s="2" t="s">
        <v>1060</v>
      </c>
      <c r="F775" s="3">
        <v>45731</v>
      </c>
      <c r="G775" s="3">
        <v>45735</v>
      </c>
      <c r="H775" s="2">
        <v>3</v>
      </c>
      <c r="I775" s="2">
        <v>25000</v>
      </c>
      <c r="J775" s="2" t="s">
        <v>1017</v>
      </c>
      <c r="K775" s="2" t="s">
        <v>1147</v>
      </c>
      <c r="L775" s="2" t="s">
        <v>1018</v>
      </c>
      <c r="M775" s="2" t="s">
        <v>1038</v>
      </c>
      <c r="N775" s="2">
        <v>4</v>
      </c>
    </row>
    <row r="776" spans="1:14" x14ac:dyDescent="0.3">
      <c r="A776" t="s">
        <v>55</v>
      </c>
      <c r="B776" s="2">
        <v>49</v>
      </c>
      <c r="C776" s="2" t="s">
        <v>1020</v>
      </c>
      <c r="D776" s="2" t="s">
        <v>1021</v>
      </c>
      <c r="E776" s="2" t="s">
        <v>1069</v>
      </c>
      <c r="F776" s="3">
        <v>45744</v>
      </c>
      <c r="G776" s="3">
        <v>45750</v>
      </c>
      <c r="H776" s="2">
        <v>6</v>
      </c>
      <c r="I776" s="2">
        <v>89590</v>
      </c>
      <c r="J776" s="2" t="s">
        <v>1023</v>
      </c>
      <c r="K776" s="2" t="s">
        <v>1147</v>
      </c>
      <c r="L776" s="2" t="s">
        <v>1037</v>
      </c>
      <c r="M776" s="2" t="s">
        <v>1038</v>
      </c>
      <c r="N776" s="2">
        <v>4</v>
      </c>
    </row>
    <row r="777" spans="1:14" x14ac:dyDescent="0.3">
      <c r="A777" t="s">
        <v>57</v>
      </c>
      <c r="B777" s="2">
        <v>38</v>
      </c>
      <c r="C777" s="2" t="s">
        <v>1020</v>
      </c>
      <c r="D777" s="2" t="s">
        <v>1029</v>
      </c>
      <c r="E777" s="2" t="s">
        <v>1071</v>
      </c>
      <c r="F777" s="3">
        <v>45748</v>
      </c>
      <c r="G777" s="3">
        <v>45752</v>
      </c>
      <c r="H777" s="2">
        <v>4</v>
      </c>
      <c r="I777" s="2">
        <v>55000</v>
      </c>
      <c r="J777" s="2" t="s">
        <v>1027</v>
      </c>
      <c r="K777" s="2" t="s">
        <v>1033</v>
      </c>
      <c r="L777" s="2" t="s">
        <v>1037</v>
      </c>
      <c r="M777" s="2" t="s">
        <v>1038</v>
      </c>
      <c r="N777" s="2">
        <v>4</v>
      </c>
    </row>
    <row r="778" spans="1:14" x14ac:dyDescent="0.3">
      <c r="A778" t="s">
        <v>61</v>
      </c>
      <c r="B778" s="2">
        <v>11</v>
      </c>
      <c r="C778" s="2" t="s">
        <v>1020</v>
      </c>
      <c r="D778" s="2" t="s">
        <v>1035</v>
      </c>
      <c r="E778" s="2" t="s">
        <v>1074</v>
      </c>
      <c r="F778" s="3">
        <v>45752</v>
      </c>
      <c r="G778" s="3">
        <v>45757</v>
      </c>
      <c r="H778" s="2">
        <v>5</v>
      </c>
      <c r="I778" s="2">
        <v>98000</v>
      </c>
      <c r="J778" s="2" t="s">
        <v>1023</v>
      </c>
      <c r="K778" s="2" t="s">
        <v>1106</v>
      </c>
      <c r="L778" s="2" t="s">
        <v>1037</v>
      </c>
      <c r="M778" s="2" t="s">
        <v>1038</v>
      </c>
      <c r="N778" s="2">
        <v>4</v>
      </c>
    </row>
    <row r="779" spans="1:14" x14ac:dyDescent="0.3">
      <c r="A779" t="s">
        <v>63</v>
      </c>
      <c r="B779" s="2">
        <v>21</v>
      </c>
      <c r="C779" s="2" t="s">
        <v>1014</v>
      </c>
      <c r="D779" s="2" t="s">
        <v>1035</v>
      </c>
      <c r="E779" s="2" t="s">
        <v>1076</v>
      </c>
      <c r="F779" s="3">
        <v>45754</v>
      </c>
      <c r="G779" s="3">
        <v>45762</v>
      </c>
      <c r="H779" s="2">
        <v>8</v>
      </c>
      <c r="I779" s="2">
        <v>150000</v>
      </c>
      <c r="J779" s="2" t="s">
        <v>1027</v>
      </c>
      <c r="K779" s="2" t="s">
        <v>1106</v>
      </c>
      <c r="L779" s="2" t="s">
        <v>1018</v>
      </c>
      <c r="M779" s="2" t="s">
        <v>1038</v>
      </c>
      <c r="N779" s="2">
        <v>4.5</v>
      </c>
    </row>
    <row r="780" spans="1:14" x14ac:dyDescent="0.3">
      <c r="A780" t="s">
        <v>67</v>
      </c>
      <c r="B780" s="2">
        <v>18</v>
      </c>
      <c r="C780" s="2" t="s">
        <v>1020</v>
      </c>
      <c r="D780" s="2" t="s">
        <v>1039</v>
      </c>
      <c r="E780" s="2" t="s">
        <v>1043</v>
      </c>
      <c r="F780" s="3">
        <v>45758</v>
      </c>
      <c r="G780" s="3">
        <v>45760</v>
      </c>
      <c r="H780" s="2">
        <v>2</v>
      </c>
      <c r="I780" s="2">
        <v>44000</v>
      </c>
      <c r="J780" s="2" t="s">
        <v>1017</v>
      </c>
      <c r="K780" s="2" t="s">
        <v>1028</v>
      </c>
      <c r="L780" s="2" t="s">
        <v>1018</v>
      </c>
      <c r="M780" s="2" t="s">
        <v>1038</v>
      </c>
      <c r="N780" s="2">
        <v>5</v>
      </c>
    </row>
    <row r="781" spans="1:14" x14ac:dyDescent="0.3">
      <c r="A781" t="s">
        <v>69</v>
      </c>
      <c r="B781" s="2">
        <v>24</v>
      </c>
      <c r="C781" s="2" t="s">
        <v>1014</v>
      </c>
      <c r="D781" s="2" t="s">
        <v>1021</v>
      </c>
      <c r="E781" s="2" t="s">
        <v>1080</v>
      </c>
      <c r="F781" s="3">
        <v>45760</v>
      </c>
      <c r="G781" s="3">
        <v>45768</v>
      </c>
      <c r="H781" s="2">
        <v>8</v>
      </c>
      <c r="I781" s="2">
        <v>189000</v>
      </c>
      <c r="J781" s="2" t="s">
        <v>1017</v>
      </c>
      <c r="K781" s="2" t="s">
        <v>1147</v>
      </c>
      <c r="L781" s="2" t="s">
        <v>1018</v>
      </c>
      <c r="M781" s="2" t="s">
        <v>1038</v>
      </c>
      <c r="N781" s="2">
        <v>4</v>
      </c>
    </row>
    <row r="782" spans="1:14" x14ac:dyDescent="0.3">
      <c r="A782" t="s">
        <v>71</v>
      </c>
      <c r="B782" s="2">
        <v>11</v>
      </c>
      <c r="C782" s="2" t="s">
        <v>1020</v>
      </c>
      <c r="D782" s="2" t="s">
        <v>1039</v>
      </c>
      <c r="E782" s="2" t="s">
        <v>1082</v>
      </c>
      <c r="F782" s="3">
        <v>45762</v>
      </c>
      <c r="G782" s="3">
        <v>45764</v>
      </c>
      <c r="H782" s="2">
        <v>2</v>
      </c>
      <c r="I782" s="2">
        <v>21000</v>
      </c>
      <c r="J782" s="2" t="s">
        <v>1023</v>
      </c>
      <c r="K782" s="2" t="s">
        <v>1059</v>
      </c>
      <c r="L782" s="2" t="s">
        <v>1018</v>
      </c>
      <c r="M782" s="2" t="s">
        <v>1038</v>
      </c>
      <c r="N782" s="2">
        <v>4</v>
      </c>
    </row>
    <row r="783" spans="1:14" x14ac:dyDescent="0.3">
      <c r="A783" t="s">
        <v>73</v>
      </c>
      <c r="B783" s="2">
        <v>62</v>
      </c>
      <c r="C783" s="2" t="s">
        <v>1020</v>
      </c>
      <c r="D783" s="2" t="s">
        <v>1031</v>
      </c>
      <c r="E783" s="2" t="s">
        <v>1032</v>
      </c>
      <c r="F783" s="3">
        <v>45764</v>
      </c>
      <c r="G783" s="3">
        <v>45769</v>
      </c>
      <c r="H783" s="2">
        <v>5</v>
      </c>
      <c r="I783" s="2">
        <v>45000</v>
      </c>
      <c r="J783" s="2" t="s">
        <v>1027</v>
      </c>
      <c r="K783" s="2" t="s">
        <v>1161</v>
      </c>
      <c r="L783" s="2" t="s">
        <v>1018</v>
      </c>
      <c r="M783" s="2" t="s">
        <v>1038</v>
      </c>
      <c r="N783" s="2">
        <v>4</v>
      </c>
    </row>
    <row r="784" spans="1:14" x14ac:dyDescent="0.3">
      <c r="A784" t="s">
        <v>74</v>
      </c>
      <c r="B784" s="2">
        <v>64</v>
      </c>
      <c r="C784" s="2" t="s">
        <v>1020</v>
      </c>
      <c r="D784" s="2" t="s">
        <v>1015</v>
      </c>
      <c r="E784" s="2" t="s">
        <v>1016</v>
      </c>
      <c r="F784" s="3">
        <v>45765</v>
      </c>
      <c r="G784" s="3">
        <v>45773</v>
      </c>
      <c r="H784" s="2">
        <v>8</v>
      </c>
      <c r="I784" s="2">
        <v>78900</v>
      </c>
      <c r="J784" s="2" t="s">
        <v>1017</v>
      </c>
      <c r="K784" s="2" t="s">
        <v>1052</v>
      </c>
      <c r="L784" s="2" t="s">
        <v>1037</v>
      </c>
      <c r="M784" s="2" t="s">
        <v>1038</v>
      </c>
      <c r="N784" s="2">
        <v>3</v>
      </c>
    </row>
    <row r="785" spans="1:14" x14ac:dyDescent="0.3">
      <c r="A785" t="s">
        <v>75</v>
      </c>
      <c r="B785" s="2">
        <v>75</v>
      </c>
      <c r="C785" s="2" t="s">
        <v>1014</v>
      </c>
      <c r="D785" s="2" t="s">
        <v>1021</v>
      </c>
      <c r="E785" s="2" t="s">
        <v>1084</v>
      </c>
      <c r="F785" s="3">
        <v>45766</v>
      </c>
      <c r="G785" s="3">
        <v>45776</v>
      </c>
      <c r="H785" s="2">
        <v>10</v>
      </c>
      <c r="I785" s="2">
        <v>145000</v>
      </c>
      <c r="J785" s="2" t="s">
        <v>1023</v>
      </c>
      <c r="K785" s="2" t="s">
        <v>1147</v>
      </c>
      <c r="L785" s="2" t="s">
        <v>1037</v>
      </c>
      <c r="M785" s="2" t="s">
        <v>1038</v>
      </c>
      <c r="N785" s="2">
        <v>4</v>
      </c>
    </row>
    <row r="786" spans="1:14" x14ac:dyDescent="0.3">
      <c r="A786" t="s">
        <v>81</v>
      </c>
      <c r="B786" s="2">
        <v>27</v>
      </c>
      <c r="C786" s="2" t="s">
        <v>1020</v>
      </c>
      <c r="D786" s="2" t="s">
        <v>1048</v>
      </c>
      <c r="E786" s="2" t="s">
        <v>1049</v>
      </c>
      <c r="F786" s="3">
        <v>45772</v>
      </c>
      <c r="G786" s="3">
        <v>45776</v>
      </c>
      <c r="H786" s="2">
        <v>4</v>
      </c>
      <c r="I786" s="2">
        <v>123456</v>
      </c>
      <c r="J786" s="2" t="s">
        <v>1023</v>
      </c>
      <c r="K786" s="2" t="s">
        <v>1028</v>
      </c>
      <c r="L786" s="2" t="s">
        <v>1037</v>
      </c>
      <c r="M786" s="2" t="s">
        <v>1038</v>
      </c>
      <c r="N786" s="2">
        <v>5</v>
      </c>
    </row>
    <row r="787" spans="1:14" x14ac:dyDescent="0.3">
      <c r="A787" t="s">
        <v>82</v>
      </c>
      <c r="B787" s="2">
        <v>23</v>
      </c>
      <c r="C787" s="2" t="s">
        <v>1014</v>
      </c>
      <c r="D787" s="2" t="s">
        <v>1041</v>
      </c>
      <c r="E787" s="2" t="s">
        <v>1086</v>
      </c>
      <c r="F787" s="3">
        <v>45773</v>
      </c>
      <c r="G787" s="3">
        <v>45779</v>
      </c>
      <c r="H787" s="2">
        <v>6</v>
      </c>
      <c r="I787" s="2">
        <v>145000</v>
      </c>
      <c r="J787" s="2" t="s">
        <v>1027</v>
      </c>
      <c r="K787" s="2" t="s">
        <v>1128</v>
      </c>
      <c r="L787" s="2" t="s">
        <v>1018</v>
      </c>
      <c r="M787" s="2" t="s">
        <v>1038</v>
      </c>
      <c r="N787" s="2">
        <v>4</v>
      </c>
    </row>
    <row r="788" spans="1:14" x14ac:dyDescent="0.3">
      <c r="A788" t="s">
        <v>86</v>
      </c>
      <c r="B788" s="2">
        <v>27</v>
      </c>
      <c r="C788" s="2" t="s">
        <v>1020</v>
      </c>
      <c r="D788" s="2" t="s">
        <v>1041</v>
      </c>
      <c r="E788" s="2" t="s">
        <v>1042</v>
      </c>
      <c r="F788" s="3">
        <v>45777</v>
      </c>
      <c r="G788" s="3">
        <v>45786</v>
      </c>
      <c r="H788" s="2">
        <v>9</v>
      </c>
      <c r="I788" s="2">
        <v>13000</v>
      </c>
      <c r="J788" s="2" t="s">
        <v>1027</v>
      </c>
      <c r="K788" s="2" t="s">
        <v>1128</v>
      </c>
      <c r="L788" s="2" t="s">
        <v>1018</v>
      </c>
      <c r="M788" s="2" t="s">
        <v>1038</v>
      </c>
      <c r="N788" s="2">
        <v>4</v>
      </c>
    </row>
    <row r="789" spans="1:14" x14ac:dyDescent="0.3">
      <c r="A789" t="s">
        <v>88</v>
      </c>
      <c r="B789" s="2">
        <v>80</v>
      </c>
      <c r="C789" s="2" t="s">
        <v>1020</v>
      </c>
      <c r="D789" s="2" t="s">
        <v>1025</v>
      </c>
      <c r="E789" s="2" t="s">
        <v>1091</v>
      </c>
      <c r="F789" s="3">
        <v>45779</v>
      </c>
      <c r="G789" s="3">
        <v>45788</v>
      </c>
      <c r="H789" s="2">
        <v>9</v>
      </c>
      <c r="I789" s="2">
        <v>125000</v>
      </c>
      <c r="J789" s="2" t="s">
        <v>1017</v>
      </c>
      <c r="K789" s="2" t="s">
        <v>1046</v>
      </c>
      <c r="L789" s="2" t="s">
        <v>1018</v>
      </c>
      <c r="M789" s="2" t="s">
        <v>1038</v>
      </c>
      <c r="N789" s="2">
        <v>3</v>
      </c>
    </row>
    <row r="790" spans="1:14" x14ac:dyDescent="0.3">
      <c r="A790" t="s">
        <v>90</v>
      </c>
      <c r="B790" s="2">
        <v>33</v>
      </c>
      <c r="C790" s="2" t="s">
        <v>1014</v>
      </c>
      <c r="D790" s="2" t="s">
        <v>1041</v>
      </c>
      <c r="E790" s="2" t="s">
        <v>1092</v>
      </c>
      <c r="F790" s="3">
        <v>45781</v>
      </c>
      <c r="G790" s="3">
        <v>45786</v>
      </c>
      <c r="H790" s="2">
        <v>5</v>
      </c>
      <c r="I790" s="2">
        <v>156000</v>
      </c>
      <c r="J790" s="2" t="s">
        <v>1023</v>
      </c>
      <c r="K790" s="2" t="s">
        <v>1128</v>
      </c>
      <c r="L790" s="2" t="s">
        <v>1037</v>
      </c>
      <c r="M790" s="2" t="s">
        <v>1038</v>
      </c>
      <c r="N790" s="2">
        <v>3</v>
      </c>
    </row>
    <row r="791" spans="1:14" x14ac:dyDescent="0.3">
      <c r="A791" t="s">
        <v>92</v>
      </c>
      <c r="B791" s="2">
        <v>77</v>
      </c>
      <c r="C791" s="2" t="s">
        <v>1020</v>
      </c>
      <c r="D791" s="2" t="s">
        <v>1021</v>
      </c>
      <c r="E791" s="2" t="s">
        <v>1022</v>
      </c>
      <c r="F791" s="3">
        <v>45783</v>
      </c>
      <c r="G791" s="3">
        <v>45792</v>
      </c>
      <c r="H791" s="2">
        <v>8</v>
      </c>
      <c r="I791" s="2">
        <v>250000</v>
      </c>
      <c r="J791" s="2" t="s">
        <v>1023</v>
      </c>
      <c r="K791" s="2" t="s">
        <v>1147</v>
      </c>
      <c r="L791" s="2" t="s">
        <v>1018</v>
      </c>
      <c r="M791" s="2" t="s">
        <v>1038</v>
      </c>
      <c r="N791" s="2">
        <v>5</v>
      </c>
    </row>
    <row r="792" spans="1:14" x14ac:dyDescent="0.3">
      <c r="A792" t="s">
        <v>95</v>
      </c>
      <c r="B792" s="2">
        <v>23</v>
      </c>
      <c r="C792" s="2" t="s">
        <v>1014</v>
      </c>
      <c r="D792" s="2" t="s">
        <v>1029</v>
      </c>
      <c r="E792" s="2" t="s">
        <v>1093</v>
      </c>
      <c r="F792" s="3">
        <v>45786</v>
      </c>
      <c r="G792" s="3">
        <v>45793</v>
      </c>
      <c r="H792" s="2">
        <v>7</v>
      </c>
      <c r="I792" s="2">
        <v>53000</v>
      </c>
      <c r="J792" s="2" t="s">
        <v>1027</v>
      </c>
      <c r="K792" s="2" t="s">
        <v>1033</v>
      </c>
      <c r="L792" s="2" t="s">
        <v>1018</v>
      </c>
      <c r="M792" s="2" t="s">
        <v>1038</v>
      </c>
      <c r="N792" s="2">
        <v>4.3</v>
      </c>
    </row>
    <row r="793" spans="1:14" x14ac:dyDescent="0.3">
      <c r="A793" t="s">
        <v>99</v>
      </c>
      <c r="B793" s="2">
        <v>10</v>
      </c>
      <c r="C793" s="2" t="s">
        <v>1014</v>
      </c>
      <c r="D793" s="2" t="s">
        <v>1035</v>
      </c>
      <c r="E793" s="2" t="s">
        <v>1074</v>
      </c>
      <c r="F793" s="3">
        <v>45790</v>
      </c>
      <c r="G793" s="3">
        <v>45802</v>
      </c>
      <c r="H793" s="2">
        <v>8</v>
      </c>
      <c r="I793" s="2">
        <v>67800</v>
      </c>
      <c r="J793" s="2" t="s">
        <v>1023</v>
      </c>
      <c r="K793" s="2" t="s">
        <v>1106</v>
      </c>
      <c r="L793" s="2" t="s">
        <v>1037</v>
      </c>
      <c r="M793" s="2" t="s">
        <v>1038</v>
      </c>
      <c r="N793" s="2">
        <v>5</v>
      </c>
    </row>
    <row r="794" spans="1:14" x14ac:dyDescent="0.3">
      <c r="A794" t="s">
        <v>101</v>
      </c>
      <c r="B794" s="2">
        <v>74</v>
      </c>
      <c r="C794" s="2" t="s">
        <v>1014</v>
      </c>
      <c r="D794" s="2" t="s">
        <v>1035</v>
      </c>
      <c r="E794" s="2" t="s">
        <v>1096</v>
      </c>
      <c r="F794" s="3">
        <v>45792</v>
      </c>
      <c r="G794" s="3">
        <v>45806</v>
      </c>
      <c r="H794" s="2">
        <v>14</v>
      </c>
      <c r="I794" s="2">
        <v>192000</v>
      </c>
      <c r="J794" s="2" t="s">
        <v>1023</v>
      </c>
      <c r="K794" s="2" t="s">
        <v>1106</v>
      </c>
      <c r="L794" s="2" t="s">
        <v>1018</v>
      </c>
      <c r="M794" s="2" t="s">
        <v>1038</v>
      </c>
      <c r="N794" s="2">
        <v>4</v>
      </c>
    </row>
    <row r="795" spans="1:14" x14ac:dyDescent="0.3">
      <c r="A795" t="s">
        <v>103</v>
      </c>
      <c r="B795" s="2">
        <v>49</v>
      </c>
      <c r="C795" s="2" t="s">
        <v>1020</v>
      </c>
      <c r="D795" s="2" t="s">
        <v>1041</v>
      </c>
      <c r="E795" s="2" t="s">
        <v>1042</v>
      </c>
      <c r="F795" s="3">
        <v>45794</v>
      </c>
      <c r="G795" s="3">
        <v>45801</v>
      </c>
      <c r="H795" s="2">
        <v>7</v>
      </c>
      <c r="I795" s="2">
        <v>120000</v>
      </c>
      <c r="J795" s="2" t="s">
        <v>1027</v>
      </c>
      <c r="K795" s="2" t="s">
        <v>1128</v>
      </c>
      <c r="L795" s="2" t="s">
        <v>1018</v>
      </c>
      <c r="M795" s="2" t="s">
        <v>1038</v>
      </c>
      <c r="N795" s="2">
        <v>4</v>
      </c>
    </row>
    <row r="796" spans="1:14" x14ac:dyDescent="0.3">
      <c r="A796" t="s">
        <v>106</v>
      </c>
      <c r="B796" s="2">
        <v>13</v>
      </c>
      <c r="C796" s="2" t="s">
        <v>1014</v>
      </c>
      <c r="D796" s="2" t="s">
        <v>1025</v>
      </c>
      <c r="E796" s="2" t="s">
        <v>1099</v>
      </c>
      <c r="F796" s="3">
        <v>45797</v>
      </c>
      <c r="G796" s="3">
        <v>45803</v>
      </c>
      <c r="H796" s="2">
        <v>6</v>
      </c>
      <c r="I796" s="2">
        <v>123300</v>
      </c>
      <c r="J796" s="2" t="s">
        <v>1017</v>
      </c>
      <c r="K796" s="2" t="s">
        <v>1046</v>
      </c>
      <c r="L796" s="2" t="s">
        <v>1037</v>
      </c>
      <c r="M796" s="2" t="s">
        <v>1038</v>
      </c>
      <c r="N796" s="2">
        <v>4</v>
      </c>
    </row>
    <row r="797" spans="1:14" x14ac:dyDescent="0.3">
      <c r="A797" t="s">
        <v>108</v>
      </c>
      <c r="B797" s="2">
        <v>24</v>
      </c>
      <c r="C797" s="2" t="s">
        <v>1020</v>
      </c>
      <c r="D797" s="2" t="s">
        <v>1048</v>
      </c>
      <c r="E797" s="2" t="s">
        <v>1100</v>
      </c>
      <c r="F797" s="3">
        <v>45799</v>
      </c>
      <c r="G797" s="3">
        <v>45802</v>
      </c>
      <c r="H797" s="2">
        <v>3</v>
      </c>
      <c r="I797" s="2">
        <v>110000</v>
      </c>
      <c r="J797" s="2" t="s">
        <v>1027</v>
      </c>
      <c r="K797" s="2" t="s">
        <v>1028</v>
      </c>
      <c r="L797" s="2" t="s">
        <v>1018</v>
      </c>
      <c r="M797" s="2" t="s">
        <v>1038</v>
      </c>
      <c r="N797" s="2">
        <v>3</v>
      </c>
    </row>
    <row r="798" spans="1:14" x14ac:dyDescent="0.3">
      <c r="A798" t="s">
        <v>110</v>
      </c>
      <c r="B798" s="2">
        <v>3</v>
      </c>
      <c r="C798" s="2" t="s">
        <v>1014</v>
      </c>
      <c r="D798" s="2" t="s">
        <v>1041</v>
      </c>
      <c r="E798" s="2" t="s">
        <v>1042</v>
      </c>
      <c r="F798" s="3">
        <v>45801</v>
      </c>
      <c r="G798" s="3">
        <v>45802</v>
      </c>
      <c r="H798" s="2">
        <v>1</v>
      </c>
      <c r="I798" s="2">
        <v>13000</v>
      </c>
      <c r="J798" s="2" t="s">
        <v>1027</v>
      </c>
      <c r="K798" s="2" t="s">
        <v>1128</v>
      </c>
      <c r="L798" s="2" t="s">
        <v>1018</v>
      </c>
      <c r="M798" s="2" t="s">
        <v>1038</v>
      </c>
      <c r="N798" s="2">
        <v>3</v>
      </c>
    </row>
    <row r="799" spans="1:14" x14ac:dyDescent="0.3">
      <c r="A799" t="s">
        <v>112</v>
      </c>
      <c r="B799" s="2">
        <v>21</v>
      </c>
      <c r="C799" s="2" t="s">
        <v>1014</v>
      </c>
      <c r="D799" s="2" t="s">
        <v>1029</v>
      </c>
      <c r="E799" s="2" t="s">
        <v>1057</v>
      </c>
      <c r="F799" s="3">
        <v>45803</v>
      </c>
      <c r="G799" s="3">
        <v>45810</v>
      </c>
      <c r="H799" s="2">
        <v>7</v>
      </c>
      <c r="I799" s="2">
        <v>10000</v>
      </c>
      <c r="J799" s="2" t="s">
        <v>1027</v>
      </c>
      <c r="K799" s="2" t="s">
        <v>1033</v>
      </c>
      <c r="L799" s="2" t="s">
        <v>1037</v>
      </c>
      <c r="M799" s="2" t="s">
        <v>1038</v>
      </c>
      <c r="N799" s="2">
        <v>3</v>
      </c>
    </row>
    <row r="800" spans="1:14" x14ac:dyDescent="0.3">
      <c r="A800" t="s">
        <v>116</v>
      </c>
      <c r="B800" s="2">
        <v>34</v>
      </c>
      <c r="C800" s="2" t="s">
        <v>1020</v>
      </c>
      <c r="D800" s="2" t="s">
        <v>1041</v>
      </c>
      <c r="E800" s="2" t="s">
        <v>1104</v>
      </c>
      <c r="F800" s="3">
        <v>45807</v>
      </c>
      <c r="G800" s="3">
        <v>45810</v>
      </c>
      <c r="H800" s="2">
        <v>3</v>
      </c>
      <c r="I800" s="2">
        <v>98000</v>
      </c>
      <c r="J800" s="2" t="s">
        <v>1017</v>
      </c>
      <c r="K800" s="2" t="s">
        <v>1128</v>
      </c>
      <c r="L800" s="2" t="s">
        <v>1018</v>
      </c>
      <c r="M800" s="2" t="s">
        <v>1038</v>
      </c>
      <c r="N800" s="2">
        <v>4</v>
      </c>
    </row>
    <row r="801" spans="1:14" x14ac:dyDescent="0.3">
      <c r="A801" t="s">
        <v>120</v>
      </c>
      <c r="B801">
        <v>44</v>
      </c>
      <c r="C801" s="2" t="s">
        <v>1020</v>
      </c>
      <c r="D801" s="2" t="s">
        <v>1048</v>
      </c>
      <c r="E801" s="2" t="s">
        <v>1107</v>
      </c>
      <c r="F801" s="1">
        <v>45811</v>
      </c>
      <c r="G801" s="1">
        <v>45814</v>
      </c>
      <c r="H801" s="2">
        <v>3</v>
      </c>
      <c r="I801" s="2">
        <v>120000</v>
      </c>
      <c r="J801" s="2" t="s">
        <v>1017</v>
      </c>
      <c r="K801" s="2" t="s">
        <v>1028</v>
      </c>
      <c r="L801" t="s">
        <v>1037</v>
      </c>
      <c r="M801" s="2" t="s">
        <v>1038</v>
      </c>
      <c r="N801" s="2">
        <v>3</v>
      </c>
    </row>
    <row r="802" spans="1:14" x14ac:dyDescent="0.3">
      <c r="A802" t="s">
        <v>122</v>
      </c>
      <c r="B802">
        <v>21</v>
      </c>
      <c r="C802" s="2" t="s">
        <v>1014</v>
      </c>
      <c r="D802" s="2" t="s">
        <v>1025</v>
      </c>
      <c r="E802" s="2" t="s">
        <v>1062</v>
      </c>
      <c r="F802" s="1">
        <v>45813</v>
      </c>
      <c r="G802" s="1">
        <v>45818</v>
      </c>
      <c r="H802" s="2">
        <v>5</v>
      </c>
      <c r="I802" s="2">
        <v>134000</v>
      </c>
      <c r="J802" s="2" t="s">
        <v>1027</v>
      </c>
      <c r="K802" s="2" t="s">
        <v>1046</v>
      </c>
      <c r="L802" t="s">
        <v>1018</v>
      </c>
      <c r="M802" s="2" t="s">
        <v>1038</v>
      </c>
      <c r="N802" s="2">
        <v>3</v>
      </c>
    </row>
    <row r="803" spans="1:14" x14ac:dyDescent="0.3">
      <c r="A803" t="s">
        <v>124</v>
      </c>
      <c r="B803">
        <v>33</v>
      </c>
      <c r="C803" s="2" t="s">
        <v>1014</v>
      </c>
      <c r="D803" s="2" t="s">
        <v>1029</v>
      </c>
      <c r="E803" s="2" t="s">
        <v>1050</v>
      </c>
      <c r="F803" s="1">
        <v>45815</v>
      </c>
      <c r="G803" s="1">
        <v>45820</v>
      </c>
      <c r="H803" s="2">
        <v>5</v>
      </c>
      <c r="I803" s="2">
        <v>87000</v>
      </c>
      <c r="J803" s="2" t="s">
        <v>1023</v>
      </c>
      <c r="K803" s="2" t="s">
        <v>1033</v>
      </c>
      <c r="L803" t="s">
        <v>1037</v>
      </c>
      <c r="M803" s="2" t="s">
        <v>1038</v>
      </c>
      <c r="N803" s="2">
        <v>4</v>
      </c>
    </row>
    <row r="804" spans="1:14" x14ac:dyDescent="0.3">
      <c r="A804" t="s">
        <v>125</v>
      </c>
      <c r="B804">
        <v>61</v>
      </c>
      <c r="C804" s="2" t="s">
        <v>1014</v>
      </c>
      <c r="D804" s="2" t="s">
        <v>1035</v>
      </c>
      <c r="E804" s="2" t="s">
        <v>1085</v>
      </c>
      <c r="F804" s="1">
        <v>45816</v>
      </c>
      <c r="G804" s="1">
        <v>45821</v>
      </c>
      <c r="H804" s="2">
        <v>5</v>
      </c>
      <c r="I804" s="2">
        <v>83000</v>
      </c>
      <c r="J804" s="2" t="s">
        <v>1017</v>
      </c>
      <c r="K804" s="2" t="s">
        <v>1106</v>
      </c>
      <c r="L804" t="s">
        <v>1018</v>
      </c>
      <c r="M804" s="2" t="s">
        <v>1038</v>
      </c>
      <c r="N804" s="2">
        <v>4</v>
      </c>
    </row>
    <row r="805" spans="1:14" x14ac:dyDescent="0.3">
      <c r="A805" t="s">
        <v>127</v>
      </c>
      <c r="B805">
        <v>63</v>
      </c>
      <c r="C805" s="2" t="s">
        <v>1020</v>
      </c>
      <c r="D805" s="2" t="s">
        <v>1025</v>
      </c>
      <c r="E805" s="2" t="s">
        <v>1109</v>
      </c>
      <c r="F805" s="1">
        <v>45818</v>
      </c>
      <c r="G805" s="1">
        <v>45829</v>
      </c>
      <c r="H805" s="2">
        <v>11</v>
      </c>
      <c r="I805" s="2">
        <v>99000</v>
      </c>
      <c r="J805" s="2" t="s">
        <v>1027</v>
      </c>
      <c r="K805" s="2" t="s">
        <v>1046</v>
      </c>
      <c r="L805" t="s">
        <v>1037</v>
      </c>
      <c r="M805" s="2" t="s">
        <v>1038</v>
      </c>
      <c r="N805" s="2">
        <v>5</v>
      </c>
    </row>
    <row r="806" spans="1:14" x14ac:dyDescent="0.3">
      <c r="A806" t="s">
        <v>129</v>
      </c>
      <c r="B806">
        <v>66</v>
      </c>
      <c r="C806" s="2" t="s">
        <v>1020</v>
      </c>
      <c r="D806" s="2" t="s">
        <v>1035</v>
      </c>
      <c r="E806" s="2" t="s">
        <v>1110</v>
      </c>
      <c r="F806" s="1">
        <v>45820</v>
      </c>
      <c r="G806" s="1">
        <v>45826</v>
      </c>
      <c r="H806" s="2">
        <v>6</v>
      </c>
      <c r="I806" s="2">
        <v>150000</v>
      </c>
      <c r="J806" s="2" t="s">
        <v>1027</v>
      </c>
      <c r="K806" s="2" t="s">
        <v>1106</v>
      </c>
      <c r="L806" t="s">
        <v>1018</v>
      </c>
      <c r="M806" s="2" t="s">
        <v>1038</v>
      </c>
      <c r="N806" s="2">
        <v>3</v>
      </c>
    </row>
    <row r="807" spans="1:14" x14ac:dyDescent="0.3">
      <c r="A807" t="s">
        <v>131</v>
      </c>
      <c r="B807">
        <v>24</v>
      </c>
      <c r="C807" s="2" t="s">
        <v>1014</v>
      </c>
      <c r="D807" s="2" t="s">
        <v>1035</v>
      </c>
      <c r="E807" s="2" t="s">
        <v>1096</v>
      </c>
      <c r="F807" s="1">
        <v>45822</v>
      </c>
      <c r="G807" s="1">
        <v>45828</v>
      </c>
      <c r="H807" s="2">
        <v>6</v>
      </c>
      <c r="I807" s="2">
        <v>130000</v>
      </c>
      <c r="J807" s="2" t="s">
        <v>1027</v>
      </c>
      <c r="K807" s="2" t="s">
        <v>1106</v>
      </c>
      <c r="L807" t="s">
        <v>1018</v>
      </c>
      <c r="M807" s="2" t="s">
        <v>1038</v>
      </c>
      <c r="N807" s="2">
        <v>4</v>
      </c>
    </row>
    <row r="808" spans="1:14" x14ac:dyDescent="0.3">
      <c r="A808" t="s">
        <v>133</v>
      </c>
      <c r="B808">
        <v>19</v>
      </c>
      <c r="C808" s="2" t="s">
        <v>1014</v>
      </c>
      <c r="D808" s="2" t="s">
        <v>1025</v>
      </c>
      <c r="E808" s="2" t="s">
        <v>1055</v>
      </c>
      <c r="F808" s="1">
        <v>45824</v>
      </c>
      <c r="G808" s="1">
        <v>45829</v>
      </c>
      <c r="H808" s="2">
        <v>5</v>
      </c>
      <c r="I808" s="2">
        <v>13000</v>
      </c>
      <c r="J808" s="2" t="s">
        <v>1027</v>
      </c>
      <c r="K808" s="2" t="s">
        <v>1046</v>
      </c>
      <c r="L808" t="s">
        <v>1018</v>
      </c>
      <c r="M808" s="2" t="s">
        <v>1038</v>
      </c>
      <c r="N808" s="2">
        <v>3</v>
      </c>
    </row>
    <row r="809" spans="1:14" x14ac:dyDescent="0.3">
      <c r="A809" t="s">
        <v>135</v>
      </c>
      <c r="B809">
        <v>88</v>
      </c>
      <c r="C809" s="2" t="s">
        <v>1020</v>
      </c>
      <c r="D809" s="2" t="s">
        <v>1025</v>
      </c>
      <c r="E809" s="2" t="s">
        <v>1091</v>
      </c>
      <c r="F809" s="1">
        <v>45826</v>
      </c>
      <c r="G809" s="1">
        <v>45832</v>
      </c>
      <c r="H809" s="2">
        <v>6</v>
      </c>
      <c r="I809" s="2">
        <v>200000</v>
      </c>
      <c r="J809" s="2" t="s">
        <v>1017</v>
      </c>
      <c r="K809" s="2" t="s">
        <v>1046</v>
      </c>
      <c r="L809" t="s">
        <v>1037</v>
      </c>
      <c r="M809" s="2" t="s">
        <v>1038</v>
      </c>
      <c r="N809" s="2">
        <v>3</v>
      </c>
    </row>
    <row r="810" spans="1:14" x14ac:dyDescent="0.3">
      <c r="A810" t="s">
        <v>137</v>
      </c>
      <c r="B810">
        <v>12</v>
      </c>
      <c r="C810" s="2" t="s">
        <v>1014</v>
      </c>
      <c r="D810" s="2" t="s">
        <v>1029</v>
      </c>
      <c r="E810" s="2" t="s">
        <v>1114</v>
      </c>
      <c r="F810" s="1">
        <v>45828</v>
      </c>
      <c r="G810" s="1">
        <v>45836</v>
      </c>
      <c r="H810" s="2">
        <v>8</v>
      </c>
      <c r="I810" s="2">
        <v>140000</v>
      </c>
      <c r="J810" s="2" t="s">
        <v>1023</v>
      </c>
      <c r="K810" s="2" t="s">
        <v>1033</v>
      </c>
      <c r="L810" t="s">
        <v>1018</v>
      </c>
      <c r="M810" s="2" t="s">
        <v>1038</v>
      </c>
      <c r="N810" s="2">
        <v>4</v>
      </c>
    </row>
    <row r="811" spans="1:14" x14ac:dyDescent="0.3">
      <c r="A811" t="s">
        <v>139</v>
      </c>
      <c r="B811">
        <v>33</v>
      </c>
      <c r="C811" s="2" t="s">
        <v>1020</v>
      </c>
      <c r="D811" s="2" t="s">
        <v>1015</v>
      </c>
      <c r="E811" s="2" t="s">
        <v>1016</v>
      </c>
      <c r="F811" s="1">
        <v>45830</v>
      </c>
      <c r="G811" s="1">
        <v>45837</v>
      </c>
      <c r="H811" s="2">
        <v>7</v>
      </c>
      <c r="I811" s="2">
        <v>10000</v>
      </c>
      <c r="J811" s="2" t="s">
        <v>1027</v>
      </c>
      <c r="K811" s="2" t="s">
        <v>1052</v>
      </c>
      <c r="L811" t="s">
        <v>1037</v>
      </c>
      <c r="M811" s="2" t="s">
        <v>1038</v>
      </c>
      <c r="N811" s="2">
        <v>5</v>
      </c>
    </row>
    <row r="812" spans="1:14" x14ac:dyDescent="0.3">
      <c r="A812" t="s">
        <v>140</v>
      </c>
      <c r="B812">
        <v>21</v>
      </c>
      <c r="C812" s="2" t="s">
        <v>1014</v>
      </c>
      <c r="D812" s="2" t="s">
        <v>1015</v>
      </c>
      <c r="E812" s="2" t="s">
        <v>1116</v>
      </c>
      <c r="F812" s="1">
        <v>45831</v>
      </c>
      <c r="G812" s="1">
        <v>45835</v>
      </c>
      <c r="H812" s="2">
        <v>4</v>
      </c>
      <c r="I812" s="2">
        <v>21000</v>
      </c>
      <c r="J812" s="2" t="s">
        <v>1027</v>
      </c>
      <c r="K812" s="2" t="s">
        <v>1052</v>
      </c>
      <c r="L812" t="s">
        <v>1018</v>
      </c>
      <c r="M812" s="2" t="s">
        <v>1038</v>
      </c>
      <c r="N812" s="2">
        <v>4</v>
      </c>
    </row>
    <row r="813" spans="1:14" x14ac:dyDescent="0.3">
      <c r="A813" t="s">
        <v>142</v>
      </c>
      <c r="B813">
        <v>22</v>
      </c>
      <c r="C813" s="2" t="s">
        <v>1020</v>
      </c>
      <c r="D813" s="2" t="s">
        <v>1035</v>
      </c>
      <c r="E813" s="2" t="s">
        <v>1110</v>
      </c>
      <c r="F813" s="1">
        <v>45833</v>
      </c>
      <c r="G813" s="1">
        <v>45837</v>
      </c>
      <c r="H813" s="2">
        <v>4</v>
      </c>
      <c r="I813" s="2">
        <v>41000</v>
      </c>
      <c r="J813" s="2" t="s">
        <v>1027</v>
      </c>
      <c r="K813" s="2" t="s">
        <v>1106</v>
      </c>
      <c r="L813" t="s">
        <v>1018</v>
      </c>
      <c r="M813" s="2" t="s">
        <v>1038</v>
      </c>
      <c r="N813" s="2">
        <v>4</v>
      </c>
    </row>
    <row r="814" spans="1:14" x14ac:dyDescent="0.3">
      <c r="A814" t="s">
        <v>143</v>
      </c>
      <c r="B814">
        <v>21</v>
      </c>
      <c r="C814" s="2" t="s">
        <v>1014</v>
      </c>
      <c r="D814" s="2" t="s">
        <v>1025</v>
      </c>
      <c r="E814" s="2" t="s">
        <v>1055</v>
      </c>
      <c r="F814" s="1">
        <v>45834</v>
      </c>
      <c r="G814" s="1">
        <v>45835</v>
      </c>
      <c r="H814" s="2">
        <v>1</v>
      </c>
      <c r="I814" s="2">
        <v>12000</v>
      </c>
      <c r="J814" s="2" t="s">
        <v>1023</v>
      </c>
      <c r="K814" s="2" t="s">
        <v>1046</v>
      </c>
      <c r="L814" t="s">
        <v>1018</v>
      </c>
      <c r="M814" s="2" t="s">
        <v>1038</v>
      </c>
      <c r="N814" s="2">
        <v>3</v>
      </c>
    </row>
    <row r="815" spans="1:14" x14ac:dyDescent="0.3">
      <c r="A815" t="s">
        <v>146</v>
      </c>
      <c r="B815">
        <v>30</v>
      </c>
      <c r="C815" s="2" t="s">
        <v>1020</v>
      </c>
      <c r="D815" s="2" t="s">
        <v>1039</v>
      </c>
      <c r="E815" s="2" t="s">
        <v>1082</v>
      </c>
      <c r="F815" s="1">
        <v>45837</v>
      </c>
      <c r="G815" s="1">
        <v>45843</v>
      </c>
      <c r="H815" s="2">
        <v>6</v>
      </c>
      <c r="I815" s="2">
        <v>45000</v>
      </c>
      <c r="J815" s="2" t="s">
        <v>1017</v>
      </c>
      <c r="K815" s="2" t="s">
        <v>1059</v>
      </c>
      <c r="L815" t="s">
        <v>1018</v>
      </c>
      <c r="M815" s="2" t="s">
        <v>1038</v>
      </c>
      <c r="N815" s="2">
        <v>5</v>
      </c>
    </row>
    <row r="816" spans="1:14" x14ac:dyDescent="0.3">
      <c r="A816" t="s">
        <v>147</v>
      </c>
      <c r="B816">
        <v>24</v>
      </c>
      <c r="C816" s="2" t="s">
        <v>1014</v>
      </c>
      <c r="D816" s="2" t="s">
        <v>1039</v>
      </c>
      <c r="E816" s="2" t="s">
        <v>1102</v>
      </c>
      <c r="F816" s="1">
        <v>45838</v>
      </c>
      <c r="G816" s="1">
        <v>45842</v>
      </c>
      <c r="H816" s="2">
        <v>4</v>
      </c>
      <c r="I816" s="2">
        <v>48000</v>
      </c>
      <c r="J816" s="2" t="s">
        <v>1023</v>
      </c>
      <c r="K816" s="2" t="s">
        <v>1059</v>
      </c>
      <c r="L816" t="s">
        <v>1037</v>
      </c>
      <c r="M816" s="2" t="s">
        <v>1038</v>
      </c>
      <c r="N816" s="2">
        <v>3</v>
      </c>
    </row>
    <row r="817" spans="1:14" x14ac:dyDescent="0.3">
      <c r="A817" t="s">
        <v>149</v>
      </c>
      <c r="B817">
        <v>45</v>
      </c>
      <c r="C817" s="2" t="s">
        <v>1020</v>
      </c>
      <c r="D817" s="2" t="s">
        <v>1029</v>
      </c>
      <c r="E817" s="2" t="s">
        <v>1119</v>
      </c>
      <c r="F817" s="1">
        <v>45840</v>
      </c>
      <c r="G817" s="1">
        <v>45848</v>
      </c>
      <c r="H817" s="2">
        <v>8</v>
      </c>
      <c r="I817" s="2">
        <v>87000</v>
      </c>
      <c r="J817" s="2" t="s">
        <v>1023</v>
      </c>
      <c r="K817" s="2" t="s">
        <v>1033</v>
      </c>
      <c r="L817" t="s">
        <v>1037</v>
      </c>
      <c r="M817" s="2" t="s">
        <v>1038</v>
      </c>
      <c r="N817" s="2">
        <v>4</v>
      </c>
    </row>
    <row r="818" spans="1:14" x14ac:dyDescent="0.3">
      <c r="A818" t="s">
        <v>151</v>
      </c>
      <c r="B818">
        <v>87</v>
      </c>
      <c r="C818" s="2" t="s">
        <v>1020</v>
      </c>
      <c r="D818" s="2" t="s">
        <v>1025</v>
      </c>
      <c r="E818" s="2" t="s">
        <v>1121</v>
      </c>
      <c r="F818" s="1">
        <v>45842</v>
      </c>
      <c r="G818" s="1">
        <v>45850</v>
      </c>
      <c r="H818" s="2">
        <v>8</v>
      </c>
      <c r="I818" s="2">
        <v>100000</v>
      </c>
      <c r="J818" s="2" t="s">
        <v>1027</v>
      </c>
      <c r="K818" s="2" t="s">
        <v>1046</v>
      </c>
      <c r="L818" t="s">
        <v>1037</v>
      </c>
      <c r="M818" s="2" t="s">
        <v>1038</v>
      </c>
      <c r="N818" s="2">
        <v>3</v>
      </c>
    </row>
    <row r="819" spans="1:14" x14ac:dyDescent="0.3">
      <c r="A819" t="s">
        <v>152</v>
      </c>
      <c r="B819">
        <v>12</v>
      </c>
      <c r="C819" s="2" t="s">
        <v>1014</v>
      </c>
      <c r="D819" s="2" t="s">
        <v>1039</v>
      </c>
      <c r="E819" s="2" t="s">
        <v>1072</v>
      </c>
      <c r="F819" s="1">
        <v>45843</v>
      </c>
      <c r="G819" s="1">
        <v>45844</v>
      </c>
      <c r="H819" s="2">
        <v>1</v>
      </c>
      <c r="I819" s="2">
        <v>12000</v>
      </c>
      <c r="J819" s="2" t="s">
        <v>1017</v>
      </c>
      <c r="K819" s="2" t="s">
        <v>1059</v>
      </c>
      <c r="L819" t="s">
        <v>1018</v>
      </c>
      <c r="M819" s="2" t="s">
        <v>1038</v>
      </c>
      <c r="N819" s="2">
        <v>4</v>
      </c>
    </row>
    <row r="820" spans="1:14" x14ac:dyDescent="0.3">
      <c r="A820" t="s">
        <v>154</v>
      </c>
      <c r="B820">
        <v>66</v>
      </c>
      <c r="C820" s="2" t="s">
        <v>1014</v>
      </c>
      <c r="D820" s="2" t="s">
        <v>1025</v>
      </c>
      <c r="E820" s="2" t="s">
        <v>1123</v>
      </c>
      <c r="F820" s="1">
        <v>45845</v>
      </c>
      <c r="G820" s="1">
        <v>45859</v>
      </c>
      <c r="H820" s="2">
        <v>14</v>
      </c>
      <c r="I820" s="2">
        <v>210000</v>
      </c>
      <c r="J820" s="2" t="s">
        <v>1027</v>
      </c>
      <c r="K820" s="2" t="s">
        <v>1046</v>
      </c>
      <c r="L820" t="s">
        <v>1037</v>
      </c>
      <c r="M820" s="2" t="s">
        <v>1038</v>
      </c>
      <c r="N820" s="2">
        <v>3</v>
      </c>
    </row>
    <row r="821" spans="1:14" x14ac:dyDescent="0.3">
      <c r="A821" t="s">
        <v>155</v>
      </c>
      <c r="B821">
        <v>24</v>
      </c>
      <c r="C821" s="2" t="s">
        <v>1020</v>
      </c>
      <c r="D821" s="2" t="s">
        <v>1031</v>
      </c>
      <c r="E821" s="2" t="s">
        <v>1056</v>
      </c>
      <c r="F821" s="1">
        <v>45846</v>
      </c>
      <c r="G821" s="1">
        <v>45852</v>
      </c>
      <c r="H821" s="2">
        <v>6</v>
      </c>
      <c r="I821" s="2">
        <v>12500</v>
      </c>
      <c r="J821" s="2" t="s">
        <v>1017</v>
      </c>
      <c r="K821" s="2" t="s">
        <v>1161</v>
      </c>
      <c r="L821" t="s">
        <v>1018</v>
      </c>
      <c r="M821" s="2" t="s">
        <v>1038</v>
      </c>
      <c r="N821" s="2">
        <v>4</v>
      </c>
    </row>
    <row r="822" spans="1:14" x14ac:dyDescent="0.3">
      <c r="A822" t="s">
        <v>157</v>
      </c>
      <c r="B822">
        <v>22</v>
      </c>
      <c r="C822" s="2" t="s">
        <v>1020</v>
      </c>
      <c r="D822" s="2" t="s">
        <v>1124</v>
      </c>
      <c r="E822" s="2" t="s">
        <v>1125</v>
      </c>
      <c r="F822" s="1">
        <v>45848</v>
      </c>
      <c r="G822" s="1">
        <v>45853</v>
      </c>
      <c r="H822" s="2">
        <v>5</v>
      </c>
      <c r="I822" s="2">
        <v>150000</v>
      </c>
      <c r="J822" s="2" t="s">
        <v>1027</v>
      </c>
      <c r="K822" s="2" t="s">
        <v>1044</v>
      </c>
      <c r="L822" t="s">
        <v>1037</v>
      </c>
      <c r="M822" s="2" t="s">
        <v>1038</v>
      </c>
      <c r="N822" s="2">
        <v>2</v>
      </c>
    </row>
    <row r="823" spans="1:14" x14ac:dyDescent="0.3">
      <c r="A823" t="s">
        <v>158</v>
      </c>
      <c r="B823">
        <v>60</v>
      </c>
      <c r="C823" s="2" t="s">
        <v>1014</v>
      </c>
      <c r="D823" s="2" t="s">
        <v>1031</v>
      </c>
      <c r="E823" s="2" t="s">
        <v>1032</v>
      </c>
      <c r="F823" s="1">
        <v>45849</v>
      </c>
      <c r="G823" s="1">
        <v>45852</v>
      </c>
      <c r="H823" s="2">
        <v>4</v>
      </c>
      <c r="I823" s="2">
        <v>13000</v>
      </c>
      <c r="J823" s="2" t="s">
        <v>1017</v>
      </c>
      <c r="K823" s="2" t="s">
        <v>1161</v>
      </c>
      <c r="L823" t="s">
        <v>1018</v>
      </c>
      <c r="M823" s="2" t="s">
        <v>1038</v>
      </c>
      <c r="N823" s="2">
        <v>4</v>
      </c>
    </row>
    <row r="824" spans="1:14" x14ac:dyDescent="0.3">
      <c r="A824" t="s">
        <v>160</v>
      </c>
      <c r="B824">
        <v>24</v>
      </c>
      <c r="C824" s="2" t="s">
        <v>1014</v>
      </c>
      <c r="D824" s="2" t="s">
        <v>1025</v>
      </c>
      <c r="E824" s="2" t="s">
        <v>1099</v>
      </c>
      <c r="F824" s="1">
        <v>45851</v>
      </c>
      <c r="G824" s="1">
        <v>45858</v>
      </c>
      <c r="H824" s="2">
        <v>7</v>
      </c>
      <c r="I824" s="2">
        <v>310000</v>
      </c>
      <c r="J824" s="2" t="s">
        <v>1017</v>
      </c>
      <c r="K824" s="2" t="s">
        <v>1046</v>
      </c>
      <c r="L824" t="s">
        <v>1037</v>
      </c>
      <c r="M824" s="2" t="s">
        <v>1038</v>
      </c>
      <c r="N824" s="2">
        <v>3</v>
      </c>
    </row>
    <row r="825" spans="1:14" x14ac:dyDescent="0.3">
      <c r="A825" t="s">
        <v>165</v>
      </c>
      <c r="B825">
        <v>50</v>
      </c>
      <c r="C825" s="2" t="s">
        <v>1020</v>
      </c>
      <c r="D825" s="2" t="s">
        <v>1015</v>
      </c>
      <c r="E825" s="2" t="s">
        <v>1016</v>
      </c>
      <c r="F825" s="1">
        <v>45856</v>
      </c>
      <c r="G825" s="1">
        <v>45858</v>
      </c>
      <c r="H825" s="2">
        <v>3</v>
      </c>
      <c r="I825" s="2">
        <v>23000</v>
      </c>
      <c r="J825" s="2" t="s">
        <v>1017</v>
      </c>
      <c r="K825" s="2" t="s">
        <v>1052</v>
      </c>
      <c r="L825" t="s">
        <v>1037</v>
      </c>
      <c r="M825" s="2" t="s">
        <v>1038</v>
      </c>
      <c r="N825" s="2">
        <v>2</v>
      </c>
    </row>
    <row r="826" spans="1:14" x14ac:dyDescent="0.3">
      <c r="A826" t="s">
        <v>167</v>
      </c>
      <c r="B826">
        <v>20</v>
      </c>
      <c r="C826" s="2" t="s">
        <v>1014</v>
      </c>
      <c r="D826" s="2" t="s">
        <v>1031</v>
      </c>
      <c r="E826" s="2" t="s">
        <v>1034</v>
      </c>
      <c r="F826" s="1">
        <v>45858</v>
      </c>
      <c r="G826" s="1">
        <v>45867</v>
      </c>
      <c r="H826" s="2">
        <v>9</v>
      </c>
      <c r="I826" s="2">
        <v>55000</v>
      </c>
      <c r="J826" s="2" t="s">
        <v>1017</v>
      </c>
      <c r="K826" s="2" t="s">
        <v>1161</v>
      </c>
      <c r="L826" t="s">
        <v>1018</v>
      </c>
      <c r="M826" s="2" t="s">
        <v>1038</v>
      </c>
      <c r="N826" s="2">
        <v>3</v>
      </c>
    </row>
    <row r="827" spans="1:14" x14ac:dyDescent="0.3">
      <c r="A827" t="s">
        <v>169</v>
      </c>
      <c r="B827">
        <v>47</v>
      </c>
      <c r="C827" s="2" t="s">
        <v>1020</v>
      </c>
      <c r="D827" s="2" t="s">
        <v>1041</v>
      </c>
      <c r="E827" s="2" t="s">
        <v>1051</v>
      </c>
      <c r="F827" s="1">
        <v>45860</v>
      </c>
      <c r="G827" s="1">
        <v>45869</v>
      </c>
      <c r="H827" s="2">
        <v>9</v>
      </c>
      <c r="I827" s="2">
        <v>76000</v>
      </c>
      <c r="J827" s="2" t="s">
        <v>1023</v>
      </c>
      <c r="K827" s="2" t="s">
        <v>1128</v>
      </c>
      <c r="L827" t="s">
        <v>1037</v>
      </c>
      <c r="M827" s="2" t="s">
        <v>1038</v>
      </c>
      <c r="N827" s="2">
        <v>4</v>
      </c>
    </row>
    <row r="828" spans="1:14" x14ac:dyDescent="0.3">
      <c r="A828" t="s">
        <v>170</v>
      </c>
      <c r="B828">
        <v>9</v>
      </c>
      <c r="C828" s="2" t="s">
        <v>1020</v>
      </c>
      <c r="D828" s="2" t="s">
        <v>1031</v>
      </c>
      <c r="E828" s="2" t="s">
        <v>1053</v>
      </c>
      <c r="F828" s="1">
        <v>45861</v>
      </c>
      <c r="G828" s="1">
        <v>45868</v>
      </c>
      <c r="H828" s="2">
        <v>7</v>
      </c>
      <c r="I828" s="2">
        <v>56000</v>
      </c>
      <c r="J828" s="2" t="s">
        <v>1027</v>
      </c>
      <c r="K828" s="2" t="s">
        <v>1161</v>
      </c>
      <c r="L828" t="s">
        <v>1018</v>
      </c>
      <c r="M828" s="2" t="s">
        <v>1038</v>
      </c>
      <c r="N828" s="2">
        <v>3</v>
      </c>
    </row>
    <row r="829" spans="1:14" x14ac:dyDescent="0.3">
      <c r="A829" t="s">
        <v>174</v>
      </c>
      <c r="B829">
        <v>24</v>
      </c>
      <c r="C829" s="2" t="s">
        <v>1020</v>
      </c>
      <c r="D829" s="2" t="s">
        <v>1048</v>
      </c>
      <c r="E829" s="2" t="s">
        <v>1063</v>
      </c>
      <c r="F829" s="1">
        <v>45865</v>
      </c>
      <c r="G829" s="1">
        <v>45872</v>
      </c>
      <c r="H829" s="2">
        <v>9</v>
      </c>
      <c r="I829" s="2">
        <v>70000</v>
      </c>
      <c r="J829" s="2" t="s">
        <v>1027</v>
      </c>
      <c r="K829" s="2" t="s">
        <v>1028</v>
      </c>
      <c r="L829" t="s">
        <v>1018</v>
      </c>
      <c r="M829" s="2" t="s">
        <v>1038</v>
      </c>
      <c r="N829" s="2">
        <v>3</v>
      </c>
    </row>
    <row r="830" spans="1:14" x14ac:dyDescent="0.3">
      <c r="A830" t="s">
        <v>175</v>
      </c>
      <c r="B830">
        <v>78</v>
      </c>
      <c r="C830" s="2" t="s">
        <v>1014</v>
      </c>
      <c r="D830" s="2" t="s">
        <v>1015</v>
      </c>
      <c r="E830" s="2" t="s">
        <v>1070</v>
      </c>
      <c r="F830" s="1">
        <v>45866</v>
      </c>
      <c r="G830" s="1">
        <v>45873</v>
      </c>
      <c r="H830" s="2">
        <v>8</v>
      </c>
      <c r="I830" s="2">
        <v>89000</v>
      </c>
      <c r="J830" s="2" t="s">
        <v>1023</v>
      </c>
      <c r="K830" s="2" t="s">
        <v>1052</v>
      </c>
      <c r="L830" t="s">
        <v>1037</v>
      </c>
      <c r="M830" s="2" t="s">
        <v>1038</v>
      </c>
      <c r="N830" s="2">
        <v>3</v>
      </c>
    </row>
    <row r="831" spans="1:14" x14ac:dyDescent="0.3">
      <c r="A831" t="s">
        <v>177</v>
      </c>
      <c r="B831">
        <v>23</v>
      </c>
      <c r="C831" s="2" t="s">
        <v>1014</v>
      </c>
      <c r="D831" s="2" t="s">
        <v>1025</v>
      </c>
      <c r="E831" s="2" t="s">
        <v>1055</v>
      </c>
      <c r="F831" s="1">
        <v>45868</v>
      </c>
      <c r="G831" s="1">
        <v>45878</v>
      </c>
      <c r="H831" s="2">
        <v>11</v>
      </c>
      <c r="I831" s="2">
        <v>120000</v>
      </c>
      <c r="J831" s="2" t="s">
        <v>1023</v>
      </c>
      <c r="K831" s="2" t="s">
        <v>1046</v>
      </c>
      <c r="L831" t="s">
        <v>1037</v>
      </c>
      <c r="M831" s="2" t="s">
        <v>1038</v>
      </c>
      <c r="N831" s="2">
        <v>3</v>
      </c>
    </row>
    <row r="832" spans="1:14" x14ac:dyDescent="0.3">
      <c r="A832" t="s">
        <v>180</v>
      </c>
      <c r="B832">
        <v>51</v>
      </c>
      <c r="C832" s="2" t="s">
        <v>1014</v>
      </c>
      <c r="D832" s="2" t="s">
        <v>1035</v>
      </c>
      <c r="E832" s="2" t="s">
        <v>1074</v>
      </c>
      <c r="F832" s="1">
        <v>45871</v>
      </c>
      <c r="G832" s="1">
        <v>45876</v>
      </c>
      <c r="H832" s="2">
        <v>6</v>
      </c>
      <c r="I832" s="2">
        <v>145000</v>
      </c>
      <c r="J832" s="2" t="s">
        <v>1027</v>
      </c>
      <c r="K832" s="2" t="s">
        <v>1106</v>
      </c>
      <c r="L832" t="s">
        <v>1037</v>
      </c>
      <c r="M832" s="2" t="s">
        <v>1038</v>
      </c>
      <c r="N832" s="2">
        <v>3</v>
      </c>
    </row>
    <row r="833" spans="1:14" x14ac:dyDescent="0.3">
      <c r="A833" t="s">
        <v>182</v>
      </c>
      <c r="B833">
        <v>33</v>
      </c>
      <c r="C833" s="2" t="s">
        <v>1020</v>
      </c>
      <c r="D833" s="2" t="s">
        <v>1025</v>
      </c>
      <c r="E833" s="2" t="s">
        <v>1062</v>
      </c>
      <c r="F833" s="1">
        <v>45873</v>
      </c>
      <c r="G833" s="1">
        <v>45878</v>
      </c>
      <c r="H833" s="2">
        <v>5</v>
      </c>
      <c r="I833" s="2">
        <v>12000</v>
      </c>
      <c r="J833" s="2" t="s">
        <v>1017</v>
      </c>
      <c r="K833" s="2" t="s">
        <v>1046</v>
      </c>
      <c r="L833" t="s">
        <v>1018</v>
      </c>
      <c r="M833" s="2" t="s">
        <v>1038</v>
      </c>
      <c r="N833" s="2">
        <v>4</v>
      </c>
    </row>
    <row r="834" spans="1:14" x14ac:dyDescent="0.3">
      <c r="A834" t="s">
        <v>184</v>
      </c>
      <c r="B834">
        <v>24</v>
      </c>
      <c r="C834" s="2" t="s">
        <v>1014</v>
      </c>
      <c r="D834" s="2" t="s">
        <v>1031</v>
      </c>
      <c r="E834" s="2" t="s">
        <v>1034</v>
      </c>
      <c r="F834" s="1">
        <v>45875</v>
      </c>
      <c r="G834" s="1">
        <v>45883</v>
      </c>
      <c r="H834" s="2">
        <v>8</v>
      </c>
      <c r="I834" s="2">
        <v>120000</v>
      </c>
      <c r="J834" s="2" t="s">
        <v>1027</v>
      </c>
      <c r="K834" s="2" t="s">
        <v>1161</v>
      </c>
      <c r="L834" t="s">
        <v>1037</v>
      </c>
      <c r="M834" s="2" t="s">
        <v>1038</v>
      </c>
      <c r="N834" s="2">
        <v>3</v>
      </c>
    </row>
    <row r="835" spans="1:14" x14ac:dyDescent="0.3">
      <c r="A835" t="s">
        <v>186</v>
      </c>
      <c r="B835">
        <v>21</v>
      </c>
      <c r="C835" s="2" t="s">
        <v>1020</v>
      </c>
      <c r="D835" s="2" t="s">
        <v>1048</v>
      </c>
      <c r="E835" s="2" t="s">
        <v>1058</v>
      </c>
      <c r="F835" s="1">
        <v>45877</v>
      </c>
      <c r="G835" s="1">
        <v>45882</v>
      </c>
      <c r="H835" s="2">
        <v>5</v>
      </c>
      <c r="I835" s="2">
        <v>11100</v>
      </c>
      <c r="J835" s="2" t="s">
        <v>1027</v>
      </c>
      <c r="K835" s="2" t="s">
        <v>1028</v>
      </c>
      <c r="L835" t="s">
        <v>1037</v>
      </c>
      <c r="M835" s="2" t="s">
        <v>1038</v>
      </c>
      <c r="N835" s="2">
        <v>4</v>
      </c>
    </row>
    <row r="836" spans="1:14" x14ac:dyDescent="0.3">
      <c r="A836" t="s">
        <v>189</v>
      </c>
      <c r="B836">
        <v>33</v>
      </c>
      <c r="C836" s="2" t="s">
        <v>1020</v>
      </c>
      <c r="D836" s="2" t="s">
        <v>1025</v>
      </c>
      <c r="E836" s="2" t="s">
        <v>1091</v>
      </c>
      <c r="F836" s="1">
        <v>45880</v>
      </c>
      <c r="G836" s="1">
        <v>45891</v>
      </c>
      <c r="H836" s="2">
        <v>12</v>
      </c>
      <c r="I836" s="2">
        <v>160000</v>
      </c>
      <c r="J836" s="2" t="s">
        <v>1023</v>
      </c>
      <c r="K836" s="2" t="s">
        <v>1046</v>
      </c>
      <c r="L836" t="s">
        <v>1018</v>
      </c>
      <c r="M836" s="2" t="s">
        <v>1038</v>
      </c>
      <c r="N836" s="2">
        <v>4</v>
      </c>
    </row>
    <row r="837" spans="1:14" x14ac:dyDescent="0.3">
      <c r="A837" t="s">
        <v>190</v>
      </c>
      <c r="B837">
        <v>24</v>
      </c>
      <c r="C837" s="2" t="s">
        <v>1020</v>
      </c>
      <c r="D837" s="2" t="s">
        <v>1048</v>
      </c>
      <c r="E837" s="2" t="s">
        <v>1095</v>
      </c>
      <c r="F837" s="1">
        <v>45881</v>
      </c>
      <c r="G837" s="1">
        <v>45889</v>
      </c>
      <c r="H837" s="2">
        <v>8</v>
      </c>
      <c r="I837" s="2">
        <v>150000</v>
      </c>
      <c r="J837" s="2" t="s">
        <v>1017</v>
      </c>
      <c r="K837" s="2" t="s">
        <v>1028</v>
      </c>
      <c r="L837" t="s">
        <v>1037</v>
      </c>
      <c r="M837" s="2" t="s">
        <v>1038</v>
      </c>
      <c r="N837" s="2">
        <v>4</v>
      </c>
    </row>
    <row r="838" spans="1:14" x14ac:dyDescent="0.3">
      <c r="A838" t="s">
        <v>192</v>
      </c>
      <c r="B838">
        <v>11</v>
      </c>
      <c r="C838" s="2" t="s">
        <v>1020</v>
      </c>
      <c r="D838" s="2" t="s">
        <v>1031</v>
      </c>
      <c r="E838" s="2" t="s">
        <v>1034</v>
      </c>
      <c r="F838" s="1">
        <v>45883</v>
      </c>
      <c r="G838" s="1">
        <v>45889</v>
      </c>
      <c r="H838" s="2">
        <v>6</v>
      </c>
      <c r="I838" s="2">
        <v>123000</v>
      </c>
      <c r="J838" s="2" t="s">
        <v>1017</v>
      </c>
      <c r="K838" s="2" t="s">
        <v>1161</v>
      </c>
      <c r="L838" t="s">
        <v>1037</v>
      </c>
      <c r="M838" s="2" t="s">
        <v>1038</v>
      </c>
      <c r="N838" s="2">
        <v>3</v>
      </c>
    </row>
    <row r="839" spans="1:14" x14ac:dyDescent="0.3">
      <c r="A839" t="s">
        <v>194</v>
      </c>
      <c r="B839">
        <v>13</v>
      </c>
      <c r="C839" s="2" t="s">
        <v>1014</v>
      </c>
      <c r="D839" s="2" t="s">
        <v>1029</v>
      </c>
      <c r="E839" s="2" t="s">
        <v>1030</v>
      </c>
      <c r="F839" s="1">
        <v>45885</v>
      </c>
      <c r="G839" s="1">
        <v>45896</v>
      </c>
      <c r="H839" s="2">
        <v>11</v>
      </c>
      <c r="I839" s="2">
        <v>120000</v>
      </c>
      <c r="J839" s="2" t="s">
        <v>1023</v>
      </c>
      <c r="K839" s="2" t="s">
        <v>1033</v>
      </c>
      <c r="L839" t="s">
        <v>1037</v>
      </c>
      <c r="M839" s="2" t="s">
        <v>1038</v>
      </c>
      <c r="N839" s="2">
        <v>3</v>
      </c>
    </row>
    <row r="840" spans="1:14" x14ac:dyDescent="0.3">
      <c r="A840" t="s">
        <v>198</v>
      </c>
      <c r="B840">
        <v>65</v>
      </c>
      <c r="C840" s="2" t="s">
        <v>1020</v>
      </c>
      <c r="D840" s="2" t="s">
        <v>1025</v>
      </c>
      <c r="E840" s="2" t="s">
        <v>1127</v>
      </c>
      <c r="F840" s="1">
        <v>45889</v>
      </c>
      <c r="G840" s="1">
        <v>45899</v>
      </c>
      <c r="H840" s="2">
        <v>10</v>
      </c>
      <c r="I840" s="2">
        <v>130000</v>
      </c>
      <c r="J840" s="2" t="s">
        <v>1017</v>
      </c>
      <c r="K840" s="2" t="s">
        <v>1103</v>
      </c>
      <c r="L840" t="s">
        <v>1018</v>
      </c>
      <c r="M840" s="2" t="s">
        <v>1038</v>
      </c>
      <c r="N840" s="2">
        <v>3</v>
      </c>
    </row>
    <row r="841" spans="1:14" x14ac:dyDescent="0.3">
      <c r="A841" t="s">
        <v>199</v>
      </c>
      <c r="B841">
        <v>55</v>
      </c>
      <c r="C841" s="2" t="s">
        <v>1020</v>
      </c>
      <c r="D841" s="2" t="s">
        <v>1031</v>
      </c>
      <c r="E841" s="2" t="s">
        <v>1032</v>
      </c>
      <c r="F841" s="1">
        <v>45890</v>
      </c>
      <c r="G841" s="1">
        <v>45900</v>
      </c>
      <c r="H841" s="2">
        <v>10</v>
      </c>
      <c r="I841" s="2">
        <v>140000</v>
      </c>
      <c r="J841" s="2" t="s">
        <v>1017</v>
      </c>
      <c r="K841" s="2" t="s">
        <v>1171</v>
      </c>
      <c r="L841" t="s">
        <v>1037</v>
      </c>
      <c r="M841" s="2" t="s">
        <v>1038</v>
      </c>
      <c r="N841" s="2">
        <v>3</v>
      </c>
    </row>
    <row r="842" spans="1:14" x14ac:dyDescent="0.3">
      <c r="A842" t="s">
        <v>200</v>
      </c>
      <c r="B842">
        <v>89</v>
      </c>
      <c r="C842" s="2" t="s">
        <v>1014</v>
      </c>
      <c r="D842" s="2" t="s">
        <v>1015</v>
      </c>
      <c r="E842" s="2" t="s">
        <v>1132</v>
      </c>
      <c r="F842" s="1">
        <v>45891</v>
      </c>
      <c r="G842" s="1">
        <v>45900</v>
      </c>
      <c r="H842" s="2">
        <v>9</v>
      </c>
      <c r="I842" s="2">
        <v>89000</v>
      </c>
      <c r="J842" s="2" t="s">
        <v>1017</v>
      </c>
      <c r="K842" s="2" t="s">
        <v>1052</v>
      </c>
      <c r="L842" t="s">
        <v>1018</v>
      </c>
      <c r="M842" s="2" t="s">
        <v>1038</v>
      </c>
      <c r="N842" s="2">
        <v>4</v>
      </c>
    </row>
    <row r="843" spans="1:14" x14ac:dyDescent="0.3">
      <c r="A843" t="s">
        <v>204</v>
      </c>
      <c r="B843">
        <v>76</v>
      </c>
      <c r="C843" s="2" t="s">
        <v>1020</v>
      </c>
      <c r="D843" s="2" t="s">
        <v>1021</v>
      </c>
      <c r="E843" s="2" t="s">
        <v>1118</v>
      </c>
      <c r="F843" s="1">
        <v>45895</v>
      </c>
      <c r="G843" s="1">
        <v>45902</v>
      </c>
      <c r="H843" s="2">
        <v>7</v>
      </c>
      <c r="I843" s="2">
        <v>67900</v>
      </c>
      <c r="J843" s="2" t="s">
        <v>1023</v>
      </c>
      <c r="K843" s="2" t="s">
        <v>1147</v>
      </c>
      <c r="L843" t="s">
        <v>1018</v>
      </c>
      <c r="M843" s="2" t="s">
        <v>1038</v>
      </c>
      <c r="N843" s="2">
        <v>3</v>
      </c>
    </row>
    <row r="844" spans="1:14" x14ac:dyDescent="0.3">
      <c r="A844" t="s">
        <v>206</v>
      </c>
      <c r="B844">
        <v>24</v>
      </c>
      <c r="C844" s="2" t="s">
        <v>1020</v>
      </c>
      <c r="D844" s="2" t="s">
        <v>1021</v>
      </c>
      <c r="E844" s="2" t="s">
        <v>1060</v>
      </c>
      <c r="F844" s="1">
        <v>45897</v>
      </c>
      <c r="G844" s="1">
        <v>45902</v>
      </c>
      <c r="H844" s="2">
        <v>5</v>
      </c>
      <c r="I844" s="2">
        <v>78900</v>
      </c>
      <c r="J844" s="2" t="s">
        <v>1017</v>
      </c>
      <c r="K844" s="2" t="s">
        <v>1147</v>
      </c>
      <c r="L844" t="s">
        <v>1018</v>
      </c>
      <c r="M844" s="2" t="s">
        <v>1038</v>
      </c>
      <c r="N844" s="2">
        <v>3</v>
      </c>
    </row>
    <row r="845" spans="1:14" x14ac:dyDescent="0.3">
      <c r="A845" t="s">
        <v>208</v>
      </c>
      <c r="B845">
        <v>78</v>
      </c>
      <c r="C845" s="2" t="s">
        <v>1020</v>
      </c>
      <c r="D845" s="2" t="s">
        <v>1021</v>
      </c>
      <c r="E845" s="2" t="s">
        <v>1022</v>
      </c>
      <c r="F845" s="1">
        <v>45899</v>
      </c>
      <c r="G845" s="1">
        <v>45905</v>
      </c>
      <c r="H845" s="2">
        <v>6</v>
      </c>
      <c r="I845" s="2">
        <v>15678</v>
      </c>
      <c r="J845" s="2" t="s">
        <v>1027</v>
      </c>
      <c r="K845" s="2" t="s">
        <v>1147</v>
      </c>
      <c r="L845" t="s">
        <v>1018</v>
      </c>
      <c r="M845" s="2" t="s">
        <v>1038</v>
      </c>
      <c r="N845" s="2">
        <v>3</v>
      </c>
    </row>
    <row r="846" spans="1:14" x14ac:dyDescent="0.3">
      <c r="A846" t="s">
        <v>210</v>
      </c>
      <c r="B846">
        <v>24</v>
      </c>
      <c r="C846" s="2" t="s">
        <v>1014</v>
      </c>
      <c r="D846" s="2" t="s">
        <v>1041</v>
      </c>
      <c r="E846" s="2" t="s">
        <v>1042</v>
      </c>
      <c r="F846" s="1">
        <v>45901</v>
      </c>
      <c r="G846" s="1">
        <v>45905</v>
      </c>
      <c r="H846" s="2">
        <v>5</v>
      </c>
      <c r="I846" s="2">
        <v>14890</v>
      </c>
      <c r="J846" s="2" t="s">
        <v>1023</v>
      </c>
      <c r="K846" s="2" t="s">
        <v>1128</v>
      </c>
      <c r="L846" t="s">
        <v>1037</v>
      </c>
      <c r="M846" s="2" t="s">
        <v>1038</v>
      </c>
      <c r="N846" s="2">
        <v>3</v>
      </c>
    </row>
    <row r="847" spans="1:14" x14ac:dyDescent="0.3">
      <c r="A847" t="s">
        <v>211</v>
      </c>
      <c r="B847">
        <v>27</v>
      </c>
      <c r="C847" s="2" t="s">
        <v>1020</v>
      </c>
      <c r="D847" s="2" t="s">
        <v>1031</v>
      </c>
      <c r="E847" s="2" t="s">
        <v>1034</v>
      </c>
      <c r="F847" s="1">
        <v>45902</v>
      </c>
      <c r="G847" s="1">
        <v>45908</v>
      </c>
      <c r="H847" s="2">
        <v>6</v>
      </c>
      <c r="I847" s="2">
        <v>1500</v>
      </c>
      <c r="J847" s="2" t="s">
        <v>1027</v>
      </c>
      <c r="K847" s="2" t="s">
        <v>1161</v>
      </c>
      <c r="L847" t="s">
        <v>1037</v>
      </c>
      <c r="M847" s="2" t="s">
        <v>1038</v>
      </c>
      <c r="N847" s="2">
        <v>5</v>
      </c>
    </row>
    <row r="848" spans="1:14" x14ac:dyDescent="0.3">
      <c r="A848" t="s">
        <v>213</v>
      </c>
      <c r="B848">
        <v>24</v>
      </c>
      <c r="C848" s="2" t="s">
        <v>1014</v>
      </c>
      <c r="D848" s="2" t="s">
        <v>1029</v>
      </c>
      <c r="E848" s="2" t="s">
        <v>1133</v>
      </c>
      <c r="F848" s="1">
        <v>45904</v>
      </c>
      <c r="G848" s="1">
        <v>45911</v>
      </c>
      <c r="H848" s="2">
        <v>7</v>
      </c>
      <c r="I848" s="2">
        <v>150000</v>
      </c>
      <c r="J848" s="2" t="s">
        <v>1027</v>
      </c>
      <c r="K848" s="2" t="s">
        <v>1033</v>
      </c>
      <c r="L848" t="s">
        <v>1018</v>
      </c>
      <c r="M848" s="2" t="s">
        <v>1038</v>
      </c>
      <c r="N848" s="2">
        <v>3</v>
      </c>
    </row>
    <row r="849" spans="1:14" x14ac:dyDescent="0.3">
      <c r="A849" t="s">
        <v>215</v>
      </c>
      <c r="B849">
        <v>34</v>
      </c>
      <c r="C849" s="2" t="s">
        <v>1020</v>
      </c>
      <c r="D849" s="2" t="s">
        <v>1029</v>
      </c>
      <c r="E849" s="2" t="s">
        <v>1134</v>
      </c>
      <c r="F849" s="1">
        <v>45906</v>
      </c>
      <c r="G849" s="1">
        <v>45920</v>
      </c>
      <c r="H849" s="2">
        <v>14</v>
      </c>
      <c r="I849" s="2">
        <v>280000</v>
      </c>
      <c r="J849" s="2" t="s">
        <v>1027</v>
      </c>
      <c r="K849" s="2" t="s">
        <v>1033</v>
      </c>
      <c r="L849" t="s">
        <v>1018</v>
      </c>
      <c r="M849" s="2" t="s">
        <v>1038</v>
      </c>
      <c r="N849" s="2">
        <v>3</v>
      </c>
    </row>
    <row r="850" spans="1:14" x14ac:dyDescent="0.3">
      <c r="A850" t="s">
        <v>218</v>
      </c>
      <c r="B850">
        <v>24</v>
      </c>
      <c r="C850" s="2" t="s">
        <v>1014</v>
      </c>
      <c r="D850" s="2" t="s">
        <v>1029</v>
      </c>
      <c r="E850" s="2" t="s">
        <v>1030</v>
      </c>
      <c r="F850" s="1">
        <v>45909</v>
      </c>
      <c r="G850" s="1">
        <v>45913</v>
      </c>
      <c r="H850" s="2">
        <v>5</v>
      </c>
      <c r="I850" s="2">
        <v>43000</v>
      </c>
      <c r="J850" s="2" t="s">
        <v>1017</v>
      </c>
      <c r="K850" s="2" t="s">
        <v>1033</v>
      </c>
      <c r="L850" t="s">
        <v>1018</v>
      </c>
      <c r="M850" s="2" t="s">
        <v>1038</v>
      </c>
      <c r="N850" s="2">
        <v>2</v>
      </c>
    </row>
    <row r="851" spans="1:14" x14ac:dyDescent="0.3">
      <c r="A851" t="s">
        <v>221</v>
      </c>
      <c r="B851">
        <v>88</v>
      </c>
      <c r="C851" s="2" t="s">
        <v>1020</v>
      </c>
      <c r="D851" s="2" t="s">
        <v>1025</v>
      </c>
      <c r="E851" s="2" t="s">
        <v>1127</v>
      </c>
      <c r="F851" s="1">
        <v>45912</v>
      </c>
      <c r="G851" s="1">
        <v>45930</v>
      </c>
      <c r="H851" s="2">
        <v>18</v>
      </c>
      <c r="I851" s="2">
        <v>176000</v>
      </c>
      <c r="J851" s="2" t="s">
        <v>1027</v>
      </c>
      <c r="K851" s="2" t="s">
        <v>1046</v>
      </c>
      <c r="L851" t="s">
        <v>1018</v>
      </c>
      <c r="M851" s="2" t="s">
        <v>1038</v>
      </c>
      <c r="N851" s="2">
        <v>2</v>
      </c>
    </row>
    <row r="852" spans="1:14" x14ac:dyDescent="0.3">
      <c r="A852" t="s">
        <v>223</v>
      </c>
      <c r="B852">
        <v>79</v>
      </c>
      <c r="C852" s="2" t="s">
        <v>1014</v>
      </c>
      <c r="D852" s="2" t="s">
        <v>1015</v>
      </c>
      <c r="E852" s="2" t="s">
        <v>1016</v>
      </c>
      <c r="F852" s="1">
        <v>45914</v>
      </c>
      <c r="G852" s="1">
        <v>45924</v>
      </c>
      <c r="H852" s="2">
        <v>10</v>
      </c>
      <c r="I852" s="2">
        <v>145000</v>
      </c>
      <c r="J852" s="2" t="s">
        <v>1027</v>
      </c>
      <c r="K852" s="2" t="s">
        <v>1052</v>
      </c>
      <c r="L852" t="s">
        <v>1018</v>
      </c>
      <c r="M852" s="2" t="s">
        <v>1038</v>
      </c>
      <c r="N852" s="2">
        <v>2</v>
      </c>
    </row>
    <row r="853" spans="1:14" x14ac:dyDescent="0.3">
      <c r="A853" t="s">
        <v>224</v>
      </c>
      <c r="B853">
        <v>11</v>
      </c>
      <c r="C853" s="2" t="s">
        <v>1014</v>
      </c>
      <c r="D853" s="2" t="s">
        <v>1025</v>
      </c>
      <c r="E853" s="2" t="s">
        <v>1055</v>
      </c>
      <c r="F853" s="1">
        <v>45915</v>
      </c>
      <c r="G853" s="1">
        <v>45928</v>
      </c>
      <c r="H853" s="2">
        <v>13</v>
      </c>
      <c r="I853" s="2">
        <v>150000</v>
      </c>
      <c r="J853" s="2" t="s">
        <v>1023</v>
      </c>
      <c r="K853" s="2" t="s">
        <v>1046</v>
      </c>
      <c r="L853" t="s">
        <v>1037</v>
      </c>
      <c r="M853" s="2" t="s">
        <v>1038</v>
      </c>
      <c r="N853" s="2">
        <v>3</v>
      </c>
    </row>
    <row r="854" spans="1:14" x14ac:dyDescent="0.3">
      <c r="A854" t="s">
        <v>226</v>
      </c>
      <c r="B854">
        <v>25</v>
      </c>
      <c r="C854" s="2" t="s">
        <v>1020</v>
      </c>
      <c r="D854" s="2" t="s">
        <v>1039</v>
      </c>
      <c r="E854" s="2" t="s">
        <v>1082</v>
      </c>
      <c r="F854" s="1">
        <v>45917</v>
      </c>
      <c r="G854" s="1">
        <v>45920</v>
      </c>
      <c r="H854" s="2">
        <v>3</v>
      </c>
      <c r="I854" s="2">
        <v>100000</v>
      </c>
      <c r="J854" s="2" t="s">
        <v>1017</v>
      </c>
      <c r="K854" s="2" t="s">
        <v>1059</v>
      </c>
      <c r="L854" t="s">
        <v>1037</v>
      </c>
      <c r="M854" s="2" t="s">
        <v>1038</v>
      </c>
      <c r="N854" s="2">
        <v>5</v>
      </c>
    </row>
    <row r="855" spans="1:14" x14ac:dyDescent="0.3">
      <c r="A855" t="s">
        <v>228</v>
      </c>
      <c r="B855">
        <v>24</v>
      </c>
      <c r="C855" s="2" t="s">
        <v>1020</v>
      </c>
      <c r="D855" s="2" t="s">
        <v>1124</v>
      </c>
      <c r="E855" s="2" t="s">
        <v>1125</v>
      </c>
      <c r="F855" s="1">
        <v>45919</v>
      </c>
      <c r="G855" s="1">
        <v>45930</v>
      </c>
      <c r="H855" s="2">
        <v>11</v>
      </c>
      <c r="I855" s="2">
        <v>67000</v>
      </c>
      <c r="J855" s="2" t="s">
        <v>1017</v>
      </c>
      <c r="K855" s="2" t="s">
        <v>1044</v>
      </c>
      <c r="L855" t="s">
        <v>1018</v>
      </c>
      <c r="M855" s="2" t="s">
        <v>1038</v>
      </c>
      <c r="N855" s="2">
        <v>5</v>
      </c>
    </row>
    <row r="856" spans="1:14" x14ac:dyDescent="0.3">
      <c r="A856" t="s">
        <v>231</v>
      </c>
      <c r="B856">
        <v>78</v>
      </c>
      <c r="C856" s="2" t="s">
        <v>1014</v>
      </c>
      <c r="D856" s="2" t="s">
        <v>1025</v>
      </c>
      <c r="E856" s="2" t="s">
        <v>1136</v>
      </c>
      <c r="F856" s="1">
        <v>45922</v>
      </c>
      <c r="G856" s="1">
        <v>45931</v>
      </c>
      <c r="H856" s="2">
        <v>9</v>
      </c>
      <c r="I856" s="2">
        <v>90000</v>
      </c>
      <c r="J856" s="2" t="s">
        <v>1027</v>
      </c>
      <c r="K856" s="2" t="s">
        <v>1046</v>
      </c>
      <c r="L856" t="s">
        <v>1037</v>
      </c>
      <c r="M856" s="2" t="s">
        <v>1038</v>
      </c>
      <c r="N856" s="2">
        <v>2</v>
      </c>
    </row>
    <row r="857" spans="1:14" x14ac:dyDescent="0.3">
      <c r="A857" t="s">
        <v>234</v>
      </c>
      <c r="B857">
        <v>23</v>
      </c>
      <c r="C857" s="2" t="s">
        <v>1014</v>
      </c>
      <c r="D857" s="2" t="s">
        <v>1025</v>
      </c>
      <c r="E857" s="2" t="s">
        <v>1055</v>
      </c>
      <c r="F857" s="1">
        <v>45925</v>
      </c>
      <c r="G857" s="1">
        <v>45931</v>
      </c>
      <c r="H857" s="2">
        <v>6</v>
      </c>
      <c r="I857" s="2">
        <v>78000</v>
      </c>
      <c r="J857" s="2" t="s">
        <v>1027</v>
      </c>
      <c r="K857" s="2" t="s">
        <v>1046</v>
      </c>
      <c r="L857" t="s">
        <v>1018</v>
      </c>
      <c r="M857" s="2" t="s">
        <v>1038</v>
      </c>
      <c r="N857" s="2">
        <v>4</v>
      </c>
    </row>
    <row r="858" spans="1:14" x14ac:dyDescent="0.3">
      <c r="A858" t="s">
        <v>236</v>
      </c>
      <c r="B858">
        <v>24</v>
      </c>
      <c r="C858" s="2" t="s">
        <v>1014</v>
      </c>
      <c r="D858" s="2" t="s">
        <v>1029</v>
      </c>
      <c r="E858" s="2" t="s">
        <v>1138</v>
      </c>
      <c r="F858" s="1">
        <v>45927</v>
      </c>
      <c r="G858" s="1">
        <v>45931</v>
      </c>
      <c r="H858" s="2">
        <v>4</v>
      </c>
      <c r="I858" s="2">
        <v>78900</v>
      </c>
      <c r="J858" s="2" t="s">
        <v>1027</v>
      </c>
      <c r="K858" s="2" t="s">
        <v>1033</v>
      </c>
      <c r="L858" t="s">
        <v>1018</v>
      </c>
      <c r="M858" s="2" t="s">
        <v>1038</v>
      </c>
      <c r="N858" s="2">
        <v>2</v>
      </c>
    </row>
    <row r="859" spans="1:14" x14ac:dyDescent="0.3">
      <c r="A859" t="s">
        <v>238</v>
      </c>
      <c r="B859">
        <v>87</v>
      </c>
      <c r="C859" s="2" t="s">
        <v>1014</v>
      </c>
      <c r="D859" s="2" t="s">
        <v>1021</v>
      </c>
      <c r="E859" s="2" t="s">
        <v>1139</v>
      </c>
      <c r="F859" s="1">
        <v>45929</v>
      </c>
      <c r="G859" s="1">
        <v>45935</v>
      </c>
      <c r="H859" s="2">
        <v>6</v>
      </c>
      <c r="I859" s="2">
        <v>49000</v>
      </c>
      <c r="J859" s="2" t="s">
        <v>1017</v>
      </c>
      <c r="K859" s="2" t="s">
        <v>1147</v>
      </c>
      <c r="L859" t="s">
        <v>1018</v>
      </c>
      <c r="M859" s="2" t="s">
        <v>1038</v>
      </c>
      <c r="N859" s="2">
        <v>3</v>
      </c>
    </row>
    <row r="860" spans="1:14" x14ac:dyDescent="0.3">
      <c r="A860" t="s">
        <v>240</v>
      </c>
      <c r="B860">
        <v>24</v>
      </c>
      <c r="C860" s="2" t="s">
        <v>1020</v>
      </c>
      <c r="D860" s="2" t="s">
        <v>1041</v>
      </c>
      <c r="E860" s="2" t="s">
        <v>1042</v>
      </c>
      <c r="F860" s="1">
        <v>45931</v>
      </c>
      <c r="G860" s="1">
        <v>45935</v>
      </c>
      <c r="H860" s="2">
        <v>5</v>
      </c>
      <c r="I860" s="2">
        <v>12000</v>
      </c>
      <c r="J860" s="2" t="s">
        <v>1027</v>
      </c>
      <c r="K860" s="2" t="s">
        <v>1128</v>
      </c>
      <c r="L860" t="s">
        <v>1037</v>
      </c>
      <c r="M860" s="2" t="s">
        <v>1038</v>
      </c>
      <c r="N860" s="2">
        <v>4</v>
      </c>
    </row>
    <row r="861" spans="1:14" x14ac:dyDescent="0.3">
      <c r="A861" t="s">
        <v>243</v>
      </c>
      <c r="B861">
        <v>10</v>
      </c>
      <c r="C861" s="2" t="s">
        <v>1014</v>
      </c>
      <c r="D861" s="2" t="s">
        <v>1035</v>
      </c>
      <c r="E861" s="2" t="s">
        <v>1078</v>
      </c>
      <c r="F861" s="1">
        <v>45934</v>
      </c>
      <c r="G861" s="1">
        <v>45945</v>
      </c>
      <c r="H861" s="2">
        <v>11</v>
      </c>
      <c r="I861" s="2">
        <v>100000</v>
      </c>
      <c r="J861" s="2" t="s">
        <v>1023</v>
      </c>
      <c r="K861" s="2" t="s">
        <v>1106</v>
      </c>
      <c r="L861" t="s">
        <v>1018</v>
      </c>
      <c r="M861" s="2" t="s">
        <v>1038</v>
      </c>
      <c r="N861">
        <v>5</v>
      </c>
    </row>
    <row r="862" spans="1:14" x14ac:dyDescent="0.3">
      <c r="A862" t="s">
        <v>244</v>
      </c>
      <c r="B862">
        <v>21</v>
      </c>
      <c r="C862" s="2" t="s">
        <v>1020</v>
      </c>
      <c r="D862" s="2" t="s">
        <v>1035</v>
      </c>
      <c r="E862" s="2" t="s">
        <v>1047</v>
      </c>
      <c r="F862" s="1">
        <v>45935</v>
      </c>
      <c r="G862" s="1">
        <v>45950</v>
      </c>
      <c r="H862" s="2">
        <v>15</v>
      </c>
      <c r="I862" s="2">
        <v>150000</v>
      </c>
      <c r="J862" s="2" t="s">
        <v>1027</v>
      </c>
      <c r="K862" s="2" t="s">
        <v>1106</v>
      </c>
      <c r="L862" t="s">
        <v>1037</v>
      </c>
      <c r="M862" s="2" t="s">
        <v>1038</v>
      </c>
      <c r="N862" s="2">
        <v>4</v>
      </c>
    </row>
    <row r="863" spans="1:14" x14ac:dyDescent="0.3">
      <c r="A863" t="s">
        <v>245</v>
      </c>
      <c r="B863">
        <v>34</v>
      </c>
      <c r="C863" s="2" t="s">
        <v>1020</v>
      </c>
      <c r="D863" s="2" t="s">
        <v>1025</v>
      </c>
      <c r="E863" s="2" t="s">
        <v>1055</v>
      </c>
      <c r="F863" s="1">
        <v>45936</v>
      </c>
      <c r="G863" s="1">
        <v>45945</v>
      </c>
      <c r="H863" s="2">
        <v>9</v>
      </c>
      <c r="I863" s="2">
        <v>145000</v>
      </c>
      <c r="J863" s="2" t="s">
        <v>1017</v>
      </c>
      <c r="K863" s="2" t="s">
        <v>1046</v>
      </c>
      <c r="L863" t="s">
        <v>1018</v>
      </c>
      <c r="M863" s="2" t="s">
        <v>1038</v>
      </c>
      <c r="N863">
        <v>4</v>
      </c>
    </row>
    <row r="864" spans="1:14" x14ac:dyDescent="0.3">
      <c r="A864" t="s">
        <v>246</v>
      </c>
      <c r="B864">
        <v>54</v>
      </c>
      <c r="C864" s="2" t="s">
        <v>1014</v>
      </c>
      <c r="D864" s="2" t="s">
        <v>1035</v>
      </c>
      <c r="E864" s="2" t="s">
        <v>1074</v>
      </c>
      <c r="F864" s="1">
        <v>45937</v>
      </c>
      <c r="G864" s="1">
        <v>45951</v>
      </c>
      <c r="H864" s="2">
        <v>14</v>
      </c>
      <c r="I864" s="2">
        <v>156000</v>
      </c>
      <c r="J864" s="2" t="s">
        <v>1027</v>
      </c>
      <c r="K864" s="2" t="s">
        <v>1106</v>
      </c>
      <c r="L864" t="s">
        <v>1037</v>
      </c>
      <c r="M864" s="2" t="s">
        <v>1038</v>
      </c>
      <c r="N864">
        <v>3</v>
      </c>
    </row>
    <row r="865" spans="1:14" x14ac:dyDescent="0.3">
      <c r="A865" t="s">
        <v>251</v>
      </c>
      <c r="B865">
        <v>46</v>
      </c>
      <c r="C865" s="2" t="s">
        <v>1020</v>
      </c>
      <c r="D865" s="2" t="s">
        <v>1031</v>
      </c>
      <c r="E865" s="2" t="s">
        <v>1034</v>
      </c>
      <c r="F865" s="1">
        <v>45942</v>
      </c>
      <c r="G865" s="1">
        <v>45949</v>
      </c>
      <c r="H865" s="2">
        <v>7</v>
      </c>
      <c r="I865" s="2">
        <v>55000</v>
      </c>
      <c r="J865" s="2" t="s">
        <v>1017</v>
      </c>
      <c r="K865" s="2" t="s">
        <v>1161</v>
      </c>
      <c r="L865" t="s">
        <v>1018</v>
      </c>
      <c r="M865" s="2" t="s">
        <v>1038</v>
      </c>
      <c r="N865">
        <v>5</v>
      </c>
    </row>
    <row r="866" spans="1:14" x14ac:dyDescent="0.3">
      <c r="A866" t="s">
        <v>252</v>
      </c>
      <c r="B866">
        <v>44</v>
      </c>
      <c r="C866" s="2" t="s">
        <v>1020</v>
      </c>
      <c r="D866" s="2" t="s">
        <v>1041</v>
      </c>
      <c r="E866" s="2" t="s">
        <v>1042</v>
      </c>
      <c r="F866" s="1">
        <v>45943</v>
      </c>
      <c r="G866" s="1">
        <v>45950</v>
      </c>
      <c r="H866" s="2">
        <v>7</v>
      </c>
      <c r="I866" s="2">
        <v>45000</v>
      </c>
      <c r="J866" s="2" t="s">
        <v>1017</v>
      </c>
      <c r="K866" s="2" t="s">
        <v>1128</v>
      </c>
      <c r="L866" t="s">
        <v>1037</v>
      </c>
      <c r="M866" s="2" t="s">
        <v>1038</v>
      </c>
      <c r="N866">
        <v>5</v>
      </c>
    </row>
    <row r="867" spans="1:14" x14ac:dyDescent="0.3">
      <c r="A867" t="s">
        <v>254</v>
      </c>
      <c r="B867">
        <v>35</v>
      </c>
      <c r="C867" s="2" t="s">
        <v>1014</v>
      </c>
      <c r="D867" s="2" t="s">
        <v>1021</v>
      </c>
      <c r="E867" s="2" t="s">
        <v>1022</v>
      </c>
      <c r="F867" s="1">
        <v>45945</v>
      </c>
      <c r="G867" s="1">
        <v>45951</v>
      </c>
      <c r="H867" s="2">
        <v>6</v>
      </c>
      <c r="I867" s="2">
        <v>178000</v>
      </c>
      <c r="J867" s="2" t="s">
        <v>1023</v>
      </c>
      <c r="K867" s="2" t="s">
        <v>1147</v>
      </c>
      <c r="L867" t="s">
        <v>1037</v>
      </c>
      <c r="M867" s="2" t="s">
        <v>1038</v>
      </c>
      <c r="N867">
        <v>4</v>
      </c>
    </row>
    <row r="868" spans="1:14" x14ac:dyDescent="0.3">
      <c r="A868" t="s">
        <v>256</v>
      </c>
      <c r="B868">
        <v>48</v>
      </c>
      <c r="C868" s="2" t="s">
        <v>1020</v>
      </c>
      <c r="D868" s="2" t="s">
        <v>1025</v>
      </c>
      <c r="E868" s="2" t="s">
        <v>1123</v>
      </c>
      <c r="F868" s="1">
        <v>45947</v>
      </c>
      <c r="G868" s="1">
        <v>45950</v>
      </c>
      <c r="H868" s="2">
        <v>3</v>
      </c>
      <c r="I868" s="2">
        <v>67000</v>
      </c>
      <c r="J868" s="2" t="s">
        <v>1017</v>
      </c>
      <c r="K868" s="2" t="s">
        <v>1046</v>
      </c>
      <c r="L868" t="s">
        <v>1037</v>
      </c>
      <c r="M868" s="2" t="s">
        <v>1038</v>
      </c>
      <c r="N868">
        <v>4</v>
      </c>
    </row>
    <row r="869" spans="1:14" x14ac:dyDescent="0.3">
      <c r="A869" t="s">
        <v>258</v>
      </c>
      <c r="B869">
        <v>78</v>
      </c>
      <c r="C869" s="2" t="s">
        <v>1020</v>
      </c>
      <c r="D869" s="2" t="s">
        <v>1021</v>
      </c>
      <c r="E869" s="2" t="s">
        <v>1022</v>
      </c>
      <c r="F869" s="1">
        <v>45949</v>
      </c>
      <c r="G869" s="1">
        <v>45957</v>
      </c>
      <c r="H869" s="2">
        <v>8</v>
      </c>
      <c r="I869" s="2">
        <v>100000</v>
      </c>
      <c r="J869" s="2" t="s">
        <v>1017</v>
      </c>
      <c r="K869" s="2" t="s">
        <v>1147</v>
      </c>
      <c r="L869" t="s">
        <v>1018</v>
      </c>
      <c r="M869" s="2" t="s">
        <v>1038</v>
      </c>
      <c r="N869">
        <v>5</v>
      </c>
    </row>
    <row r="870" spans="1:14" x14ac:dyDescent="0.3">
      <c r="A870" t="s">
        <v>259</v>
      </c>
      <c r="B870">
        <v>67</v>
      </c>
      <c r="C870" s="2" t="s">
        <v>1020</v>
      </c>
      <c r="D870" s="2" t="s">
        <v>1035</v>
      </c>
      <c r="E870" s="2" t="s">
        <v>1047</v>
      </c>
      <c r="F870" s="1">
        <v>45950</v>
      </c>
      <c r="G870" s="1">
        <v>45960</v>
      </c>
      <c r="H870" s="2">
        <v>10</v>
      </c>
      <c r="I870" s="2">
        <v>150000</v>
      </c>
      <c r="J870" s="2" t="s">
        <v>1023</v>
      </c>
      <c r="K870" s="2" t="s">
        <v>1106</v>
      </c>
      <c r="L870" t="s">
        <v>1037</v>
      </c>
      <c r="M870" s="2" t="s">
        <v>1038</v>
      </c>
      <c r="N870">
        <v>5</v>
      </c>
    </row>
    <row r="871" spans="1:14" x14ac:dyDescent="0.3">
      <c r="A871" t="s">
        <v>261</v>
      </c>
      <c r="B871">
        <v>27</v>
      </c>
      <c r="C871" s="2" t="s">
        <v>1014</v>
      </c>
      <c r="D871" s="2" t="s">
        <v>1021</v>
      </c>
      <c r="E871" s="2" t="s">
        <v>1142</v>
      </c>
      <c r="F871" s="1">
        <v>45952</v>
      </c>
      <c r="G871" s="1">
        <v>45960</v>
      </c>
      <c r="H871" s="2">
        <v>8</v>
      </c>
      <c r="I871" s="2">
        <v>156000</v>
      </c>
      <c r="J871" s="2" t="s">
        <v>1027</v>
      </c>
      <c r="K871" s="2" t="s">
        <v>1147</v>
      </c>
      <c r="L871" t="s">
        <v>1037</v>
      </c>
      <c r="M871" s="2" t="s">
        <v>1038</v>
      </c>
      <c r="N871">
        <v>4</v>
      </c>
    </row>
    <row r="872" spans="1:14" x14ac:dyDescent="0.3">
      <c r="A872" t="s">
        <v>264</v>
      </c>
      <c r="B872">
        <v>21</v>
      </c>
      <c r="C872" s="2" t="s">
        <v>1014</v>
      </c>
      <c r="D872" s="2" t="s">
        <v>1041</v>
      </c>
      <c r="E872" s="2" t="s">
        <v>1108</v>
      </c>
      <c r="F872" s="1">
        <v>45955</v>
      </c>
      <c r="G872" s="1">
        <v>45958</v>
      </c>
      <c r="H872" s="2">
        <v>3</v>
      </c>
      <c r="I872" s="2">
        <v>145000</v>
      </c>
      <c r="J872" s="2" t="s">
        <v>1017</v>
      </c>
      <c r="K872" s="2" t="s">
        <v>1128</v>
      </c>
      <c r="L872" t="s">
        <v>1018</v>
      </c>
      <c r="M872" s="2" t="s">
        <v>1038</v>
      </c>
      <c r="N872">
        <v>4</v>
      </c>
    </row>
    <row r="873" spans="1:14" x14ac:dyDescent="0.3">
      <c r="A873" t="s">
        <v>265</v>
      </c>
      <c r="B873">
        <v>22</v>
      </c>
      <c r="C873" s="2" t="s">
        <v>1020</v>
      </c>
      <c r="D873" s="2" t="s">
        <v>1025</v>
      </c>
      <c r="E873" s="2" t="s">
        <v>1055</v>
      </c>
      <c r="F873" s="1">
        <v>45956</v>
      </c>
      <c r="G873" s="3">
        <v>45960</v>
      </c>
      <c r="H873" s="2">
        <v>4</v>
      </c>
      <c r="I873" s="2">
        <v>145000</v>
      </c>
      <c r="J873" s="2" t="s">
        <v>1017</v>
      </c>
      <c r="K873" s="2" t="s">
        <v>1046</v>
      </c>
      <c r="L873" t="s">
        <v>1037</v>
      </c>
      <c r="M873" s="2" t="s">
        <v>1038</v>
      </c>
      <c r="N873">
        <v>5</v>
      </c>
    </row>
    <row r="874" spans="1:14" x14ac:dyDescent="0.3">
      <c r="A874" t="s">
        <v>271</v>
      </c>
      <c r="B874">
        <v>44</v>
      </c>
      <c r="C874" s="2" t="s">
        <v>1020</v>
      </c>
      <c r="D874" s="2" t="s">
        <v>1041</v>
      </c>
      <c r="E874" s="2" t="s">
        <v>1108</v>
      </c>
      <c r="F874" s="1">
        <v>45962</v>
      </c>
      <c r="G874" s="1">
        <v>45971</v>
      </c>
      <c r="H874" s="2">
        <v>10</v>
      </c>
      <c r="I874" s="2">
        <v>134000</v>
      </c>
      <c r="J874" s="2" t="s">
        <v>1027</v>
      </c>
      <c r="K874" s="2" t="s">
        <v>1128</v>
      </c>
      <c r="L874" t="s">
        <v>1037</v>
      </c>
      <c r="M874" s="2" t="s">
        <v>1038</v>
      </c>
      <c r="N874">
        <v>4.5</v>
      </c>
    </row>
    <row r="875" spans="1:14" x14ac:dyDescent="0.3">
      <c r="A875" t="s">
        <v>272</v>
      </c>
      <c r="B875">
        <v>24</v>
      </c>
      <c r="C875" s="2" t="s">
        <v>1014</v>
      </c>
      <c r="D875" s="2" t="s">
        <v>1025</v>
      </c>
      <c r="E875" s="2" t="s">
        <v>1127</v>
      </c>
      <c r="F875" s="1">
        <v>45963</v>
      </c>
      <c r="G875" s="1">
        <v>45976</v>
      </c>
      <c r="H875" s="2">
        <v>13</v>
      </c>
      <c r="I875" s="2">
        <v>156000</v>
      </c>
      <c r="J875" s="2" t="s">
        <v>1027</v>
      </c>
      <c r="K875" s="2" t="s">
        <v>1046</v>
      </c>
      <c r="L875" t="s">
        <v>1018</v>
      </c>
      <c r="M875" s="2" t="s">
        <v>1038</v>
      </c>
      <c r="N875">
        <v>5</v>
      </c>
    </row>
    <row r="876" spans="1:14" x14ac:dyDescent="0.3">
      <c r="A876" t="s">
        <v>274</v>
      </c>
      <c r="B876">
        <v>57</v>
      </c>
      <c r="C876" s="2" t="s">
        <v>1020</v>
      </c>
      <c r="D876" s="2" t="s">
        <v>1025</v>
      </c>
      <c r="E876" s="2" t="s">
        <v>1127</v>
      </c>
      <c r="F876" s="1">
        <v>45965</v>
      </c>
      <c r="G876" s="1">
        <v>45970</v>
      </c>
      <c r="H876" s="2">
        <v>5</v>
      </c>
      <c r="I876" s="2">
        <v>150000</v>
      </c>
      <c r="J876" s="2" t="s">
        <v>1023</v>
      </c>
      <c r="K876" s="2" t="s">
        <v>1046</v>
      </c>
      <c r="L876" t="s">
        <v>1037</v>
      </c>
      <c r="M876" s="2" t="s">
        <v>1038</v>
      </c>
      <c r="N876">
        <v>3.4</v>
      </c>
    </row>
    <row r="877" spans="1:14" x14ac:dyDescent="0.3">
      <c r="A877" t="s">
        <v>275</v>
      </c>
      <c r="B877">
        <v>60</v>
      </c>
      <c r="C877" s="2" t="s">
        <v>1020</v>
      </c>
      <c r="D877" s="2" t="s">
        <v>1031</v>
      </c>
      <c r="E877" s="2" t="s">
        <v>1053</v>
      </c>
      <c r="F877" s="1">
        <v>45966</v>
      </c>
      <c r="G877" s="1">
        <v>45981</v>
      </c>
      <c r="H877" s="2">
        <v>15</v>
      </c>
      <c r="I877" s="2">
        <v>120000</v>
      </c>
      <c r="J877" s="2" t="s">
        <v>1027</v>
      </c>
      <c r="K877" s="2" t="s">
        <v>1161</v>
      </c>
      <c r="L877" t="s">
        <v>1018</v>
      </c>
      <c r="M877" s="2" t="s">
        <v>1038</v>
      </c>
      <c r="N877">
        <v>3.5</v>
      </c>
    </row>
    <row r="878" spans="1:14" x14ac:dyDescent="0.3">
      <c r="A878" t="s">
        <v>283</v>
      </c>
      <c r="B878">
        <v>31</v>
      </c>
      <c r="C878" s="2" t="s">
        <v>1020</v>
      </c>
      <c r="D878" s="2" t="s">
        <v>1025</v>
      </c>
      <c r="E878" s="2" t="s">
        <v>1136</v>
      </c>
      <c r="F878" s="1">
        <v>45974</v>
      </c>
      <c r="G878" s="1">
        <v>45991</v>
      </c>
      <c r="H878" s="2">
        <v>17</v>
      </c>
      <c r="I878" s="2">
        <v>156000</v>
      </c>
      <c r="J878" s="2" t="s">
        <v>1017</v>
      </c>
      <c r="K878" s="2" t="s">
        <v>1046</v>
      </c>
      <c r="L878" t="s">
        <v>1018</v>
      </c>
      <c r="M878" s="2" t="s">
        <v>1038</v>
      </c>
      <c r="N878">
        <v>2</v>
      </c>
    </row>
    <row r="879" spans="1:14" x14ac:dyDescent="0.3">
      <c r="A879" t="s">
        <v>284</v>
      </c>
      <c r="B879">
        <v>24</v>
      </c>
      <c r="C879" s="2" t="s">
        <v>1020</v>
      </c>
      <c r="D879" s="2" t="s">
        <v>1015</v>
      </c>
      <c r="E879" s="2" t="s">
        <v>1116</v>
      </c>
      <c r="F879" s="1">
        <v>45975</v>
      </c>
      <c r="G879" s="1">
        <v>45978</v>
      </c>
      <c r="H879" s="2">
        <v>3</v>
      </c>
      <c r="I879" s="2">
        <v>98000</v>
      </c>
      <c r="J879" s="2" t="s">
        <v>1023</v>
      </c>
      <c r="K879" s="2" t="s">
        <v>1052</v>
      </c>
      <c r="L879" t="s">
        <v>1037</v>
      </c>
      <c r="M879" s="2" t="s">
        <v>1038</v>
      </c>
      <c r="N879">
        <v>4</v>
      </c>
    </row>
    <row r="880" spans="1:14" x14ac:dyDescent="0.3">
      <c r="A880" t="s">
        <v>286</v>
      </c>
      <c r="B880">
        <v>47</v>
      </c>
      <c r="C880" s="2" t="s">
        <v>1014</v>
      </c>
      <c r="D880" s="2" t="s">
        <v>1035</v>
      </c>
      <c r="E880" s="2" t="s">
        <v>1074</v>
      </c>
      <c r="F880" s="1">
        <v>45977</v>
      </c>
      <c r="G880" s="1">
        <v>45981</v>
      </c>
      <c r="H880" s="2">
        <v>4</v>
      </c>
      <c r="I880" s="2">
        <v>25000</v>
      </c>
      <c r="J880" s="2" t="s">
        <v>1027</v>
      </c>
      <c r="K880" s="2" t="s">
        <v>1106</v>
      </c>
      <c r="L880" t="s">
        <v>1037</v>
      </c>
      <c r="M880" s="2" t="s">
        <v>1038</v>
      </c>
      <c r="N880">
        <v>4</v>
      </c>
    </row>
    <row r="881" spans="1:14" x14ac:dyDescent="0.3">
      <c r="A881" t="s">
        <v>287</v>
      </c>
      <c r="B881">
        <v>24</v>
      </c>
      <c r="C881" s="2" t="s">
        <v>1014</v>
      </c>
      <c r="D881" s="2" t="s">
        <v>1025</v>
      </c>
      <c r="E881" s="2" t="s">
        <v>1127</v>
      </c>
      <c r="F881" s="1">
        <v>45978</v>
      </c>
      <c r="G881" s="1">
        <v>45979</v>
      </c>
      <c r="H881" s="2">
        <v>1</v>
      </c>
      <c r="I881" s="2">
        <v>35000</v>
      </c>
      <c r="J881" s="2" t="s">
        <v>1027</v>
      </c>
      <c r="K881" s="2" t="s">
        <v>1046</v>
      </c>
      <c r="L881" t="s">
        <v>1018</v>
      </c>
      <c r="M881" s="2" t="s">
        <v>1038</v>
      </c>
      <c r="N881">
        <v>3</v>
      </c>
    </row>
    <row r="882" spans="1:14" x14ac:dyDescent="0.3">
      <c r="A882" t="s">
        <v>288</v>
      </c>
      <c r="B882">
        <v>19</v>
      </c>
      <c r="C882" s="2" t="s">
        <v>1020</v>
      </c>
      <c r="D882" s="2" t="s">
        <v>1029</v>
      </c>
      <c r="E882" s="2" t="s">
        <v>1050</v>
      </c>
      <c r="F882" s="1">
        <v>45979</v>
      </c>
      <c r="G882" s="1">
        <v>45982</v>
      </c>
      <c r="H882" s="2">
        <v>3</v>
      </c>
      <c r="I882" s="2">
        <v>120000</v>
      </c>
      <c r="J882" s="2" t="s">
        <v>1017</v>
      </c>
      <c r="K882" s="2" t="s">
        <v>1033</v>
      </c>
      <c r="L882" t="s">
        <v>1018</v>
      </c>
      <c r="M882" s="2" t="s">
        <v>1038</v>
      </c>
      <c r="N882">
        <v>4</v>
      </c>
    </row>
    <row r="883" spans="1:14" x14ac:dyDescent="0.3">
      <c r="A883" t="s">
        <v>292</v>
      </c>
      <c r="B883">
        <v>11</v>
      </c>
      <c r="C883" s="2" t="s">
        <v>1020</v>
      </c>
      <c r="D883" s="2" t="s">
        <v>1021</v>
      </c>
      <c r="E883" s="2" t="s">
        <v>1077</v>
      </c>
      <c r="F883" s="1">
        <v>45983</v>
      </c>
      <c r="G883" s="1">
        <v>45991</v>
      </c>
      <c r="H883" s="2">
        <v>8</v>
      </c>
      <c r="I883" s="2">
        <v>134000</v>
      </c>
      <c r="J883" s="2" t="s">
        <v>1023</v>
      </c>
      <c r="K883" s="2" t="s">
        <v>1147</v>
      </c>
      <c r="L883" t="s">
        <v>1037</v>
      </c>
      <c r="M883" s="2" t="s">
        <v>1038</v>
      </c>
      <c r="N883">
        <v>5</v>
      </c>
    </row>
    <row r="884" spans="1:14" x14ac:dyDescent="0.3">
      <c r="A884" t="s">
        <v>295</v>
      </c>
      <c r="B884">
        <v>12</v>
      </c>
      <c r="C884" s="2" t="s">
        <v>1014</v>
      </c>
      <c r="D884" s="2" t="s">
        <v>1035</v>
      </c>
      <c r="E884" s="2" t="s">
        <v>1115</v>
      </c>
      <c r="F884" s="1">
        <v>45986</v>
      </c>
      <c r="G884" s="1">
        <v>45993</v>
      </c>
      <c r="H884" s="2">
        <v>7</v>
      </c>
      <c r="I884" s="2">
        <v>140000</v>
      </c>
      <c r="J884" s="2" t="s">
        <v>1017</v>
      </c>
      <c r="K884" s="2" t="s">
        <v>1106</v>
      </c>
      <c r="L884" t="s">
        <v>1037</v>
      </c>
      <c r="M884" s="2" t="s">
        <v>1038</v>
      </c>
      <c r="N884">
        <v>5</v>
      </c>
    </row>
    <row r="885" spans="1:14" x14ac:dyDescent="0.3">
      <c r="A885" t="s">
        <v>297</v>
      </c>
      <c r="B885">
        <v>65</v>
      </c>
      <c r="C885" s="2" t="s">
        <v>1020</v>
      </c>
      <c r="D885" s="2" t="s">
        <v>1021</v>
      </c>
      <c r="E885" s="2" t="s">
        <v>1080</v>
      </c>
      <c r="F885" s="1">
        <v>45988</v>
      </c>
      <c r="G885" s="1">
        <v>46000</v>
      </c>
      <c r="H885" s="2">
        <v>11</v>
      </c>
      <c r="I885" s="2">
        <v>155000</v>
      </c>
      <c r="J885" s="2" t="s">
        <v>1027</v>
      </c>
      <c r="K885" s="2" t="s">
        <v>1147</v>
      </c>
      <c r="L885" t="s">
        <v>1037</v>
      </c>
      <c r="M885" s="2" t="s">
        <v>1038</v>
      </c>
      <c r="N885">
        <v>3</v>
      </c>
    </row>
    <row r="886" spans="1:14" x14ac:dyDescent="0.3">
      <c r="A886" t="s">
        <v>298</v>
      </c>
      <c r="B886">
        <v>67</v>
      </c>
      <c r="C886" s="2" t="s">
        <v>1014</v>
      </c>
      <c r="D886" s="2" t="s">
        <v>1025</v>
      </c>
      <c r="E886" s="2" t="s">
        <v>1091</v>
      </c>
      <c r="F886" s="1">
        <v>45989</v>
      </c>
      <c r="G886" s="1">
        <v>46001</v>
      </c>
      <c r="H886" s="2">
        <v>12</v>
      </c>
      <c r="I886" s="2">
        <v>167000</v>
      </c>
      <c r="J886" s="2" t="s">
        <v>1023</v>
      </c>
      <c r="K886" s="2" t="s">
        <v>1106</v>
      </c>
      <c r="L886" t="s">
        <v>1018</v>
      </c>
      <c r="M886" s="2" t="s">
        <v>1038</v>
      </c>
      <c r="N886">
        <v>2</v>
      </c>
    </row>
    <row r="887" spans="1:14" x14ac:dyDescent="0.3">
      <c r="A887" t="s">
        <v>304</v>
      </c>
      <c r="B887">
        <v>11</v>
      </c>
      <c r="C887" s="2" t="s">
        <v>1014</v>
      </c>
      <c r="D887" s="2" t="s">
        <v>1029</v>
      </c>
      <c r="E887" s="2" t="s">
        <v>1030</v>
      </c>
      <c r="F887" s="1">
        <v>45995</v>
      </c>
      <c r="G887" s="1">
        <v>46003</v>
      </c>
      <c r="H887" s="2">
        <v>8</v>
      </c>
      <c r="I887" s="2">
        <v>167000</v>
      </c>
      <c r="J887" s="2" t="s">
        <v>1027</v>
      </c>
      <c r="K887" s="2" t="s">
        <v>1033</v>
      </c>
      <c r="L887" t="s">
        <v>1037</v>
      </c>
      <c r="M887" s="2" t="s">
        <v>1038</v>
      </c>
      <c r="N887">
        <v>5</v>
      </c>
    </row>
    <row r="888" spans="1:14" x14ac:dyDescent="0.3">
      <c r="A888" t="s">
        <v>306</v>
      </c>
      <c r="B888">
        <v>33</v>
      </c>
      <c r="C888" s="2" t="s">
        <v>1014</v>
      </c>
      <c r="D888" s="2" t="s">
        <v>1031</v>
      </c>
      <c r="E888" s="2" t="s">
        <v>1053</v>
      </c>
      <c r="F888" s="1">
        <v>45997</v>
      </c>
      <c r="G888" s="1">
        <v>46001</v>
      </c>
      <c r="H888" s="2">
        <v>4</v>
      </c>
      <c r="I888" s="2">
        <v>156000</v>
      </c>
      <c r="J888" s="2" t="s">
        <v>1023</v>
      </c>
      <c r="K888" s="2" t="s">
        <v>1161</v>
      </c>
      <c r="L888" t="s">
        <v>1037</v>
      </c>
      <c r="M888" s="2" t="s">
        <v>1038</v>
      </c>
      <c r="N888">
        <v>5</v>
      </c>
    </row>
    <row r="889" spans="1:14" x14ac:dyDescent="0.3">
      <c r="A889" t="s">
        <v>307</v>
      </c>
      <c r="B889">
        <v>24</v>
      </c>
      <c r="C889" s="2" t="s">
        <v>1020</v>
      </c>
      <c r="D889" s="2" t="s">
        <v>1031</v>
      </c>
      <c r="E889" s="2" t="s">
        <v>1144</v>
      </c>
      <c r="F889" s="1">
        <v>45998</v>
      </c>
      <c r="G889" s="1">
        <v>46003</v>
      </c>
      <c r="H889" s="2">
        <v>5</v>
      </c>
      <c r="I889" s="2">
        <v>120000</v>
      </c>
      <c r="J889" s="2" t="s">
        <v>1023</v>
      </c>
      <c r="K889" s="2" t="s">
        <v>1161</v>
      </c>
      <c r="L889" t="s">
        <v>1018</v>
      </c>
      <c r="M889" s="2" t="s">
        <v>1038</v>
      </c>
      <c r="N889">
        <v>4</v>
      </c>
    </row>
    <row r="890" spans="1:14" x14ac:dyDescent="0.3">
      <c r="A890" t="s">
        <v>310</v>
      </c>
      <c r="B890">
        <v>24</v>
      </c>
      <c r="C890" s="2" t="s">
        <v>1014</v>
      </c>
      <c r="D890" s="2" t="s">
        <v>1015</v>
      </c>
      <c r="E890" s="2" t="s">
        <v>1016</v>
      </c>
      <c r="F890" s="1">
        <v>46001</v>
      </c>
      <c r="G890" s="1">
        <v>46006</v>
      </c>
      <c r="H890" s="2">
        <v>5</v>
      </c>
      <c r="I890" s="2">
        <v>150000</v>
      </c>
      <c r="J890" s="2" t="s">
        <v>1023</v>
      </c>
      <c r="K890" s="2" t="s">
        <v>1052</v>
      </c>
      <c r="L890" t="s">
        <v>1037</v>
      </c>
      <c r="M890" s="2" t="s">
        <v>1038</v>
      </c>
      <c r="N890">
        <v>1</v>
      </c>
    </row>
    <row r="891" spans="1:14" x14ac:dyDescent="0.3">
      <c r="A891" t="s">
        <v>312</v>
      </c>
      <c r="B891">
        <v>12</v>
      </c>
      <c r="C891" s="2" t="s">
        <v>1014</v>
      </c>
      <c r="D891" s="2" t="s">
        <v>1029</v>
      </c>
      <c r="E891" s="2" t="s">
        <v>1030</v>
      </c>
      <c r="F891" s="1">
        <v>46003</v>
      </c>
      <c r="G891" s="1">
        <v>46012</v>
      </c>
      <c r="H891" s="2">
        <v>9</v>
      </c>
      <c r="I891" s="2">
        <v>170000</v>
      </c>
      <c r="J891" s="2" t="s">
        <v>1027</v>
      </c>
      <c r="K891" s="2" t="s">
        <v>1033</v>
      </c>
      <c r="L891" t="s">
        <v>1037</v>
      </c>
      <c r="M891" s="2" t="s">
        <v>1038</v>
      </c>
      <c r="N891">
        <v>2</v>
      </c>
    </row>
    <row r="892" spans="1:14" x14ac:dyDescent="0.3">
      <c r="A892" t="s">
        <v>313</v>
      </c>
      <c r="B892">
        <v>10</v>
      </c>
      <c r="C892" s="2" t="s">
        <v>1014</v>
      </c>
      <c r="D892" s="2" t="s">
        <v>1031</v>
      </c>
      <c r="E892" s="2" t="s">
        <v>1054</v>
      </c>
      <c r="F892" s="1">
        <v>46004</v>
      </c>
      <c r="G892" s="1">
        <v>46013</v>
      </c>
      <c r="H892" s="2">
        <v>9</v>
      </c>
      <c r="I892" s="2">
        <v>100000</v>
      </c>
      <c r="J892" s="2" t="s">
        <v>1017</v>
      </c>
      <c r="K892" s="2" t="s">
        <v>1161</v>
      </c>
      <c r="L892" t="s">
        <v>1018</v>
      </c>
      <c r="M892" s="2" t="s">
        <v>1038</v>
      </c>
      <c r="N892">
        <v>3</v>
      </c>
    </row>
    <row r="893" spans="1:14" x14ac:dyDescent="0.3">
      <c r="A893" t="s">
        <v>316</v>
      </c>
      <c r="B893">
        <v>26</v>
      </c>
      <c r="C893" s="2" t="s">
        <v>1020</v>
      </c>
      <c r="D893" s="2" t="s">
        <v>1041</v>
      </c>
      <c r="E893" s="2" t="s">
        <v>1042</v>
      </c>
      <c r="F893" s="1">
        <v>46007</v>
      </c>
      <c r="G893" s="1">
        <v>46016</v>
      </c>
      <c r="H893" s="2">
        <v>9</v>
      </c>
      <c r="I893" s="2">
        <v>110000</v>
      </c>
      <c r="J893" s="2" t="s">
        <v>1023</v>
      </c>
      <c r="K893" s="2" t="s">
        <v>1128</v>
      </c>
      <c r="L893" t="s">
        <v>1037</v>
      </c>
      <c r="M893" s="2" t="s">
        <v>1038</v>
      </c>
      <c r="N893">
        <v>5</v>
      </c>
    </row>
    <row r="894" spans="1:14" x14ac:dyDescent="0.3">
      <c r="A894" t="s">
        <v>322</v>
      </c>
      <c r="B894">
        <v>67</v>
      </c>
      <c r="C894" s="2" t="s">
        <v>1020</v>
      </c>
      <c r="D894" s="2" t="s">
        <v>1124</v>
      </c>
      <c r="E894" s="2" t="s">
        <v>1135</v>
      </c>
      <c r="F894" s="1">
        <v>46012</v>
      </c>
      <c r="G894" s="1">
        <v>46019</v>
      </c>
      <c r="H894" s="2">
        <v>7</v>
      </c>
      <c r="I894" s="2">
        <v>78900</v>
      </c>
      <c r="J894" s="2" t="s">
        <v>1027</v>
      </c>
      <c r="K894" s="2" t="s">
        <v>1044</v>
      </c>
      <c r="L894" t="s">
        <v>1018</v>
      </c>
      <c r="M894" s="2" t="s">
        <v>1038</v>
      </c>
      <c r="N894">
        <v>2</v>
      </c>
    </row>
    <row r="895" spans="1:14" x14ac:dyDescent="0.3">
      <c r="A895" t="s">
        <v>324</v>
      </c>
      <c r="B895">
        <v>24</v>
      </c>
      <c r="C895" s="2" t="s">
        <v>1014</v>
      </c>
      <c r="D895" s="2" t="s">
        <v>1039</v>
      </c>
      <c r="E895" s="2" t="s">
        <v>1137</v>
      </c>
      <c r="F895" s="1">
        <v>46014</v>
      </c>
      <c r="G895" s="1">
        <v>46019</v>
      </c>
      <c r="H895" s="2">
        <v>5</v>
      </c>
      <c r="I895" s="2">
        <v>89000</v>
      </c>
      <c r="J895" s="2" t="s">
        <v>1017</v>
      </c>
      <c r="K895" s="2" t="s">
        <v>1059</v>
      </c>
      <c r="L895" t="s">
        <v>1018</v>
      </c>
      <c r="M895" s="2" t="s">
        <v>1038</v>
      </c>
      <c r="N895">
        <v>4</v>
      </c>
    </row>
    <row r="896" spans="1:14" x14ac:dyDescent="0.3">
      <c r="A896" t="s">
        <v>325</v>
      </c>
      <c r="B896">
        <v>12</v>
      </c>
      <c r="C896" s="2" t="s">
        <v>1014</v>
      </c>
      <c r="D896" s="2" t="s">
        <v>1039</v>
      </c>
      <c r="E896" s="2" t="s">
        <v>1137</v>
      </c>
      <c r="F896" s="1">
        <v>46015</v>
      </c>
      <c r="G896" s="1">
        <v>46022</v>
      </c>
      <c r="H896" s="2">
        <v>6</v>
      </c>
      <c r="I896" s="2">
        <v>76000</v>
      </c>
      <c r="J896" s="2" t="s">
        <v>1023</v>
      </c>
      <c r="K896" s="2" t="s">
        <v>1059</v>
      </c>
      <c r="L896" t="s">
        <v>1037</v>
      </c>
      <c r="M896" s="2" t="s">
        <v>1038</v>
      </c>
      <c r="N896">
        <v>5</v>
      </c>
    </row>
    <row r="897" spans="1:14" x14ac:dyDescent="0.3">
      <c r="A897" t="s">
        <v>328</v>
      </c>
      <c r="B897">
        <v>24</v>
      </c>
      <c r="C897" s="2" t="s">
        <v>1020</v>
      </c>
      <c r="D897" s="2" t="s">
        <v>1048</v>
      </c>
      <c r="E897" s="2" t="s">
        <v>1063</v>
      </c>
      <c r="F897" s="1">
        <v>46018</v>
      </c>
      <c r="G897" s="1">
        <v>46023</v>
      </c>
      <c r="H897" s="2">
        <v>4</v>
      </c>
      <c r="I897" s="2">
        <v>45000</v>
      </c>
      <c r="J897" s="2" t="s">
        <v>1027</v>
      </c>
      <c r="K897" s="2" t="s">
        <v>1028</v>
      </c>
      <c r="L897" t="s">
        <v>1018</v>
      </c>
      <c r="M897" s="2" t="s">
        <v>1038</v>
      </c>
      <c r="N897">
        <v>4.3</v>
      </c>
    </row>
    <row r="898" spans="1:14" x14ac:dyDescent="0.3">
      <c r="A898" t="s">
        <v>329</v>
      </c>
      <c r="B898">
        <v>27</v>
      </c>
      <c r="C898" s="2" t="s">
        <v>1020</v>
      </c>
      <c r="D898" s="2" t="s">
        <v>1041</v>
      </c>
      <c r="E898" s="2" t="s">
        <v>1042</v>
      </c>
      <c r="F898" s="1">
        <v>46019</v>
      </c>
      <c r="G898" s="1">
        <v>46024</v>
      </c>
      <c r="H898" s="2">
        <v>4</v>
      </c>
      <c r="I898" s="2">
        <v>78900</v>
      </c>
      <c r="J898" s="2" t="s">
        <v>1027</v>
      </c>
      <c r="K898" s="2" t="s">
        <v>1128</v>
      </c>
      <c r="L898" t="s">
        <v>1037</v>
      </c>
      <c r="M898" s="2" t="s">
        <v>1038</v>
      </c>
      <c r="N898">
        <v>4.4000000000000004</v>
      </c>
    </row>
    <row r="899" spans="1:14" x14ac:dyDescent="0.3">
      <c r="A899" t="s">
        <v>335</v>
      </c>
      <c r="B899">
        <v>98</v>
      </c>
      <c r="C899" s="2" t="s">
        <v>1014</v>
      </c>
      <c r="D899" s="2" t="s">
        <v>1025</v>
      </c>
      <c r="E899" s="2" t="s">
        <v>1123</v>
      </c>
      <c r="F899" s="1">
        <v>46025</v>
      </c>
      <c r="G899" s="1">
        <v>46043</v>
      </c>
      <c r="H899" s="2">
        <v>18</v>
      </c>
      <c r="I899" s="2">
        <v>245000</v>
      </c>
      <c r="J899" s="2" t="s">
        <v>1027</v>
      </c>
      <c r="K899" s="2" t="s">
        <v>1046</v>
      </c>
      <c r="L899" t="s">
        <v>1018</v>
      </c>
      <c r="M899" s="2" t="s">
        <v>1038</v>
      </c>
      <c r="N899">
        <v>3</v>
      </c>
    </row>
    <row r="900" spans="1:14" x14ac:dyDescent="0.3">
      <c r="A900" t="s">
        <v>336</v>
      </c>
      <c r="B900">
        <v>24</v>
      </c>
      <c r="C900" s="2" t="s">
        <v>1014</v>
      </c>
      <c r="D900" s="2" t="s">
        <v>1031</v>
      </c>
      <c r="E900" s="2" t="s">
        <v>1053</v>
      </c>
      <c r="F900" s="1">
        <v>46026</v>
      </c>
      <c r="G900" s="1">
        <v>46041</v>
      </c>
      <c r="H900" s="2">
        <v>15</v>
      </c>
      <c r="I900" s="2">
        <v>56990</v>
      </c>
      <c r="J900" s="2" t="s">
        <v>1027</v>
      </c>
      <c r="K900" s="2" t="s">
        <v>1161</v>
      </c>
      <c r="L900" t="s">
        <v>1037</v>
      </c>
      <c r="M900" s="2" t="s">
        <v>1038</v>
      </c>
      <c r="N900">
        <v>2</v>
      </c>
    </row>
    <row r="901" spans="1:14" x14ac:dyDescent="0.3">
      <c r="A901" t="s">
        <v>337</v>
      </c>
      <c r="B901">
        <v>23</v>
      </c>
      <c r="C901" s="2" t="s">
        <v>1014</v>
      </c>
      <c r="D901" s="2" t="s">
        <v>1035</v>
      </c>
      <c r="E901" s="2" t="s">
        <v>1115</v>
      </c>
      <c r="F901" s="1">
        <v>46027</v>
      </c>
      <c r="G901" s="1">
        <v>46032</v>
      </c>
      <c r="H901" s="2">
        <v>5</v>
      </c>
      <c r="I901" s="2">
        <v>87000</v>
      </c>
      <c r="J901" s="2" t="s">
        <v>1027</v>
      </c>
      <c r="K901" s="2" t="s">
        <v>1106</v>
      </c>
      <c r="L901" t="s">
        <v>1037</v>
      </c>
      <c r="M901" s="2" t="s">
        <v>1038</v>
      </c>
      <c r="N901">
        <v>2.4</v>
      </c>
    </row>
    <row r="902" spans="1:14" x14ac:dyDescent="0.3">
      <c r="A902" t="s">
        <v>340</v>
      </c>
      <c r="B902">
        <v>89</v>
      </c>
      <c r="C902" s="2" t="s">
        <v>1020</v>
      </c>
      <c r="D902" s="2" t="s">
        <v>1029</v>
      </c>
      <c r="E902" s="2" t="s">
        <v>1030</v>
      </c>
      <c r="F902" s="1">
        <v>46030</v>
      </c>
      <c r="G902" s="1">
        <v>46040</v>
      </c>
      <c r="H902" s="2">
        <v>10</v>
      </c>
      <c r="I902" s="2">
        <v>178000</v>
      </c>
      <c r="J902" s="2" t="s">
        <v>1017</v>
      </c>
      <c r="K902" s="2" t="s">
        <v>1033</v>
      </c>
      <c r="L902" t="s">
        <v>1037</v>
      </c>
      <c r="M902" s="2" t="s">
        <v>1038</v>
      </c>
      <c r="N902">
        <v>3</v>
      </c>
    </row>
    <row r="903" spans="1:14" x14ac:dyDescent="0.3">
      <c r="A903" t="s">
        <v>341</v>
      </c>
      <c r="B903">
        <v>24</v>
      </c>
      <c r="C903" s="2" t="s">
        <v>1020</v>
      </c>
      <c r="D903" s="2" t="s">
        <v>1029</v>
      </c>
      <c r="E903" s="2" t="s">
        <v>1030</v>
      </c>
      <c r="F903" s="1">
        <v>46031</v>
      </c>
      <c r="G903" s="1">
        <v>46042</v>
      </c>
      <c r="H903" s="2">
        <v>11</v>
      </c>
      <c r="I903" s="2">
        <v>89000</v>
      </c>
      <c r="J903" s="2" t="s">
        <v>1017</v>
      </c>
      <c r="K903" s="2" t="s">
        <v>1033</v>
      </c>
      <c r="L903" t="s">
        <v>1018</v>
      </c>
      <c r="M903" s="2" t="s">
        <v>1038</v>
      </c>
      <c r="N903">
        <v>4</v>
      </c>
    </row>
    <row r="904" spans="1:14" x14ac:dyDescent="0.3">
      <c r="A904" t="s">
        <v>344</v>
      </c>
      <c r="B904">
        <v>39</v>
      </c>
      <c r="C904" s="2" t="s">
        <v>1014</v>
      </c>
      <c r="D904" s="2" t="s">
        <v>1021</v>
      </c>
      <c r="E904" s="2" t="s">
        <v>1022</v>
      </c>
      <c r="F904" s="1">
        <v>46034</v>
      </c>
      <c r="G904" s="1">
        <v>46047</v>
      </c>
      <c r="H904" s="2">
        <v>13</v>
      </c>
      <c r="I904" s="2">
        <v>2900000</v>
      </c>
      <c r="J904" s="2" t="s">
        <v>1027</v>
      </c>
      <c r="K904" s="2" t="s">
        <v>1147</v>
      </c>
      <c r="L904" t="s">
        <v>1037</v>
      </c>
      <c r="M904" s="2" t="s">
        <v>1038</v>
      </c>
      <c r="N904">
        <v>2</v>
      </c>
    </row>
    <row r="905" spans="1:14" x14ac:dyDescent="0.3">
      <c r="A905" t="s">
        <v>345</v>
      </c>
      <c r="B905">
        <v>24</v>
      </c>
      <c r="C905" s="2" t="s">
        <v>1014</v>
      </c>
      <c r="D905" s="2" t="s">
        <v>1124</v>
      </c>
      <c r="E905" s="2" t="s">
        <v>1125</v>
      </c>
      <c r="F905" s="1">
        <v>46035</v>
      </c>
      <c r="G905" s="1">
        <v>46042</v>
      </c>
      <c r="H905" s="2">
        <v>7</v>
      </c>
      <c r="I905" s="2">
        <v>120000</v>
      </c>
      <c r="J905" s="2" t="s">
        <v>1017</v>
      </c>
      <c r="K905" s="2" t="s">
        <v>1044</v>
      </c>
      <c r="L905" t="s">
        <v>1037</v>
      </c>
      <c r="M905" s="2" t="s">
        <v>1038</v>
      </c>
      <c r="N905">
        <v>1</v>
      </c>
    </row>
    <row r="906" spans="1:14" x14ac:dyDescent="0.3">
      <c r="A906" t="s">
        <v>346</v>
      </c>
      <c r="B906">
        <v>45</v>
      </c>
      <c r="C906" s="2" t="s">
        <v>1014</v>
      </c>
      <c r="D906" s="2" t="s">
        <v>1025</v>
      </c>
      <c r="E906" s="2" t="s">
        <v>1150</v>
      </c>
      <c r="F906" s="1">
        <v>46036</v>
      </c>
      <c r="G906" s="1">
        <v>46041</v>
      </c>
      <c r="H906" s="2">
        <v>5</v>
      </c>
      <c r="I906" s="2">
        <v>14599</v>
      </c>
      <c r="J906" s="2" t="s">
        <v>1017</v>
      </c>
      <c r="K906" s="2" t="s">
        <v>1046</v>
      </c>
      <c r="L906" t="s">
        <v>1037</v>
      </c>
      <c r="M906" s="2" t="s">
        <v>1038</v>
      </c>
      <c r="N906">
        <v>2</v>
      </c>
    </row>
    <row r="907" spans="1:14" x14ac:dyDescent="0.3">
      <c r="A907" t="s">
        <v>351</v>
      </c>
      <c r="B907">
        <v>87</v>
      </c>
      <c r="C907" s="2" t="s">
        <v>1020</v>
      </c>
      <c r="D907" s="2" t="s">
        <v>1025</v>
      </c>
      <c r="E907" s="2" t="s">
        <v>1123</v>
      </c>
      <c r="F907" s="1">
        <v>46041</v>
      </c>
      <c r="G907" s="1">
        <v>46054</v>
      </c>
      <c r="H907" s="2">
        <v>13</v>
      </c>
      <c r="I907" s="2">
        <v>270000</v>
      </c>
      <c r="J907" s="2" t="s">
        <v>1027</v>
      </c>
      <c r="K907" s="2" t="s">
        <v>1046</v>
      </c>
      <c r="L907" t="s">
        <v>1037</v>
      </c>
      <c r="M907" s="2" t="s">
        <v>1038</v>
      </c>
      <c r="N907">
        <v>1</v>
      </c>
    </row>
    <row r="908" spans="1:14" x14ac:dyDescent="0.3">
      <c r="A908" t="s">
        <v>352</v>
      </c>
      <c r="B908">
        <v>77</v>
      </c>
      <c r="C908" s="2" t="s">
        <v>1020</v>
      </c>
      <c r="D908" s="2" t="s">
        <v>1021</v>
      </c>
      <c r="E908" s="2" t="s">
        <v>1080</v>
      </c>
      <c r="F908" s="1">
        <v>46042</v>
      </c>
      <c r="G908" s="1">
        <v>46053</v>
      </c>
      <c r="H908" s="2">
        <v>11</v>
      </c>
      <c r="I908" s="2">
        <v>145000</v>
      </c>
      <c r="J908" s="2" t="s">
        <v>1017</v>
      </c>
      <c r="K908" s="2" t="s">
        <v>1147</v>
      </c>
      <c r="L908" t="s">
        <v>1018</v>
      </c>
      <c r="M908" s="2" t="s">
        <v>1038</v>
      </c>
      <c r="N908">
        <v>2</v>
      </c>
    </row>
    <row r="909" spans="1:14" x14ac:dyDescent="0.3">
      <c r="A909" t="s">
        <v>353</v>
      </c>
      <c r="B909">
        <v>24</v>
      </c>
      <c r="C909" s="2" t="s">
        <v>1020</v>
      </c>
      <c r="D909" s="2" t="s">
        <v>1021</v>
      </c>
      <c r="E909" s="2" t="s">
        <v>1069</v>
      </c>
      <c r="F909" s="1">
        <v>46043</v>
      </c>
      <c r="G909" s="1">
        <v>46051</v>
      </c>
      <c r="H909" s="2">
        <v>8</v>
      </c>
      <c r="I909" s="2">
        <v>13400</v>
      </c>
      <c r="J909" s="2" t="s">
        <v>1017</v>
      </c>
      <c r="K909" s="2" t="s">
        <v>1147</v>
      </c>
      <c r="L909" t="s">
        <v>1018</v>
      </c>
      <c r="M909" s="2" t="s">
        <v>1038</v>
      </c>
      <c r="N909">
        <v>3</v>
      </c>
    </row>
    <row r="910" spans="1:14" x14ac:dyDescent="0.3">
      <c r="A910" t="s">
        <v>354</v>
      </c>
      <c r="B910">
        <v>24</v>
      </c>
      <c r="C910" s="2" t="s">
        <v>1014</v>
      </c>
      <c r="D910" s="2" t="s">
        <v>1035</v>
      </c>
      <c r="E910" s="2" t="s">
        <v>1115</v>
      </c>
      <c r="F910" s="1">
        <v>46044</v>
      </c>
      <c r="G910" s="1">
        <v>46056</v>
      </c>
      <c r="H910" s="2">
        <v>12</v>
      </c>
      <c r="I910" s="2">
        <v>178000</v>
      </c>
      <c r="J910" s="2" t="s">
        <v>1017</v>
      </c>
      <c r="K910" s="2" t="s">
        <v>1106</v>
      </c>
      <c r="L910" t="s">
        <v>1018</v>
      </c>
      <c r="M910" s="2" t="s">
        <v>1038</v>
      </c>
      <c r="N910">
        <v>4</v>
      </c>
    </row>
    <row r="911" spans="1:14" x14ac:dyDescent="0.3">
      <c r="A911" t="s">
        <v>355</v>
      </c>
      <c r="B911">
        <v>45</v>
      </c>
      <c r="C911" s="2" t="s">
        <v>1020</v>
      </c>
      <c r="D911" s="2" t="s">
        <v>1035</v>
      </c>
      <c r="E911" s="2" t="s">
        <v>1047</v>
      </c>
      <c r="F911" s="1">
        <v>46045</v>
      </c>
      <c r="G911" s="1">
        <v>46053</v>
      </c>
      <c r="H911" s="2">
        <v>8</v>
      </c>
      <c r="I911" s="2">
        <v>145000</v>
      </c>
      <c r="J911" s="2" t="s">
        <v>1017</v>
      </c>
      <c r="K911" s="2" t="s">
        <v>1106</v>
      </c>
      <c r="L911" t="s">
        <v>1037</v>
      </c>
      <c r="M911" s="2" t="s">
        <v>1038</v>
      </c>
    </row>
    <row r="912" spans="1:14" x14ac:dyDescent="0.3">
      <c r="A912" t="s">
        <v>356</v>
      </c>
      <c r="B912">
        <v>24</v>
      </c>
      <c r="C912" s="2" t="s">
        <v>1020</v>
      </c>
      <c r="D912" s="2" t="s">
        <v>1015</v>
      </c>
      <c r="E912" s="2" t="s">
        <v>1016</v>
      </c>
      <c r="F912" s="1">
        <v>46046</v>
      </c>
      <c r="G912" s="1">
        <v>46054</v>
      </c>
      <c r="H912" s="2">
        <v>8</v>
      </c>
      <c r="I912" s="2">
        <v>98000</v>
      </c>
      <c r="J912" s="2" t="s">
        <v>1027</v>
      </c>
      <c r="K912" s="2" t="s">
        <v>1052</v>
      </c>
      <c r="L912" t="s">
        <v>1018</v>
      </c>
      <c r="M912" s="2" t="s">
        <v>1038</v>
      </c>
      <c r="N912">
        <v>5</v>
      </c>
    </row>
    <row r="913" spans="1:14" x14ac:dyDescent="0.3">
      <c r="A913" t="s">
        <v>359</v>
      </c>
      <c r="B913">
        <v>34</v>
      </c>
      <c r="C913" s="2" t="s">
        <v>1014</v>
      </c>
      <c r="D913" s="2" t="s">
        <v>1021</v>
      </c>
      <c r="E913" s="2" t="s">
        <v>1022</v>
      </c>
      <c r="F913" s="1">
        <v>46049</v>
      </c>
      <c r="G913" s="1">
        <v>46068</v>
      </c>
      <c r="H913" s="2">
        <v>19</v>
      </c>
      <c r="I913" s="2">
        <v>278000</v>
      </c>
      <c r="J913" s="2" t="s">
        <v>1023</v>
      </c>
      <c r="K913" s="2" t="s">
        <v>1147</v>
      </c>
      <c r="L913" t="s">
        <v>1037</v>
      </c>
      <c r="M913" s="2" t="s">
        <v>1038</v>
      </c>
      <c r="N913">
        <v>4.7</v>
      </c>
    </row>
    <row r="914" spans="1:14" x14ac:dyDescent="0.3">
      <c r="A914" t="s">
        <v>362</v>
      </c>
      <c r="B914">
        <v>24</v>
      </c>
      <c r="C914" s="2" t="s">
        <v>1020</v>
      </c>
      <c r="D914" s="2" t="s">
        <v>1048</v>
      </c>
      <c r="E914" s="2" t="s">
        <v>1063</v>
      </c>
      <c r="F914" s="1">
        <v>46052</v>
      </c>
      <c r="G914" s="1">
        <v>46063</v>
      </c>
      <c r="H914" s="2">
        <v>10</v>
      </c>
      <c r="I914" s="2">
        <v>398000</v>
      </c>
      <c r="J914" s="2" t="s">
        <v>1027</v>
      </c>
      <c r="K914" s="2" t="s">
        <v>1028</v>
      </c>
      <c r="L914" t="s">
        <v>1018</v>
      </c>
      <c r="M914" s="2" t="s">
        <v>1038</v>
      </c>
      <c r="N914">
        <v>4.9000000000000004</v>
      </c>
    </row>
    <row r="915" spans="1:14" x14ac:dyDescent="0.3">
      <c r="A915" t="s">
        <v>363</v>
      </c>
      <c r="B915">
        <v>87</v>
      </c>
      <c r="C915" s="2" t="s">
        <v>1020</v>
      </c>
      <c r="D915" s="2" t="s">
        <v>1041</v>
      </c>
      <c r="E915" s="2" t="s">
        <v>1042</v>
      </c>
      <c r="F915" s="1">
        <v>46053</v>
      </c>
      <c r="G915" s="1">
        <v>46064</v>
      </c>
      <c r="H915" s="2">
        <v>10</v>
      </c>
      <c r="I915" s="2">
        <v>200000</v>
      </c>
      <c r="J915" s="2" t="s">
        <v>1023</v>
      </c>
      <c r="K915" s="2" t="s">
        <v>1128</v>
      </c>
      <c r="L915" t="s">
        <v>1018</v>
      </c>
      <c r="M915" s="2" t="s">
        <v>1038</v>
      </c>
      <c r="N915">
        <v>5</v>
      </c>
    </row>
    <row r="916" spans="1:14" x14ac:dyDescent="0.3">
      <c r="A916" t="s">
        <v>364</v>
      </c>
      <c r="B916">
        <v>24</v>
      </c>
      <c r="C916" s="2" t="s">
        <v>1014</v>
      </c>
      <c r="D916" s="2" t="s">
        <v>1031</v>
      </c>
      <c r="E916" s="2" t="s">
        <v>1054</v>
      </c>
      <c r="F916" s="1">
        <v>46054</v>
      </c>
      <c r="G916" s="1">
        <v>46063</v>
      </c>
      <c r="H916" s="2">
        <v>9</v>
      </c>
      <c r="I916" s="2">
        <v>120000</v>
      </c>
      <c r="J916" s="2" t="s">
        <v>1027</v>
      </c>
      <c r="K916" s="2" t="s">
        <v>1161</v>
      </c>
      <c r="L916" t="s">
        <v>1037</v>
      </c>
      <c r="M916" s="2" t="s">
        <v>1038</v>
      </c>
      <c r="N916">
        <v>4</v>
      </c>
    </row>
    <row r="917" spans="1:14" x14ac:dyDescent="0.3">
      <c r="A917" t="s">
        <v>365</v>
      </c>
      <c r="B917">
        <v>33</v>
      </c>
      <c r="C917" s="2" t="s">
        <v>1014</v>
      </c>
      <c r="D917" s="2" t="s">
        <v>1035</v>
      </c>
      <c r="E917" s="2" t="s">
        <v>1074</v>
      </c>
      <c r="F917" s="1">
        <v>46055</v>
      </c>
      <c r="G917" s="1">
        <v>46064</v>
      </c>
      <c r="H917" s="2">
        <v>10</v>
      </c>
      <c r="I917" s="2">
        <v>230000</v>
      </c>
      <c r="J917" s="2" t="s">
        <v>1027</v>
      </c>
      <c r="K917" s="2" t="s">
        <v>1106</v>
      </c>
      <c r="L917" t="s">
        <v>1018</v>
      </c>
      <c r="M917" s="2" t="s">
        <v>1038</v>
      </c>
      <c r="N917">
        <v>3</v>
      </c>
    </row>
    <row r="918" spans="1:14" x14ac:dyDescent="0.3">
      <c r="A918" t="s">
        <v>367</v>
      </c>
      <c r="B918">
        <v>65</v>
      </c>
      <c r="C918" s="2" t="s">
        <v>1014</v>
      </c>
      <c r="D918" s="2" t="s">
        <v>1124</v>
      </c>
      <c r="E918" s="2" t="s">
        <v>1135</v>
      </c>
      <c r="F918" s="1">
        <v>46057</v>
      </c>
      <c r="G918" s="1">
        <v>46063</v>
      </c>
      <c r="H918" s="2">
        <v>6</v>
      </c>
      <c r="I918" s="2">
        <v>340000</v>
      </c>
      <c r="J918" s="2" t="s">
        <v>1023</v>
      </c>
      <c r="K918" s="2" t="s">
        <v>1044</v>
      </c>
      <c r="L918" t="s">
        <v>1018</v>
      </c>
      <c r="M918" s="2" t="s">
        <v>1038</v>
      </c>
      <c r="N918">
        <v>3.5</v>
      </c>
    </row>
    <row r="919" spans="1:14" x14ac:dyDescent="0.3">
      <c r="A919" t="s">
        <v>368</v>
      </c>
      <c r="B919">
        <v>24</v>
      </c>
      <c r="C919" s="2" t="s">
        <v>1014</v>
      </c>
      <c r="D919" s="2" t="s">
        <v>1029</v>
      </c>
      <c r="E919" s="2" t="s">
        <v>1151</v>
      </c>
      <c r="F919" s="1">
        <v>46058</v>
      </c>
      <c r="G919" s="1">
        <v>46062</v>
      </c>
      <c r="H919" s="2">
        <v>4</v>
      </c>
      <c r="I919" s="2">
        <v>120000</v>
      </c>
      <c r="J919" s="2" t="s">
        <v>1027</v>
      </c>
      <c r="K919" s="2" t="s">
        <v>1033</v>
      </c>
      <c r="L919" t="s">
        <v>1018</v>
      </c>
      <c r="M919" s="2" t="s">
        <v>1038</v>
      </c>
      <c r="N919">
        <v>3.6</v>
      </c>
    </row>
    <row r="920" spans="1:14" x14ac:dyDescent="0.3">
      <c r="A920" t="s">
        <v>375</v>
      </c>
      <c r="B920">
        <v>56</v>
      </c>
      <c r="C920" s="2" t="s">
        <v>1020</v>
      </c>
      <c r="D920" s="2" t="s">
        <v>1048</v>
      </c>
      <c r="E920" s="2" t="s">
        <v>1058</v>
      </c>
      <c r="F920" s="1">
        <v>46065</v>
      </c>
      <c r="G920" s="1">
        <v>46074</v>
      </c>
      <c r="H920" s="2">
        <v>9</v>
      </c>
      <c r="I920" s="2">
        <v>160000</v>
      </c>
      <c r="J920" s="2" t="s">
        <v>1017</v>
      </c>
      <c r="K920" s="2" t="s">
        <v>1028</v>
      </c>
      <c r="L920" t="s">
        <v>1037</v>
      </c>
      <c r="M920" s="2" t="s">
        <v>1038</v>
      </c>
      <c r="N920">
        <v>4</v>
      </c>
    </row>
    <row r="921" spans="1:14" x14ac:dyDescent="0.3">
      <c r="A921" t="s">
        <v>376</v>
      </c>
      <c r="B921">
        <v>88</v>
      </c>
      <c r="C921" s="2" t="s">
        <v>1014</v>
      </c>
      <c r="D921" s="2" t="s">
        <v>1021</v>
      </c>
      <c r="E921" s="2" t="s">
        <v>1080</v>
      </c>
      <c r="F921" s="1">
        <v>46066</v>
      </c>
      <c r="G921" s="1">
        <v>46072</v>
      </c>
      <c r="H921" s="2">
        <v>6</v>
      </c>
      <c r="I921" s="2">
        <v>170000</v>
      </c>
      <c r="J921" s="2" t="s">
        <v>1017</v>
      </c>
      <c r="K921" s="2" t="s">
        <v>1147</v>
      </c>
      <c r="L921" t="s">
        <v>1037</v>
      </c>
      <c r="M921" s="2" t="s">
        <v>1038</v>
      </c>
      <c r="N921">
        <v>4</v>
      </c>
    </row>
    <row r="922" spans="1:14" x14ac:dyDescent="0.3">
      <c r="A922" t="s">
        <v>385</v>
      </c>
      <c r="B922">
        <v>24</v>
      </c>
      <c r="C922" s="2" t="s">
        <v>1014</v>
      </c>
      <c r="D922" s="2" t="s">
        <v>1029</v>
      </c>
      <c r="E922" s="2" t="s">
        <v>1151</v>
      </c>
      <c r="F922" s="1">
        <v>46075</v>
      </c>
      <c r="G922" s="1">
        <v>46082</v>
      </c>
      <c r="H922" s="2">
        <v>7</v>
      </c>
      <c r="I922" s="2">
        <v>134000</v>
      </c>
      <c r="J922" s="2" t="s">
        <v>1017</v>
      </c>
      <c r="K922" s="2" t="s">
        <v>1033</v>
      </c>
      <c r="L922" t="s">
        <v>1037</v>
      </c>
      <c r="M922" s="2" t="s">
        <v>1038</v>
      </c>
      <c r="N922">
        <v>3</v>
      </c>
    </row>
    <row r="923" spans="1:14" x14ac:dyDescent="0.3">
      <c r="A923" t="s">
        <v>393</v>
      </c>
      <c r="B923">
        <v>24</v>
      </c>
      <c r="C923" s="2" t="s">
        <v>1020</v>
      </c>
      <c r="D923" s="2" t="s">
        <v>1039</v>
      </c>
      <c r="E923" s="2" t="s">
        <v>1137</v>
      </c>
      <c r="F923" s="1">
        <v>46083</v>
      </c>
      <c r="G923" s="1">
        <v>46089</v>
      </c>
      <c r="H923" s="2">
        <v>6</v>
      </c>
      <c r="I923" s="2">
        <v>78000</v>
      </c>
      <c r="J923" s="2" t="s">
        <v>1027</v>
      </c>
      <c r="K923" s="2" t="s">
        <v>1059</v>
      </c>
      <c r="L923" t="s">
        <v>1018</v>
      </c>
      <c r="M923" s="2" t="s">
        <v>1038</v>
      </c>
      <c r="N923">
        <v>3</v>
      </c>
    </row>
    <row r="924" spans="1:14" x14ac:dyDescent="0.3">
      <c r="A924" t="s">
        <v>395</v>
      </c>
      <c r="B924">
        <v>78</v>
      </c>
      <c r="C924" s="2" t="s">
        <v>1020</v>
      </c>
      <c r="D924" s="2" t="s">
        <v>1021</v>
      </c>
      <c r="E924" s="2" t="s">
        <v>1022</v>
      </c>
      <c r="F924" s="1">
        <v>46085</v>
      </c>
      <c r="G924" s="1">
        <v>46096</v>
      </c>
      <c r="H924" s="2">
        <v>11</v>
      </c>
      <c r="I924" s="2">
        <v>150000</v>
      </c>
      <c r="J924" s="2" t="s">
        <v>1023</v>
      </c>
      <c r="K924" s="2" t="s">
        <v>1147</v>
      </c>
      <c r="L924" t="s">
        <v>1018</v>
      </c>
      <c r="M924" s="2" t="s">
        <v>1038</v>
      </c>
      <c r="N924">
        <v>1</v>
      </c>
    </row>
    <row r="925" spans="1:14" x14ac:dyDescent="0.3">
      <c r="A925" t="s">
        <v>397</v>
      </c>
      <c r="B925">
        <v>24</v>
      </c>
      <c r="C925" s="2" t="s">
        <v>1014</v>
      </c>
      <c r="D925" s="2" t="s">
        <v>1031</v>
      </c>
      <c r="E925" s="2" t="s">
        <v>1034</v>
      </c>
      <c r="F925" s="1">
        <v>46087</v>
      </c>
      <c r="G925" s="1">
        <v>46091</v>
      </c>
      <c r="H925" s="2">
        <v>4</v>
      </c>
      <c r="I925" s="2">
        <v>150000</v>
      </c>
      <c r="J925" s="2" t="s">
        <v>1017</v>
      </c>
      <c r="K925" s="2" t="s">
        <v>1161</v>
      </c>
      <c r="L925" t="s">
        <v>1018</v>
      </c>
      <c r="M925" s="2" t="s">
        <v>1038</v>
      </c>
      <c r="N925">
        <v>3</v>
      </c>
    </row>
    <row r="926" spans="1:14" x14ac:dyDescent="0.3">
      <c r="A926" t="s">
        <v>398</v>
      </c>
      <c r="B926">
        <v>65</v>
      </c>
      <c r="C926" s="2" t="s">
        <v>1014</v>
      </c>
      <c r="D926" s="2" t="s">
        <v>1039</v>
      </c>
      <c r="E926" s="2" t="s">
        <v>1102</v>
      </c>
      <c r="F926" s="1">
        <v>46088</v>
      </c>
      <c r="G926" s="1">
        <v>46096</v>
      </c>
      <c r="H926" s="2">
        <v>8</v>
      </c>
      <c r="I926" s="2">
        <v>200000</v>
      </c>
      <c r="J926" s="2" t="s">
        <v>1017</v>
      </c>
      <c r="K926" s="2" t="s">
        <v>1059</v>
      </c>
      <c r="L926" t="s">
        <v>1018</v>
      </c>
      <c r="M926" s="2" t="s">
        <v>1038</v>
      </c>
      <c r="N926">
        <v>4</v>
      </c>
    </row>
    <row r="927" spans="1:14" x14ac:dyDescent="0.3">
      <c r="A927" t="s">
        <v>401</v>
      </c>
      <c r="B927">
        <v>43</v>
      </c>
      <c r="C927" s="2" t="s">
        <v>1014</v>
      </c>
      <c r="D927" s="2" t="s">
        <v>1015</v>
      </c>
      <c r="E927" s="2" t="s">
        <v>1016</v>
      </c>
      <c r="F927" s="1">
        <v>46091</v>
      </c>
      <c r="G927" s="1">
        <v>46095</v>
      </c>
      <c r="H927" s="2">
        <v>4</v>
      </c>
      <c r="I927" s="2">
        <v>110000</v>
      </c>
      <c r="J927" s="2" t="s">
        <v>1017</v>
      </c>
      <c r="K927" s="2" t="s">
        <v>1052</v>
      </c>
      <c r="L927" t="s">
        <v>1018</v>
      </c>
      <c r="M927" s="2" t="s">
        <v>1038</v>
      </c>
      <c r="N927">
        <v>3</v>
      </c>
    </row>
    <row r="928" spans="1:14" x14ac:dyDescent="0.3">
      <c r="A928" t="s">
        <v>402</v>
      </c>
      <c r="B928">
        <v>32</v>
      </c>
      <c r="C928" s="2" t="s">
        <v>1014</v>
      </c>
      <c r="D928" s="2" t="s">
        <v>1124</v>
      </c>
      <c r="E928" s="2" t="s">
        <v>1135</v>
      </c>
      <c r="F928" s="1">
        <v>46092</v>
      </c>
      <c r="G928" s="1">
        <v>46101</v>
      </c>
      <c r="H928" s="2">
        <v>9</v>
      </c>
      <c r="I928" s="2">
        <v>99000</v>
      </c>
      <c r="J928" s="2" t="s">
        <v>1023</v>
      </c>
      <c r="K928" s="2" t="s">
        <v>1044</v>
      </c>
      <c r="L928" t="s">
        <v>1037</v>
      </c>
      <c r="M928" s="2" t="s">
        <v>1038</v>
      </c>
      <c r="N928">
        <v>2</v>
      </c>
    </row>
    <row r="929" spans="1:14" x14ac:dyDescent="0.3">
      <c r="A929" t="s">
        <v>403</v>
      </c>
      <c r="B929">
        <v>21</v>
      </c>
      <c r="C929" s="2" t="s">
        <v>1020</v>
      </c>
      <c r="D929" s="2" t="s">
        <v>1048</v>
      </c>
      <c r="E929" s="2" t="s">
        <v>1058</v>
      </c>
      <c r="F929" s="1">
        <v>46093</v>
      </c>
      <c r="G929" s="1">
        <v>46102</v>
      </c>
      <c r="H929" s="2">
        <v>9</v>
      </c>
      <c r="I929" s="2">
        <v>87000</v>
      </c>
      <c r="J929" s="2" t="s">
        <v>1023</v>
      </c>
      <c r="K929" s="2" t="s">
        <v>1028</v>
      </c>
      <c r="L929" t="s">
        <v>1018</v>
      </c>
      <c r="M929" s="2" t="s">
        <v>1038</v>
      </c>
      <c r="N929">
        <v>1</v>
      </c>
    </row>
    <row r="930" spans="1:14" x14ac:dyDescent="0.3">
      <c r="A930" t="s">
        <v>406</v>
      </c>
      <c r="B930">
        <v>87</v>
      </c>
      <c r="C930" s="2" t="s">
        <v>1020</v>
      </c>
      <c r="D930" s="2" t="s">
        <v>1021</v>
      </c>
      <c r="E930" s="2" t="s">
        <v>1149</v>
      </c>
      <c r="F930" s="1">
        <v>46096</v>
      </c>
      <c r="G930" s="1">
        <v>46105</v>
      </c>
      <c r="H930" s="2">
        <v>9</v>
      </c>
      <c r="I930" s="2">
        <v>110000</v>
      </c>
      <c r="J930" s="2" t="s">
        <v>1023</v>
      </c>
      <c r="K930" s="2" t="s">
        <v>1147</v>
      </c>
      <c r="L930" t="s">
        <v>1037</v>
      </c>
      <c r="M930" s="2" t="s">
        <v>1038</v>
      </c>
      <c r="N930">
        <v>4</v>
      </c>
    </row>
    <row r="931" spans="1:14" x14ac:dyDescent="0.3">
      <c r="A931" t="s">
        <v>408</v>
      </c>
      <c r="B931">
        <v>76</v>
      </c>
      <c r="C931" s="2" t="s">
        <v>1014</v>
      </c>
      <c r="D931" s="2" t="s">
        <v>1021</v>
      </c>
      <c r="E931" s="2" t="s">
        <v>1080</v>
      </c>
      <c r="F931" s="1">
        <v>46098</v>
      </c>
      <c r="G931" s="1">
        <v>46106</v>
      </c>
      <c r="H931" s="2">
        <v>8</v>
      </c>
      <c r="I931" s="2">
        <v>87000</v>
      </c>
      <c r="J931" s="2" t="s">
        <v>1023</v>
      </c>
      <c r="K931" s="2" t="s">
        <v>1147</v>
      </c>
      <c r="L931" t="s">
        <v>1018</v>
      </c>
      <c r="M931" s="2" t="s">
        <v>1038</v>
      </c>
      <c r="N931">
        <v>4</v>
      </c>
    </row>
    <row r="932" spans="1:14" x14ac:dyDescent="0.3">
      <c r="A932" t="s">
        <v>409</v>
      </c>
      <c r="B932">
        <v>56</v>
      </c>
      <c r="C932" s="2" t="s">
        <v>1020</v>
      </c>
      <c r="D932" s="2" t="s">
        <v>1021</v>
      </c>
      <c r="E932" s="2" t="s">
        <v>1080</v>
      </c>
      <c r="F932" s="1">
        <v>46099</v>
      </c>
      <c r="G932" s="1">
        <v>46111</v>
      </c>
      <c r="H932" s="2">
        <v>12</v>
      </c>
      <c r="I932" s="2">
        <v>350000</v>
      </c>
      <c r="J932" s="2" t="s">
        <v>1027</v>
      </c>
      <c r="K932" s="2" t="s">
        <v>1147</v>
      </c>
      <c r="L932" t="s">
        <v>1037</v>
      </c>
      <c r="M932" s="2" t="s">
        <v>1038</v>
      </c>
      <c r="N932">
        <v>4</v>
      </c>
    </row>
    <row r="933" spans="1:14" x14ac:dyDescent="0.3">
      <c r="A933" t="s">
        <v>411</v>
      </c>
      <c r="B933">
        <v>24</v>
      </c>
      <c r="C933" s="2" t="s">
        <v>1020</v>
      </c>
      <c r="D933" s="2" t="s">
        <v>1021</v>
      </c>
      <c r="E933" s="2" t="s">
        <v>1069</v>
      </c>
      <c r="F933" s="1">
        <v>46101</v>
      </c>
      <c r="G933" s="1">
        <v>46103</v>
      </c>
      <c r="H933" s="2">
        <v>2</v>
      </c>
      <c r="I933" s="2">
        <v>15600</v>
      </c>
      <c r="J933" s="2" t="s">
        <v>1027</v>
      </c>
      <c r="K933" s="2" t="s">
        <v>1147</v>
      </c>
      <c r="L933" t="s">
        <v>1037</v>
      </c>
      <c r="M933" s="2" t="s">
        <v>1038</v>
      </c>
      <c r="N933">
        <v>5</v>
      </c>
    </row>
    <row r="934" spans="1:14" x14ac:dyDescent="0.3">
      <c r="A934" t="s">
        <v>412</v>
      </c>
      <c r="B934">
        <v>54</v>
      </c>
      <c r="C934" s="2" t="s">
        <v>1014</v>
      </c>
      <c r="D934" s="2" t="s">
        <v>1041</v>
      </c>
      <c r="E934" s="2" t="s">
        <v>1042</v>
      </c>
      <c r="F934" s="1">
        <v>46102</v>
      </c>
      <c r="G934" s="1">
        <v>46110</v>
      </c>
      <c r="H934" s="2">
        <v>8</v>
      </c>
      <c r="I934" s="2">
        <v>156000</v>
      </c>
      <c r="J934" s="2" t="s">
        <v>1023</v>
      </c>
      <c r="K934" s="2" t="s">
        <v>1128</v>
      </c>
      <c r="L934" t="s">
        <v>1037</v>
      </c>
      <c r="M934" s="2" t="s">
        <v>1038</v>
      </c>
      <c r="N934">
        <v>4</v>
      </c>
    </row>
    <row r="935" spans="1:14" x14ac:dyDescent="0.3">
      <c r="A935" t="s">
        <v>413</v>
      </c>
      <c r="B935">
        <v>43</v>
      </c>
      <c r="C935" s="2" t="s">
        <v>1020</v>
      </c>
      <c r="D935" s="2" t="s">
        <v>1048</v>
      </c>
      <c r="E935" s="2" t="s">
        <v>1154</v>
      </c>
      <c r="F935" s="1">
        <v>46103</v>
      </c>
      <c r="G935" s="1">
        <v>46111</v>
      </c>
      <c r="H935" s="2">
        <v>8</v>
      </c>
      <c r="I935" s="2">
        <v>155000</v>
      </c>
      <c r="J935" s="2" t="s">
        <v>1023</v>
      </c>
      <c r="K935" s="2" t="s">
        <v>1028</v>
      </c>
      <c r="L935" t="s">
        <v>1018</v>
      </c>
      <c r="M935" s="2" t="s">
        <v>1038</v>
      </c>
      <c r="N935">
        <v>4</v>
      </c>
    </row>
    <row r="936" spans="1:14" x14ac:dyDescent="0.3">
      <c r="A936" t="s">
        <v>416</v>
      </c>
      <c r="B936">
        <v>12</v>
      </c>
      <c r="C936" s="2" t="s">
        <v>1014</v>
      </c>
      <c r="D936" s="2" t="s">
        <v>1031</v>
      </c>
      <c r="E936" s="2" t="s">
        <v>1145</v>
      </c>
      <c r="F936" s="1">
        <v>46106</v>
      </c>
      <c r="G936" s="1">
        <v>46113</v>
      </c>
      <c r="H936" s="2">
        <v>7</v>
      </c>
      <c r="I936" s="2">
        <v>14899</v>
      </c>
      <c r="J936" s="2" t="s">
        <v>1027</v>
      </c>
      <c r="K936" s="2" t="s">
        <v>1161</v>
      </c>
      <c r="L936" t="s">
        <v>1018</v>
      </c>
      <c r="M936" s="2" t="s">
        <v>1038</v>
      </c>
      <c r="N936">
        <v>4</v>
      </c>
    </row>
    <row r="937" spans="1:14" x14ac:dyDescent="0.3">
      <c r="A937" t="s">
        <v>417</v>
      </c>
      <c r="B937">
        <v>23</v>
      </c>
      <c r="C937" s="2" t="s">
        <v>1020</v>
      </c>
      <c r="D937" s="2" t="s">
        <v>1048</v>
      </c>
      <c r="E937" s="2" t="s">
        <v>1063</v>
      </c>
      <c r="F937" s="1">
        <v>46107</v>
      </c>
      <c r="G937" s="1">
        <v>46114</v>
      </c>
      <c r="H937" s="2">
        <v>7</v>
      </c>
      <c r="I937" s="2">
        <v>14567</v>
      </c>
      <c r="J937" s="2" t="s">
        <v>1027</v>
      </c>
      <c r="K937" s="2" t="s">
        <v>1028</v>
      </c>
      <c r="L937" t="s">
        <v>1037</v>
      </c>
      <c r="M937" s="2" t="s">
        <v>1038</v>
      </c>
      <c r="N937">
        <v>5</v>
      </c>
    </row>
    <row r="938" spans="1:14" x14ac:dyDescent="0.3">
      <c r="A938" t="s">
        <v>418</v>
      </c>
      <c r="B938">
        <v>34</v>
      </c>
      <c r="C938" s="2" t="s">
        <v>1014</v>
      </c>
      <c r="D938" s="2" t="s">
        <v>1124</v>
      </c>
      <c r="E938" s="2" t="s">
        <v>1125</v>
      </c>
      <c r="F938" s="1">
        <v>46108</v>
      </c>
      <c r="G938" s="1">
        <v>46122</v>
      </c>
      <c r="H938" s="2">
        <v>14</v>
      </c>
      <c r="I938" s="2">
        <v>145678</v>
      </c>
      <c r="J938" s="2" t="s">
        <v>1023</v>
      </c>
      <c r="K938" s="2" t="s">
        <v>1044</v>
      </c>
      <c r="L938" t="s">
        <v>1018</v>
      </c>
      <c r="M938" s="2" t="s">
        <v>1038</v>
      </c>
      <c r="N938">
        <v>3</v>
      </c>
    </row>
    <row r="939" spans="1:14" x14ac:dyDescent="0.3">
      <c r="A939" t="s">
        <v>420</v>
      </c>
      <c r="B939">
        <v>56</v>
      </c>
      <c r="C939" s="2" t="s">
        <v>1020</v>
      </c>
      <c r="D939" s="2" t="s">
        <v>1124</v>
      </c>
      <c r="E939" s="2" t="s">
        <v>1125</v>
      </c>
      <c r="F939" s="1">
        <v>46110</v>
      </c>
      <c r="G939" s="1">
        <v>46121</v>
      </c>
      <c r="H939" s="2">
        <v>10</v>
      </c>
      <c r="I939" s="2">
        <v>34567</v>
      </c>
      <c r="J939" s="2" t="s">
        <v>1023</v>
      </c>
      <c r="K939" s="2" t="s">
        <v>1044</v>
      </c>
      <c r="L939" t="s">
        <v>1037</v>
      </c>
      <c r="M939" s="2" t="s">
        <v>1038</v>
      </c>
      <c r="N939">
        <v>2</v>
      </c>
    </row>
    <row r="940" spans="1:14" x14ac:dyDescent="0.3">
      <c r="A940" t="s">
        <v>427</v>
      </c>
      <c r="B940">
        <v>87</v>
      </c>
      <c r="C940" s="2" t="s">
        <v>1014</v>
      </c>
      <c r="D940" s="2" t="s">
        <v>1124</v>
      </c>
      <c r="E940" s="2" t="s">
        <v>1135</v>
      </c>
      <c r="F940" s="1">
        <v>46117</v>
      </c>
      <c r="G940" s="1">
        <v>46127</v>
      </c>
      <c r="H940" s="2">
        <v>10</v>
      </c>
      <c r="I940" s="2">
        <v>156000</v>
      </c>
      <c r="J940" s="2" t="s">
        <v>1027</v>
      </c>
      <c r="K940" s="2" t="s">
        <v>1044</v>
      </c>
      <c r="L940" t="s">
        <v>1018</v>
      </c>
      <c r="M940" s="2" t="s">
        <v>1038</v>
      </c>
      <c r="N940">
        <v>8</v>
      </c>
    </row>
    <row r="941" spans="1:14" x14ac:dyDescent="0.3">
      <c r="A941" t="s">
        <v>431</v>
      </c>
      <c r="B941">
        <v>67</v>
      </c>
      <c r="C941" s="2" t="s">
        <v>1014</v>
      </c>
      <c r="D941" s="2" t="s">
        <v>1124</v>
      </c>
      <c r="E941" s="2" t="s">
        <v>1135</v>
      </c>
      <c r="F941" s="1">
        <v>46121</v>
      </c>
      <c r="G941" s="1">
        <v>46123</v>
      </c>
      <c r="H941" s="2">
        <v>3</v>
      </c>
      <c r="I941" s="2">
        <v>156000</v>
      </c>
      <c r="J941" s="2" t="s">
        <v>1017</v>
      </c>
      <c r="K941" s="2" t="s">
        <v>1044</v>
      </c>
      <c r="L941" t="s">
        <v>1018</v>
      </c>
      <c r="M941" s="2" t="s">
        <v>1038</v>
      </c>
      <c r="N941">
        <v>33</v>
      </c>
    </row>
    <row r="942" spans="1:14" x14ac:dyDescent="0.3">
      <c r="A942" t="s">
        <v>441</v>
      </c>
      <c r="B942">
        <v>67</v>
      </c>
      <c r="C942" s="2" t="s">
        <v>1014</v>
      </c>
      <c r="D942" s="2" t="s">
        <v>1021</v>
      </c>
      <c r="E942" s="2" t="s">
        <v>1139</v>
      </c>
      <c r="F942" s="1">
        <v>46131</v>
      </c>
      <c r="G942" s="1">
        <v>46137</v>
      </c>
      <c r="H942" s="2">
        <v>6</v>
      </c>
      <c r="I942" s="2">
        <v>167000</v>
      </c>
      <c r="J942" s="2" t="s">
        <v>1017</v>
      </c>
      <c r="K942" s="2" t="s">
        <v>1147</v>
      </c>
      <c r="L942" t="s">
        <v>1037</v>
      </c>
      <c r="M942" s="2" t="s">
        <v>1038</v>
      </c>
      <c r="N942">
        <v>33</v>
      </c>
    </row>
    <row r="943" spans="1:14" x14ac:dyDescent="0.3">
      <c r="A943" t="s">
        <v>442</v>
      </c>
      <c r="B943">
        <v>57</v>
      </c>
      <c r="C943" s="2" t="s">
        <v>1014</v>
      </c>
      <c r="D943" s="2" t="s">
        <v>1021</v>
      </c>
      <c r="E943" s="2" t="s">
        <v>1118</v>
      </c>
      <c r="F943" s="1">
        <v>46132</v>
      </c>
      <c r="G943" s="1">
        <v>46138</v>
      </c>
      <c r="H943" s="2">
        <v>6</v>
      </c>
      <c r="I943" s="2">
        <v>178000</v>
      </c>
      <c r="J943" s="2" t="s">
        <v>1017</v>
      </c>
      <c r="K943" s="2" t="s">
        <v>1147</v>
      </c>
      <c r="L943" t="s">
        <v>1018</v>
      </c>
      <c r="M943" s="2" t="s">
        <v>1038</v>
      </c>
      <c r="N943">
        <v>4</v>
      </c>
    </row>
    <row r="944" spans="1:14" x14ac:dyDescent="0.3">
      <c r="A944" t="s">
        <v>443</v>
      </c>
      <c r="B944">
        <v>54</v>
      </c>
      <c r="C944" s="2" t="s">
        <v>1014</v>
      </c>
      <c r="D944" s="2" t="s">
        <v>1021</v>
      </c>
      <c r="E944" s="2" t="s">
        <v>1118</v>
      </c>
      <c r="F944" s="1">
        <v>46133</v>
      </c>
      <c r="G944" s="1">
        <v>46157</v>
      </c>
      <c r="H944" s="2">
        <v>14</v>
      </c>
      <c r="I944" s="2">
        <v>250000</v>
      </c>
      <c r="J944" s="2" t="s">
        <v>1017</v>
      </c>
      <c r="K944" s="2" t="s">
        <v>1147</v>
      </c>
      <c r="L944" t="s">
        <v>1018</v>
      </c>
      <c r="M944" s="2" t="s">
        <v>1038</v>
      </c>
      <c r="N944">
        <v>5</v>
      </c>
    </row>
    <row r="945" spans="1:14" x14ac:dyDescent="0.3">
      <c r="A945" t="s">
        <v>444</v>
      </c>
      <c r="B945">
        <v>56</v>
      </c>
      <c r="C945" s="2" t="s">
        <v>1020</v>
      </c>
      <c r="D945" s="2" t="s">
        <v>1021</v>
      </c>
      <c r="E945" s="2" t="s">
        <v>1139</v>
      </c>
      <c r="F945" s="1">
        <v>46134</v>
      </c>
      <c r="G945" s="1">
        <v>46142</v>
      </c>
      <c r="H945" s="2">
        <v>8</v>
      </c>
      <c r="I945" s="2">
        <v>156888</v>
      </c>
      <c r="J945" s="2" t="s">
        <v>1017</v>
      </c>
      <c r="K945" s="2" t="s">
        <v>1147</v>
      </c>
      <c r="L945" t="s">
        <v>1018</v>
      </c>
      <c r="M945" s="2" t="s">
        <v>1038</v>
      </c>
      <c r="N945">
        <v>3</v>
      </c>
    </row>
    <row r="946" spans="1:14" x14ac:dyDescent="0.3">
      <c r="A946" t="s">
        <v>445</v>
      </c>
      <c r="B946">
        <v>45</v>
      </c>
      <c r="C946" s="2" t="s">
        <v>1020</v>
      </c>
      <c r="D946" s="2" t="s">
        <v>1021</v>
      </c>
      <c r="E946" s="2" t="s">
        <v>1118</v>
      </c>
      <c r="F946" s="1">
        <v>46135</v>
      </c>
      <c r="G946" s="1">
        <v>46143</v>
      </c>
      <c r="H946" s="2">
        <v>8</v>
      </c>
      <c r="I946" s="2">
        <v>145678</v>
      </c>
      <c r="J946" s="2" t="s">
        <v>1017</v>
      </c>
      <c r="K946" s="2" t="s">
        <v>1147</v>
      </c>
      <c r="L946" t="s">
        <v>1037</v>
      </c>
      <c r="M946" s="2" t="s">
        <v>1038</v>
      </c>
      <c r="N946">
        <v>2</v>
      </c>
    </row>
    <row r="947" spans="1:14" x14ac:dyDescent="0.3">
      <c r="A947" t="s">
        <v>446</v>
      </c>
      <c r="B947">
        <v>78</v>
      </c>
      <c r="C947" s="2" t="s">
        <v>1020</v>
      </c>
      <c r="D947" s="2" t="s">
        <v>1021</v>
      </c>
      <c r="E947" s="2" t="s">
        <v>1118</v>
      </c>
      <c r="F947" s="1">
        <v>46136</v>
      </c>
      <c r="G947" s="1">
        <v>46147</v>
      </c>
      <c r="H947" s="2">
        <v>11</v>
      </c>
      <c r="I947" s="2">
        <v>150000</v>
      </c>
      <c r="J947" s="2" t="s">
        <v>1027</v>
      </c>
      <c r="K947" s="2" t="s">
        <v>1147</v>
      </c>
      <c r="L947" t="s">
        <v>1018</v>
      </c>
      <c r="M947" s="2" t="s">
        <v>1038</v>
      </c>
      <c r="N947">
        <v>1</v>
      </c>
    </row>
    <row r="948" spans="1:14" x14ac:dyDescent="0.3">
      <c r="A948" t="s">
        <v>447</v>
      </c>
      <c r="B948">
        <v>67</v>
      </c>
      <c r="C948" s="2" t="s">
        <v>1014</v>
      </c>
      <c r="D948" s="2" t="s">
        <v>1021</v>
      </c>
      <c r="E948" s="2" t="s">
        <v>1139</v>
      </c>
      <c r="F948" s="1">
        <v>46137</v>
      </c>
      <c r="G948" s="1">
        <v>45776</v>
      </c>
      <c r="H948" s="2">
        <v>4</v>
      </c>
      <c r="I948" s="2">
        <v>260000</v>
      </c>
      <c r="J948" s="2" t="s">
        <v>1027</v>
      </c>
      <c r="K948" s="2" t="s">
        <v>1147</v>
      </c>
      <c r="L948" t="s">
        <v>1037</v>
      </c>
      <c r="M948" s="2" t="s">
        <v>1038</v>
      </c>
      <c r="N948">
        <v>5</v>
      </c>
    </row>
    <row r="949" spans="1:14" x14ac:dyDescent="0.3">
      <c r="A949" t="s">
        <v>448</v>
      </c>
      <c r="B949">
        <v>4</v>
      </c>
      <c r="C949" s="2" t="s">
        <v>1014</v>
      </c>
      <c r="D949" s="2" t="s">
        <v>1021</v>
      </c>
      <c r="E949" s="2" t="s">
        <v>1069</v>
      </c>
      <c r="F949" s="1">
        <v>46138</v>
      </c>
      <c r="G949" s="1">
        <v>46147</v>
      </c>
      <c r="H949" s="2">
        <v>9</v>
      </c>
      <c r="I949" s="2">
        <v>340000</v>
      </c>
      <c r="J949" s="2" t="s">
        <v>1027</v>
      </c>
      <c r="K949" s="2" t="s">
        <v>1147</v>
      </c>
      <c r="L949" t="s">
        <v>1018</v>
      </c>
      <c r="M949" s="2" t="s">
        <v>1038</v>
      </c>
      <c r="N949">
        <v>5.4</v>
      </c>
    </row>
    <row r="950" spans="1:14" x14ac:dyDescent="0.3">
      <c r="A950" t="s">
        <v>449</v>
      </c>
      <c r="B950">
        <v>56</v>
      </c>
      <c r="C950" s="2" t="s">
        <v>1020</v>
      </c>
      <c r="D950" s="2" t="s">
        <v>1021</v>
      </c>
      <c r="E950" s="2" t="s">
        <v>1096</v>
      </c>
      <c r="F950" s="1">
        <v>46139</v>
      </c>
      <c r="G950" s="1">
        <v>46152</v>
      </c>
      <c r="H950" s="2">
        <v>13</v>
      </c>
      <c r="I950" s="2">
        <v>560000</v>
      </c>
      <c r="J950" s="2" t="s">
        <v>1027</v>
      </c>
      <c r="K950" s="2" t="s">
        <v>1147</v>
      </c>
      <c r="L950" t="s">
        <v>1037</v>
      </c>
      <c r="M950" s="2" t="s">
        <v>1038</v>
      </c>
      <c r="N950">
        <v>5.3</v>
      </c>
    </row>
    <row r="951" spans="1:14" x14ac:dyDescent="0.3">
      <c r="A951" t="s">
        <v>450</v>
      </c>
      <c r="B951">
        <v>54</v>
      </c>
      <c r="C951" s="2" t="s">
        <v>1014</v>
      </c>
      <c r="D951" s="2" t="s">
        <v>1021</v>
      </c>
      <c r="E951" s="2" t="s">
        <v>1118</v>
      </c>
      <c r="F951" s="1">
        <v>46140</v>
      </c>
      <c r="G951" s="1">
        <v>46157</v>
      </c>
      <c r="H951" s="2">
        <v>17</v>
      </c>
      <c r="I951" s="2">
        <v>678000</v>
      </c>
      <c r="J951" s="2" t="s">
        <v>1027</v>
      </c>
      <c r="K951" s="2" t="s">
        <v>1147</v>
      </c>
      <c r="L951" t="s">
        <v>1037</v>
      </c>
      <c r="M951" s="2" t="s">
        <v>1038</v>
      </c>
      <c r="N951">
        <v>3</v>
      </c>
    </row>
    <row r="952" spans="1:14" x14ac:dyDescent="0.3">
      <c r="A952" t="s">
        <v>451</v>
      </c>
      <c r="B952">
        <v>34</v>
      </c>
      <c r="C952" s="2" t="s">
        <v>1014</v>
      </c>
      <c r="D952" s="2" t="s">
        <v>1021</v>
      </c>
      <c r="E952" s="2" t="s">
        <v>1069</v>
      </c>
      <c r="F952" s="1">
        <v>46141</v>
      </c>
      <c r="G952" s="1">
        <v>46152</v>
      </c>
      <c r="H952" s="2">
        <v>11</v>
      </c>
      <c r="I952" s="2">
        <v>345678</v>
      </c>
      <c r="J952" s="2" t="s">
        <v>1027</v>
      </c>
      <c r="K952" s="2" t="s">
        <v>1147</v>
      </c>
      <c r="L952" t="s">
        <v>1037</v>
      </c>
      <c r="M952" s="2" t="s">
        <v>1038</v>
      </c>
      <c r="N952">
        <v>5.8</v>
      </c>
    </row>
    <row r="953" spans="1:14" x14ac:dyDescent="0.3">
      <c r="A953" t="s">
        <v>452</v>
      </c>
      <c r="B953">
        <v>45</v>
      </c>
      <c r="C953" s="2" t="s">
        <v>1014</v>
      </c>
      <c r="D953" s="2" t="s">
        <v>1021</v>
      </c>
      <c r="E953" s="2" t="s">
        <v>1080</v>
      </c>
      <c r="F953" s="1">
        <v>46142</v>
      </c>
      <c r="G953" s="1">
        <v>46158</v>
      </c>
      <c r="H953" s="2">
        <v>16</v>
      </c>
      <c r="I953" s="2">
        <v>234567</v>
      </c>
      <c r="J953" s="2" t="s">
        <v>1027</v>
      </c>
      <c r="K953" s="2" t="s">
        <v>1147</v>
      </c>
      <c r="L953" t="s">
        <v>1018</v>
      </c>
      <c r="M953" s="2" t="s">
        <v>1038</v>
      </c>
      <c r="N953">
        <v>5.9</v>
      </c>
    </row>
    <row r="954" spans="1:14" x14ac:dyDescent="0.3">
      <c r="A954" t="s">
        <v>453</v>
      </c>
      <c r="B954">
        <v>56</v>
      </c>
      <c r="C954" s="2" t="s">
        <v>1020</v>
      </c>
      <c r="D954" s="2" t="s">
        <v>1021</v>
      </c>
      <c r="E954" s="2" t="s">
        <v>1139</v>
      </c>
      <c r="F954" s="1">
        <v>46143</v>
      </c>
      <c r="G954" s="1">
        <v>46152</v>
      </c>
      <c r="H954" s="2">
        <v>10</v>
      </c>
      <c r="I954" s="2">
        <v>145000</v>
      </c>
      <c r="J954" s="2" t="s">
        <v>1027</v>
      </c>
      <c r="K954" s="2" t="s">
        <v>1147</v>
      </c>
      <c r="L954" t="s">
        <v>1018</v>
      </c>
      <c r="M954" s="2" t="s">
        <v>1038</v>
      </c>
      <c r="N954">
        <v>3</v>
      </c>
    </row>
    <row r="955" spans="1:14" x14ac:dyDescent="0.3">
      <c r="A955" t="s">
        <v>454</v>
      </c>
      <c r="B955">
        <v>65</v>
      </c>
      <c r="C955" s="2" t="s">
        <v>1020</v>
      </c>
      <c r="D955" s="2" t="s">
        <v>1021</v>
      </c>
      <c r="E955" s="2" t="s">
        <v>1140</v>
      </c>
      <c r="F955" s="1">
        <v>46144</v>
      </c>
      <c r="G955" s="1">
        <v>46155</v>
      </c>
      <c r="H955" s="2">
        <v>11</v>
      </c>
      <c r="I955" s="2">
        <v>156000</v>
      </c>
      <c r="J955" s="2" t="s">
        <v>1027</v>
      </c>
      <c r="K955" s="2" t="s">
        <v>1147</v>
      </c>
      <c r="L955" t="s">
        <v>1037</v>
      </c>
      <c r="M955" s="2" t="s">
        <v>1038</v>
      </c>
      <c r="N955">
        <v>2</v>
      </c>
    </row>
    <row r="956" spans="1:14" x14ac:dyDescent="0.3">
      <c r="A956" t="s">
        <v>483</v>
      </c>
      <c r="B956">
        <v>67</v>
      </c>
      <c r="C956" s="2" t="s">
        <v>1014</v>
      </c>
      <c r="D956" s="2" t="s">
        <v>1031</v>
      </c>
      <c r="E956" s="2" t="s">
        <v>1163</v>
      </c>
      <c r="F956" s="1">
        <v>46170</v>
      </c>
      <c r="G956" s="1">
        <v>46183</v>
      </c>
      <c r="H956" s="2">
        <v>12</v>
      </c>
      <c r="I956" s="2">
        <v>154890</v>
      </c>
      <c r="J956" s="2" t="s">
        <v>1027</v>
      </c>
      <c r="K956" s="2" t="s">
        <v>1161</v>
      </c>
      <c r="L956" t="s">
        <v>1018</v>
      </c>
      <c r="M956" s="2" t="s">
        <v>1038</v>
      </c>
      <c r="N956">
        <v>4</v>
      </c>
    </row>
    <row r="957" spans="1:14" x14ac:dyDescent="0.3">
      <c r="A957" t="s">
        <v>484</v>
      </c>
      <c r="B957">
        <v>45</v>
      </c>
      <c r="C957" s="2" t="s">
        <v>1014</v>
      </c>
      <c r="D957" s="2" t="s">
        <v>1031</v>
      </c>
      <c r="E957" s="2" t="s">
        <v>1145</v>
      </c>
      <c r="F957" s="1">
        <v>46171</v>
      </c>
      <c r="G957" s="1">
        <v>46185</v>
      </c>
      <c r="H957" s="2">
        <v>14</v>
      </c>
      <c r="I957" s="2">
        <v>167890</v>
      </c>
      <c r="J957" s="2" t="s">
        <v>1027</v>
      </c>
      <c r="K957" s="2" t="s">
        <v>1161</v>
      </c>
      <c r="L957" t="s">
        <v>1037</v>
      </c>
      <c r="M957" t="s">
        <v>1038</v>
      </c>
      <c r="N957">
        <v>5</v>
      </c>
    </row>
    <row r="958" spans="1:14" x14ac:dyDescent="0.3">
      <c r="A958" t="s">
        <v>485</v>
      </c>
      <c r="B958">
        <v>46</v>
      </c>
      <c r="C958" s="2" t="s">
        <v>1020</v>
      </c>
      <c r="D958" s="2" t="s">
        <v>1031</v>
      </c>
      <c r="E958" s="2" t="s">
        <v>1053</v>
      </c>
      <c r="F958" s="1">
        <v>46172</v>
      </c>
      <c r="G958" s="1">
        <v>46183</v>
      </c>
      <c r="H958" s="2">
        <v>11</v>
      </c>
      <c r="I958" s="2">
        <v>178900</v>
      </c>
      <c r="J958" s="2" t="s">
        <v>1027</v>
      </c>
      <c r="K958" s="2" t="s">
        <v>1161</v>
      </c>
      <c r="L958" t="s">
        <v>1018</v>
      </c>
      <c r="M958" s="2" t="s">
        <v>1038</v>
      </c>
      <c r="N958">
        <v>4</v>
      </c>
    </row>
    <row r="959" spans="1:14" x14ac:dyDescent="0.3">
      <c r="A959" t="s">
        <v>486</v>
      </c>
      <c r="B959">
        <v>34</v>
      </c>
      <c r="C959" s="2" t="s">
        <v>1020</v>
      </c>
      <c r="D959" s="2" t="s">
        <v>1031</v>
      </c>
      <c r="E959" s="2" t="s">
        <v>1054</v>
      </c>
      <c r="F959" s="1">
        <v>46173</v>
      </c>
      <c r="G959" s="1">
        <v>46178</v>
      </c>
      <c r="H959" s="2">
        <v>5</v>
      </c>
      <c r="I959" s="2">
        <v>13456</v>
      </c>
      <c r="J959" s="2" t="s">
        <v>1027</v>
      </c>
      <c r="K959" s="2" t="s">
        <v>1161</v>
      </c>
      <c r="L959" t="s">
        <v>1037</v>
      </c>
      <c r="M959" t="s">
        <v>1038</v>
      </c>
      <c r="N959">
        <v>3</v>
      </c>
    </row>
    <row r="960" spans="1:14" x14ac:dyDescent="0.3">
      <c r="A960" t="s">
        <v>487</v>
      </c>
      <c r="B960">
        <v>33</v>
      </c>
      <c r="C960" s="2" t="s">
        <v>1020</v>
      </c>
      <c r="D960" s="2" t="s">
        <v>1031</v>
      </c>
      <c r="E960" s="2" t="s">
        <v>1053</v>
      </c>
      <c r="F960" s="1">
        <v>46174</v>
      </c>
      <c r="G960" s="1">
        <v>46183</v>
      </c>
      <c r="H960" s="2">
        <v>10</v>
      </c>
      <c r="I960" s="2">
        <v>156000</v>
      </c>
      <c r="J960" s="2" t="s">
        <v>1027</v>
      </c>
      <c r="K960" s="2" t="s">
        <v>1161</v>
      </c>
      <c r="L960" t="s">
        <v>1037</v>
      </c>
      <c r="M960" s="2" t="s">
        <v>1038</v>
      </c>
      <c r="N960">
        <v>4</v>
      </c>
    </row>
    <row r="961" spans="1:14" x14ac:dyDescent="0.3">
      <c r="A961" t="s">
        <v>488</v>
      </c>
      <c r="B961">
        <v>39</v>
      </c>
      <c r="C961" s="2" t="s">
        <v>1014</v>
      </c>
      <c r="D961" s="2" t="s">
        <v>1031</v>
      </c>
      <c r="E961" s="2" t="s">
        <v>1034</v>
      </c>
      <c r="F961" s="1">
        <v>46175</v>
      </c>
      <c r="G961" s="1">
        <v>46185</v>
      </c>
      <c r="H961" s="2">
        <v>10</v>
      </c>
      <c r="I961" s="2">
        <v>178000</v>
      </c>
      <c r="J961" s="2" t="s">
        <v>1027</v>
      </c>
      <c r="K961" s="2" t="s">
        <v>1161</v>
      </c>
      <c r="L961" t="s">
        <v>1018</v>
      </c>
      <c r="M961" t="s">
        <v>1038</v>
      </c>
      <c r="N961">
        <v>5</v>
      </c>
    </row>
    <row r="962" spans="1:14" x14ac:dyDescent="0.3">
      <c r="A962" t="s">
        <v>489</v>
      </c>
      <c r="B962">
        <v>56</v>
      </c>
      <c r="C962" s="2" t="s">
        <v>1014</v>
      </c>
      <c r="D962" s="2" t="s">
        <v>1031</v>
      </c>
      <c r="E962" s="2" t="s">
        <v>1034</v>
      </c>
      <c r="F962" s="1">
        <v>46176</v>
      </c>
      <c r="G962" s="1">
        <v>46183</v>
      </c>
      <c r="H962" s="2">
        <v>7</v>
      </c>
      <c r="I962" s="2">
        <v>154321</v>
      </c>
      <c r="J962" s="2" t="s">
        <v>1027</v>
      </c>
      <c r="K962" s="2" t="s">
        <v>1161</v>
      </c>
      <c r="L962" t="s">
        <v>1018</v>
      </c>
      <c r="M962" s="2" t="s">
        <v>1038</v>
      </c>
      <c r="N962">
        <v>3</v>
      </c>
    </row>
    <row r="963" spans="1:14" x14ac:dyDescent="0.3">
      <c r="A963" t="s">
        <v>490</v>
      </c>
      <c r="B963">
        <v>23</v>
      </c>
      <c r="C963" s="2" t="s">
        <v>1014</v>
      </c>
      <c r="D963" s="2" t="s">
        <v>1031</v>
      </c>
      <c r="E963" s="2" t="s">
        <v>1054</v>
      </c>
      <c r="F963" s="1">
        <v>46177</v>
      </c>
      <c r="G963" s="1">
        <v>46197</v>
      </c>
      <c r="H963" s="2">
        <v>20</v>
      </c>
      <c r="I963" s="2">
        <v>12900</v>
      </c>
      <c r="J963" s="2" t="s">
        <v>1027</v>
      </c>
      <c r="K963" s="2" t="s">
        <v>1161</v>
      </c>
      <c r="L963" t="s">
        <v>1037</v>
      </c>
      <c r="M963" t="s">
        <v>1038</v>
      </c>
      <c r="N963">
        <v>4</v>
      </c>
    </row>
    <row r="964" spans="1:14" x14ac:dyDescent="0.3">
      <c r="A964" t="s">
        <v>491</v>
      </c>
      <c r="B964">
        <v>34</v>
      </c>
      <c r="C964" s="2" t="s">
        <v>1014</v>
      </c>
      <c r="D964" s="2" t="s">
        <v>1031</v>
      </c>
      <c r="E964" s="2" t="s">
        <v>1054</v>
      </c>
      <c r="F964" s="1">
        <v>46178</v>
      </c>
      <c r="G964" s="1">
        <v>46198</v>
      </c>
      <c r="H964" s="2">
        <v>20</v>
      </c>
      <c r="I964" s="2">
        <v>134567</v>
      </c>
      <c r="J964" s="2" t="s">
        <v>1027</v>
      </c>
      <c r="K964" s="2" t="s">
        <v>1161</v>
      </c>
      <c r="L964" t="s">
        <v>1018</v>
      </c>
      <c r="M964" s="2" t="s">
        <v>1038</v>
      </c>
      <c r="N964">
        <v>5</v>
      </c>
    </row>
    <row r="965" spans="1:14" x14ac:dyDescent="0.3">
      <c r="A965" t="s">
        <v>502</v>
      </c>
      <c r="B965">
        <v>34</v>
      </c>
      <c r="C965" s="2" t="s">
        <v>1014</v>
      </c>
      <c r="D965" s="2" t="s">
        <v>1031</v>
      </c>
      <c r="E965" s="2" t="s">
        <v>1053</v>
      </c>
      <c r="F965" s="1">
        <v>46189</v>
      </c>
      <c r="G965" s="1">
        <v>46209</v>
      </c>
      <c r="H965" s="2">
        <v>20</v>
      </c>
      <c r="I965" s="2">
        <v>98000</v>
      </c>
      <c r="J965" s="2" t="s">
        <v>1027</v>
      </c>
      <c r="K965" s="2" t="s">
        <v>1161</v>
      </c>
      <c r="L965" t="s">
        <v>1037</v>
      </c>
      <c r="M965" t="s">
        <v>1038</v>
      </c>
      <c r="N965">
        <v>4</v>
      </c>
    </row>
    <row r="966" spans="1:14" x14ac:dyDescent="0.3">
      <c r="A966" t="s">
        <v>503</v>
      </c>
      <c r="B966">
        <v>32</v>
      </c>
      <c r="C966" s="2" t="s">
        <v>1020</v>
      </c>
      <c r="D966" s="2" t="s">
        <v>1031</v>
      </c>
      <c r="E966" s="2" t="s">
        <v>1053</v>
      </c>
      <c r="F966" s="1">
        <v>46190</v>
      </c>
      <c r="G966" s="1">
        <v>46210</v>
      </c>
      <c r="H966" s="2">
        <v>20</v>
      </c>
      <c r="I966" s="2">
        <v>100000</v>
      </c>
      <c r="J966" s="2" t="s">
        <v>1027</v>
      </c>
      <c r="K966" s="2" t="s">
        <v>1161</v>
      </c>
      <c r="L966" t="s">
        <v>1018</v>
      </c>
      <c r="M966" s="2" t="s">
        <v>1038</v>
      </c>
      <c r="N966">
        <v>5</v>
      </c>
    </row>
    <row r="967" spans="1:14" x14ac:dyDescent="0.3">
      <c r="A967" t="s">
        <v>520</v>
      </c>
      <c r="B967">
        <v>23</v>
      </c>
      <c r="C967" t="s">
        <v>1020</v>
      </c>
      <c r="D967" s="2" t="s">
        <v>1039</v>
      </c>
      <c r="E967" t="s">
        <v>1137</v>
      </c>
      <c r="F967" s="1">
        <v>46207</v>
      </c>
      <c r="G967" s="1">
        <v>46226</v>
      </c>
      <c r="H967" s="2">
        <v>19</v>
      </c>
      <c r="I967" s="2">
        <v>56000</v>
      </c>
      <c r="J967" s="2" t="s">
        <v>1027</v>
      </c>
      <c r="K967" t="s">
        <v>1059</v>
      </c>
      <c r="L967" t="s">
        <v>1037</v>
      </c>
      <c r="M967" t="s">
        <v>1038</v>
      </c>
      <c r="N967">
        <v>3</v>
      </c>
    </row>
    <row r="968" spans="1:14" x14ac:dyDescent="0.3">
      <c r="A968" t="s">
        <v>521</v>
      </c>
      <c r="B968">
        <v>12</v>
      </c>
      <c r="C968" t="s">
        <v>1020</v>
      </c>
      <c r="D968" s="2" t="s">
        <v>1039</v>
      </c>
      <c r="E968" t="s">
        <v>1137</v>
      </c>
      <c r="F968" s="1">
        <v>46208</v>
      </c>
      <c r="G968" s="1">
        <v>46227</v>
      </c>
      <c r="H968" s="2">
        <v>19</v>
      </c>
      <c r="I968" s="2">
        <v>87000</v>
      </c>
      <c r="J968" s="2" t="s">
        <v>1027</v>
      </c>
      <c r="K968" t="s">
        <v>1059</v>
      </c>
      <c r="L968" t="s">
        <v>1018</v>
      </c>
      <c r="M968" s="2" t="s">
        <v>1038</v>
      </c>
      <c r="N968">
        <v>4</v>
      </c>
    </row>
    <row r="969" spans="1:14" x14ac:dyDescent="0.3">
      <c r="A969" t="s">
        <v>522</v>
      </c>
      <c r="B969">
        <v>4</v>
      </c>
      <c r="C969" t="s">
        <v>1020</v>
      </c>
      <c r="D969" s="2" t="s">
        <v>1039</v>
      </c>
      <c r="E969" t="s">
        <v>1137</v>
      </c>
      <c r="F969" s="1">
        <v>46209</v>
      </c>
      <c r="G969" s="1">
        <v>46228</v>
      </c>
      <c r="H969" s="2">
        <v>19</v>
      </c>
      <c r="I969" s="2">
        <v>12000</v>
      </c>
      <c r="J969" s="2" t="s">
        <v>1027</v>
      </c>
      <c r="K969" t="s">
        <v>1059</v>
      </c>
      <c r="L969" t="s">
        <v>1037</v>
      </c>
      <c r="M969" t="s">
        <v>1038</v>
      </c>
      <c r="N969">
        <v>5</v>
      </c>
    </row>
    <row r="970" spans="1:14" x14ac:dyDescent="0.3">
      <c r="A970" t="s">
        <v>523</v>
      </c>
      <c r="B970">
        <v>34</v>
      </c>
      <c r="C970" t="s">
        <v>1020</v>
      </c>
      <c r="D970" s="2" t="s">
        <v>1039</v>
      </c>
      <c r="E970" t="s">
        <v>1102</v>
      </c>
      <c r="F970" s="1">
        <v>46210</v>
      </c>
      <c r="G970" s="1">
        <v>46229</v>
      </c>
      <c r="H970" s="2">
        <v>19</v>
      </c>
      <c r="I970" s="2">
        <v>15000</v>
      </c>
      <c r="J970" s="2" t="s">
        <v>1027</v>
      </c>
      <c r="K970" t="s">
        <v>1059</v>
      </c>
      <c r="L970" t="s">
        <v>1018</v>
      </c>
      <c r="M970" s="2" t="s">
        <v>1038</v>
      </c>
      <c r="N970">
        <v>4</v>
      </c>
    </row>
    <row r="971" spans="1:14" x14ac:dyDescent="0.3">
      <c r="A971" t="s">
        <v>524</v>
      </c>
      <c r="B971">
        <v>23</v>
      </c>
      <c r="C971" t="s">
        <v>1020</v>
      </c>
      <c r="D971" s="2" t="s">
        <v>1039</v>
      </c>
      <c r="E971" t="s">
        <v>1102</v>
      </c>
      <c r="F971" s="1">
        <v>46211</v>
      </c>
      <c r="G971" s="1">
        <v>46230</v>
      </c>
      <c r="H971" s="2">
        <v>19</v>
      </c>
      <c r="I971" s="2">
        <v>20000</v>
      </c>
      <c r="J971" s="2" t="s">
        <v>1027</v>
      </c>
      <c r="K971" t="s">
        <v>1059</v>
      </c>
      <c r="L971" t="s">
        <v>1037</v>
      </c>
      <c r="M971" t="s">
        <v>1038</v>
      </c>
      <c r="N971">
        <v>3</v>
      </c>
    </row>
    <row r="972" spans="1:14" x14ac:dyDescent="0.3">
      <c r="A972" t="s">
        <v>525</v>
      </c>
      <c r="B972">
        <v>12</v>
      </c>
      <c r="C972" t="s">
        <v>1020</v>
      </c>
      <c r="D972" s="2" t="s">
        <v>1039</v>
      </c>
      <c r="E972" t="s">
        <v>1102</v>
      </c>
      <c r="F972" s="1">
        <v>46212</v>
      </c>
      <c r="G972" s="1">
        <v>46231</v>
      </c>
      <c r="H972" s="2">
        <v>19</v>
      </c>
      <c r="I972" s="2">
        <v>30000</v>
      </c>
      <c r="J972" s="2" t="s">
        <v>1023</v>
      </c>
      <c r="K972" t="s">
        <v>1059</v>
      </c>
      <c r="L972" t="s">
        <v>1037</v>
      </c>
      <c r="M972" s="2" t="s">
        <v>1038</v>
      </c>
      <c r="N972">
        <v>4</v>
      </c>
    </row>
    <row r="973" spans="1:14" x14ac:dyDescent="0.3">
      <c r="A973" t="s">
        <v>526</v>
      </c>
      <c r="B973">
        <v>45</v>
      </c>
      <c r="C973" t="s">
        <v>1020</v>
      </c>
      <c r="D973" s="2" t="s">
        <v>1039</v>
      </c>
      <c r="E973" t="s">
        <v>1102</v>
      </c>
      <c r="F973" s="1">
        <v>46213</v>
      </c>
      <c r="G973" s="1">
        <v>46232</v>
      </c>
      <c r="H973" s="2">
        <v>19</v>
      </c>
      <c r="I973" s="2">
        <v>40000</v>
      </c>
      <c r="J973" s="2" t="s">
        <v>1023</v>
      </c>
      <c r="K973" t="s">
        <v>1059</v>
      </c>
      <c r="L973" t="s">
        <v>1037</v>
      </c>
      <c r="M973" t="s">
        <v>1038</v>
      </c>
      <c r="N973">
        <v>3</v>
      </c>
    </row>
    <row r="974" spans="1:14" x14ac:dyDescent="0.3">
      <c r="A974" t="s">
        <v>527</v>
      </c>
      <c r="B974">
        <v>34</v>
      </c>
      <c r="C974" t="s">
        <v>1020</v>
      </c>
      <c r="D974" s="2" t="s">
        <v>1039</v>
      </c>
      <c r="E974" t="s">
        <v>1102</v>
      </c>
      <c r="F974" s="1">
        <v>46214</v>
      </c>
      <c r="G974" s="1">
        <v>46233</v>
      </c>
      <c r="H974" s="2">
        <v>19</v>
      </c>
      <c r="I974" s="2">
        <v>50000</v>
      </c>
      <c r="J974" s="2" t="s">
        <v>1023</v>
      </c>
      <c r="K974" t="s">
        <v>1059</v>
      </c>
      <c r="L974" t="s">
        <v>1018</v>
      </c>
      <c r="M974" s="2" t="s">
        <v>1038</v>
      </c>
      <c r="N974">
        <v>4</v>
      </c>
    </row>
    <row r="975" spans="1:14" x14ac:dyDescent="0.3">
      <c r="A975" t="s">
        <v>528</v>
      </c>
      <c r="B975">
        <v>23</v>
      </c>
      <c r="C975" t="s">
        <v>1020</v>
      </c>
      <c r="D975" s="2" t="s">
        <v>1039</v>
      </c>
      <c r="E975" t="s">
        <v>1102</v>
      </c>
      <c r="F975" s="1">
        <v>46215</v>
      </c>
      <c r="G975" s="1">
        <v>46234</v>
      </c>
      <c r="H975" s="2">
        <v>19</v>
      </c>
      <c r="I975" s="2">
        <v>78000</v>
      </c>
      <c r="J975" s="2" t="s">
        <v>1023</v>
      </c>
      <c r="K975" t="s">
        <v>1059</v>
      </c>
      <c r="L975" t="s">
        <v>1018</v>
      </c>
      <c r="M975" t="s">
        <v>1038</v>
      </c>
      <c r="N975">
        <v>33</v>
      </c>
    </row>
    <row r="976" spans="1:14" x14ac:dyDescent="0.3">
      <c r="A976" t="s">
        <v>529</v>
      </c>
      <c r="B976">
        <v>45</v>
      </c>
      <c r="C976" t="s">
        <v>1020</v>
      </c>
      <c r="D976" s="2" t="s">
        <v>1039</v>
      </c>
      <c r="E976" t="s">
        <v>1102</v>
      </c>
      <c r="F976" s="1">
        <v>46216</v>
      </c>
      <c r="G976" s="1">
        <v>46235</v>
      </c>
      <c r="H976" s="2">
        <v>19</v>
      </c>
      <c r="I976" s="2">
        <v>49000</v>
      </c>
      <c r="J976" s="2" t="s">
        <v>1023</v>
      </c>
      <c r="K976" t="s">
        <v>1059</v>
      </c>
      <c r="L976" t="s">
        <v>1037</v>
      </c>
      <c r="M976" s="2" t="s">
        <v>1038</v>
      </c>
      <c r="N976">
        <v>4</v>
      </c>
    </row>
    <row r="977" spans="1:14" x14ac:dyDescent="0.3">
      <c r="A977" t="s">
        <v>530</v>
      </c>
      <c r="B977">
        <v>34</v>
      </c>
      <c r="C977" t="s">
        <v>1020</v>
      </c>
      <c r="D977" s="2" t="s">
        <v>1039</v>
      </c>
      <c r="E977" t="s">
        <v>1102</v>
      </c>
      <c r="F977" s="1">
        <v>46217</v>
      </c>
      <c r="G977" s="1">
        <v>46236</v>
      </c>
      <c r="H977" s="2">
        <v>19</v>
      </c>
      <c r="I977" s="2">
        <v>59000</v>
      </c>
      <c r="J977" s="2" t="s">
        <v>1023</v>
      </c>
      <c r="K977" t="s">
        <v>1059</v>
      </c>
      <c r="L977" t="s">
        <v>1018</v>
      </c>
      <c r="M977" t="s">
        <v>1038</v>
      </c>
      <c r="N977">
        <v>3</v>
      </c>
    </row>
    <row r="978" spans="1:14" x14ac:dyDescent="0.3">
      <c r="A978" t="s">
        <v>531</v>
      </c>
      <c r="B978">
        <v>45</v>
      </c>
      <c r="C978" t="s">
        <v>1020</v>
      </c>
      <c r="D978" s="2" t="s">
        <v>1039</v>
      </c>
      <c r="E978" t="s">
        <v>1102</v>
      </c>
      <c r="F978" s="1">
        <v>46218</v>
      </c>
      <c r="G978" s="1">
        <v>46237</v>
      </c>
      <c r="H978" s="2">
        <v>19</v>
      </c>
      <c r="I978" s="2">
        <v>48000</v>
      </c>
      <c r="J978" s="2" t="s">
        <v>1023</v>
      </c>
      <c r="K978" t="s">
        <v>1059</v>
      </c>
      <c r="L978" t="s">
        <v>1037</v>
      </c>
      <c r="M978" s="2" t="s">
        <v>1038</v>
      </c>
      <c r="N978">
        <v>4</v>
      </c>
    </row>
    <row r="979" spans="1:14" x14ac:dyDescent="0.3">
      <c r="A979" t="s">
        <v>532</v>
      </c>
      <c r="B979">
        <v>45</v>
      </c>
      <c r="C979" t="s">
        <v>1020</v>
      </c>
      <c r="D979" s="2" t="s">
        <v>1039</v>
      </c>
      <c r="E979" t="s">
        <v>1102</v>
      </c>
      <c r="F979" s="1">
        <v>46219</v>
      </c>
      <c r="G979" s="1">
        <v>46238</v>
      </c>
      <c r="H979" s="2">
        <v>19</v>
      </c>
      <c r="I979" s="2">
        <v>68000</v>
      </c>
      <c r="J979" s="2" t="s">
        <v>1023</v>
      </c>
      <c r="K979" t="s">
        <v>1059</v>
      </c>
      <c r="L979" t="s">
        <v>1037</v>
      </c>
      <c r="M979" t="s">
        <v>1038</v>
      </c>
      <c r="N979">
        <v>3</v>
      </c>
    </row>
    <row r="980" spans="1:14" x14ac:dyDescent="0.3">
      <c r="A980" t="s">
        <v>533</v>
      </c>
      <c r="B980">
        <v>56</v>
      </c>
      <c r="C980" t="s">
        <v>1020</v>
      </c>
      <c r="D980" s="2" t="s">
        <v>1039</v>
      </c>
      <c r="E980" t="s">
        <v>1102</v>
      </c>
      <c r="F980" s="1">
        <v>46220</v>
      </c>
      <c r="G980" s="1">
        <v>46239</v>
      </c>
      <c r="H980" s="2">
        <v>19</v>
      </c>
      <c r="I980" s="2">
        <v>78000</v>
      </c>
      <c r="J980" s="2" t="s">
        <v>1023</v>
      </c>
      <c r="K980" t="s">
        <v>1059</v>
      </c>
      <c r="L980" t="s">
        <v>1018</v>
      </c>
      <c r="M980" s="2" t="s">
        <v>1038</v>
      </c>
      <c r="N980">
        <v>43</v>
      </c>
    </row>
    <row r="981" spans="1:14" x14ac:dyDescent="0.3">
      <c r="A981" t="s">
        <v>534</v>
      </c>
      <c r="B981">
        <v>67</v>
      </c>
      <c r="C981" t="s">
        <v>1020</v>
      </c>
      <c r="D981" s="2" t="s">
        <v>1039</v>
      </c>
      <c r="E981" t="s">
        <v>1102</v>
      </c>
      <c r="F981" s="1">
        <v>46221</v>
      </c>
      <c r="G981" s="1">
        <v>46240</v>
      </c>
      <c r="H981" s="2">
        <v>19</v>
      </c>
      <c r="I981" s="2">
        <v>98000</v>
      </c>
      <c r="J981" s="2" t="s">
        <v>1023</v>
      </c>
      <c r="K981" t="s">
        <v>1059</v>
      </c>
      <c r="L981" t="s">
        <v>1018</v>
      </c>
      <c r="M981" t="s">
        <v>1038</v>
      </c>
      <c r="N981">
        <v>3</v>
      </c>
    </row>
    <row r="982" spans="1:14" x14ac:dyDescent="0.3">
      <c r="A982" t="s">
        <v>535</v>
      </c>
      <c r="B982">
        <v>67</v>
      </c>
      <c r="C982" t="s">
        <v>1020</v>
      </c>
      <c r="D982" s="2" t="s">
        <v>1039</v>
      </c>
      <c r="E982" t="s">
        <v>1165</v>
      </c>
      <c r="F982" s="1">
        <v>46222</v>
      </c>
      <c r="G982" s="1">
        <v>46241</v>
      </c>
      <c r="H982" s="2">
        <v>19</v>
      </c>
      <c r="I982" s="2">
        <v>78900</v>
      </c>
      <c r="J982" s="2" t="s">
        <v>1023</v>
      </c>
      <c r="K982" t="s">
        <v>1059</v>
      </c>
      <c r="L982" t="s">
        <v>1037</v>
      </c>
      <c r="M982" t="s">
        <v>1038</v>
      </c>
      <c r="N982">
        <v>4</v>
      </c>
    </row>
    <row r="983" spans="1:14" x14ac:dyDescent="0.3">
      <c r="A983" t="s">
        <v>561</v>
      </c>
      <c r="B983">
        <v>45</v>
      </c>
      <c r="C983" t="s">
        <v>1020</v>
      </c>
      <c r="D983" s="2" t="s">
        <v>1039</v>
      </c>
      <c r="E983" t="s">
        <v>1165</v>
      </c>
      <c r="F983" s="1">
        <v>46248</v>
      </c>
      <c r="G983" s="1">
        <v>46258</v>
      </c>
      <c r="H983" s="2">
        <v>10</v>
      </c>
      <c r="I983" s="2">
        <v>89900</v>
      </c>
      <c r="J983" s="2" t="s">
        <v>1023</v>
      </c>
      <c r="K983" t="s">
        <v>1059</v>
      </c>
      <c r="L983" t="s">
        <v>1037</v>
      </c>
      <c r="M983" s="2" t="s">
        <v>1038</v>
      </c>
      <c r="N983">
        <v>4</v>
      </c>
    </row>
    <row r="984" spans="1:14" x14ac:dyDescent="0.3">
      <c r="A984" t="s">
        <v>562</v>
      </c>
      <c r="B984">
        <v>46</v>
      </c>
      <c r="C984" t="s">
        <v>1020</v>
      </c>
      <c r="D984" s="2" t="s">
        <v>1039</v>
      </c>
      <c r="E984" t="s">
        <v>1165</v>
      </c>
      <c r="F984" s="1">
        <v>46249</v>
      </c>
      <c r="G984" s="1">
        <v>46259</v>
      </c>
      <c r="H984" s="2">
        <v>10</v>
      </c>
      <c r="I984" s="2">
        <v>98990</v>
      </c>
      <c r="J984" s="2" t="s">
        <v>1023</v>
      </c>
      <c r="K984" t="s">
        <v>1059</v>
      </c>
      <c r="L984" t="s">
        <v>1037</v>
      </c>
      <c r="M984" t="s">
        <v>1038</v>
      </c>
      <c r="N984">
        <v>4</v>
      </c>
    </row>
    <row r="985" spans="1:14" x14ac:dyDescent="0.3">
      <c r="A985" t="s">
        <v>563</v>
      </c>
      <c r="B985">
        <v>35</v>
      </c>
      <c r="C985" t="s">
        <v>1020</v>
      </c>
      <c r="D985" s="2" t="s">
        <v>1039</v>
      </c>
      <c r="E985" t="s">
        <v>1165</v>
      </c>
      <c r="F985" s="1">
        <v>46250</v>
      </c>
      <c r="G985" s="1">
        <v>46260</v>
      </c>
      <c r="H985" s="2">
        <v>10</v>
      </c>
      <c r="I985" s="2">
        <v>78900</v>
      </c>
      <c r="J985" s="2" t="s">
        <v>1023</v>
      </c>
      <c r="K985" t="s">
        <v>1059</v>
      </c>
      <c r="L985" t="s">
        <v>1018</v>
      </c>
      <c r="M985" s="2" t="s">
        <v>1038</v>
      </c>
      <c r="N985">
        <v>4</v>
      </c>
    </row>
    <row r="986" spans="1:14" x14ac:dyDescent="0.3">
      <c r="A986" t="s">
        <v>564</v>
      </c>
      <c r="B986">
        <v>46</v>
      </c>
      <c r="C986" t="s">
        <v>1020</v>
      </c>
      <c r="D986" s="2" t="s">
        <v>1039</v>
      </c>
      <c r="E986" t="s">
        <v>1165</v>
      </c>
      <c r="F986" s="1">
        <v>46251</v>
      </c>
      <c r="G986" s="1">
        <v>46261</v>
      </c>
      <c r="H986" s="2">
        <v>10</v>
      </c>
      <c r="I986" s="2">
        <v>99000</v>
      </c>
      <c r="J986" s="2" t="s">
        <v>1023</v>
      </c>
      <c r="K986" t="s">
        <v>1059</v>
      </c>
      <c r="L986" t="s">
        <v>1018</v>
      </c>
      <c r="M986" t="s">
        <v>1038</v>
      </c>
      <c r="N986">
        <v>4</v>
      </c>
    </row>
    <row r="987" spans="1:14" x14ac:dyDescent="0.3">
      <c r="A987" t="s">
        <v>565</v>
      </c>
      <c r="B987">
        <v>32</v>
      </c>
      <c r="C987" t="s">
        <v>1020</v>
      </c>
      <c r="D987" s="2" t="s">
        <v>1039</v>
      </c>
      <c r="E987" t="s">
        <v>1165</v>
      </c>
      <c r="F987" s="1">
        <v>46252</v>
      </c>
      <c r="G987" s="1">
        <v>46262</v>
      </c>
      <c r="H987" s="2">
        <v>10</v>
      </c>
      <c r="I987" s="2">
        <v>23000</v>
      </c>
      <c r="J987" s="2" t="s">
        <v>1023</v>
      </c>
      <c r="K987" t="s">
        <v>1059</v>
      </c>
      <c r="L987" t="s">
        <v>1037</v>
      </c>
      <c r="M987" s="2" t="s">
        <v>1038</v>
      </c>
      <c r="N987">
        <v>4</v>
      </c>
    </row>
    <row r="988" spans="1:14" x14ac:dyDescent="0.3">
      <c r="A988" t="s">
        <v>566</v>
      </c>
      <c r="B988">
        <v>32</v>
      </c>
      <c r="C988" t="s">
        <v>1020</v>
      </c>
      <c r="D988" s="2" t="s">
        <v>1039</v>
      </c>
      <c r="E988" t="s">
        <v>1165</v>
      </c>
      <c r="F988" s="1">
        <v>46253</v>
      </c>
      <c r="G988" s="1">
        <v>46263</v>
      </c>
      <c r="H988" s="2">
        <v>10</v>
      </c>
      <c r="I988" s="2">
        <v>45000</v>
      </c>
      <c r="J988" s="2" t="s">
        <v>1023</v>
      </c>
      <c r="K988" t="s">
        <v>1059</v>
      </c>
      <c r="L988" t="s">
        <v>1018</v>
      </c>
      <c r="M988" t="s">
        <v>1038</v>
      </c>
      <c r="N988">
        <v>4</v>
      </c>
    </row>
    <row r="989" spans="1:14" x14ac:dyDescent="0.3">
      <c r="A989" t="s">
        <v>567</v>
      </c>
      <c r="B989">
        <v>23</v>
      </c>
      <c r="C989" t="s">
        <v>1020</v>
      </c>
      <c r="D989" s="2" t="s">
        <v>1039</v>
      </c>
      <c r="E989" t="s">
        <v>1165</v>
      </c>
      <c r="F989" s="1">
        <v>46254</v>
      </c>
      <c r="G989" s="1">
        <v>46264</v>
      </c>
      <c r="H989" s="2">
        <v>10</v>
      </c>
      <c r="I989" s="2">
        <v>45000</v>
      </c>
      <c r="J989" s="2" t="s">
        <v>1023</v>
      </c>
      <c r="K989" t="s">
        <v>1059</v>
      </c>
      <c r="L989" t="s">
        <v>1037</v>
      </c>
      <c r="M989" s="2" t="s">
        <v>1038</v>
      </c>
      <c r="N989">
        <v>4</v>
      </c>
    </row>
    <row r="990" spans="1:14" x14ac:dyDescent="0.3">
      <c r="A990" t="s">
        <v>568</v>
      </c>
      <c r="B990">
        <v>12</v>
      </c>
      <c r="C990" t="s">
        <v>1020</v>
      </c>
      <c r="D990" s="2" t="s">
        <v>1039</v>
      </c>
      <c r="E990" t="s">
        <v>1165</v>
      </c>
      <c r="F990" s="1">
        <v>46255</v>
      </c>
      <c r="G990" s="1">
        <v>46265</v>
      </c>
      <c r="H990" s="2">
        <v>10</v>
      </c>
      <c r="I990" s="2">
        <v>89000</v>
      </c>
      <c r="J990" s="2" t="s">
        <v>1023</v>
      </c>
      <c r="K990" t="s">
        <v>1059</v>
      </c>
      <c r="L990" t="s">
        <v>1018</v>
      </c>
      <c r="M990" t="s">
        <v>1038</v>
      </c>
      <c r="N990">
        <v>4</v>
      </c>
    </row>
    <row r="991" spans="1:14" x14ac:dyDescent="0.3">
      <c r="A991" t="s">
        <v>569</v>
      </c>
      <c r="B991">
        <v>21</v>
      </c>
      <c r="C991" t="s">
        <v>1020</v>
      </c>
      <c r="D991" s="2" t="s">
        <v>1039</v>
      </c>
      <c r="E991" t="s">
        <v>1165</v>
      </c>
      <c r="F991" s="1">
        <v>46256</v>
      </c>
      <c r="G991" s="1">
        <v>46266</v>
      </c>
      <c r="H991" s="2">
        <v>10</v>
      </c>
      <c r="I991" s="2">
        <v>98000</v>
      </c>
      <c r="J991" s="2" t="s">
        <v>1023</v>
      </c>
      <c r="K991" t="s">
        <v>1059</v>
      </c>
      <c r="L991" t="s">
        <v>1037</v>
      </c>
      <c r="M991" s="2" t="s">
        <v>1038</v>
      </c>
      <c r="N991">
        <v>4</v>
      </c>
    </row>
    <row r="992" spans="1:14" x14ac:dyDescent="0.3">
      <c r="A992" t="s">
        <v>570</v>
      </c>
      <c r="B992">
        <v>23</v>
      </c>
      <c r="C992" t="s">
        <v>1020</v>
      </c>
      <c r="D992" s="2" t="s">
        <v>1039</v>
      </c>
      <c r="E992" t="s">
        <v>1165</v>
      </c>
      <c r="F992" s="1">
        <v>46257</v>
      </c>
      <c r="G992" s="1">
        <v>46267</v>
      </c>
      <c r="H992" s="2">
        <v>10</v>
      </c>
      <c r="I992" s="2">
        <v>76000</v>
      </c>
      <c r="J992" s="2" t="s">
        <v>1023</v>
      </c>
      <c r="K992" t="s">
        <v>1059</v>
      </c>
      <c r="L992" t="s">
        <v>1037</v>
      </c>
      <c r="M992" t="s">
        <v>1038</v>
      </c>
      <c r="N992">
        <v>4</v>
      </c>
    </row>
    <row r="993" spans="1:14" x14ac:dyDescent="0.3">
      <c r="A993" t="s">
        <v>571</v>
      </c>
      <c r="B993">
        <v>34</v>
      </c>
      <c r="C993" t="s">
        <v>1020</v>
      </c>
      <c r="D993" s="2" t="s">
        <v>1039</v>
      </c>
      <c r="E993" t="s">
        <v>1165</v>
      </c>
      <c r="F993" s="1">
        <v>46258</v>
      </c>
      <c r="G993" s="1">
        <v>46268</v>
      </c>
      <c r="H993" s="2">
        <v>10</v>
      </c>
      <c r="I993" s="2">
        <v>87600</v>
      </c>
      <c r="J993" s="2" t="s">
        <v>1023</v>
      </c>
      <c r="K993" t="s">
        <v>1059</v>
      </c>
      <c r="L993" t="s">
        <v>1037</v>
      </c>
      <c r="M993" s="2" t="s">
        <v>1038</v>
      </c>
      <c r="N993">
        <v>4</v>
      </c>
    </row>
    <row r="994" spans="1:14" x14ac:dyDescent="0.3">
      <c r="A994" t="s">
        <v>572</v>
      </c>
      <c r="B994">
        <v>45</v>
      </c>
      <c r="C994" t="s">
        <v>1020</v>
      </c>
      <c r="D994" s="2" t="s">
        <v>1039</v>
      </c>
      <c r="E994" t="s">
        <v>1165</v>
      </c>
      <c r="F994" s="1">
        <v>46259</v>
      </c>
      <c r="G994" s="1">
        <v>46269</v>
      </c>
      <c r="H994" s="2">
        <v>10</v>
      </c>
      <c r="I994" s="2">
        <v>89000</v>
      </c>
      <c r="J994" s="2" t="s">
        <v>1023</v>
      </c>
      <c r="K994" t="s">
        <v>1059</v>
      </c>
      <c r="L994" t="s">
        <v>1018</v>
      </c>
      <c r="M994" t="s">
        <v>1038</v>
      </c>
      <c r="N994">
        <v>4</v>
      </c>
    </row>
    <row r="995" spans="1:14" x14ac:dyDescent="0.3">
      <c r="A995" t="s">
        <v>573</v>
      </c>
      <c r="B995">
        <v>45</v>
      </c>
      <c r="C995" t="s">
        <v>1020</v>
      </c>
      <c r="D995" s="2" t="s">
        <v>1039</v>
      </c>
      <c r="E995" t="s">
        <v>1165</v>
      </c>
      <c r="F995" s="1">
        <v>46260</v>
      </c>
      <c r="G995" s="1">
        <v>46270</v>
      </c>
      <c r="H995" s="2">
        <v>10</v>
      </c>
      <c r="I995" s="2">
        <v>98000</v>
      </c>
      <c r="J995" s="2" t="s">
        <v>1023</v>
      </c>
      <c r="K995" t="s">
        <v>1059</v>
      </c>
      <c r="L995" t="s">
        <v>1018</v>
      </c>
      <c r="M995" s="2" t="s">
        <v>1038</v>
      </c>
      <c r="N995">
        <v>4</v>
      </c>
    </row>
    <row r="996" spans="1:14" x14ac:dyDescent="0.3">
      <c r="A996" t="s">
        <v>574</v>
      </c>
      <c r="B996">
        <v>43</v>
      </c>
      <c r="C996" t="s">
        <v>1020</v>
      </c>
      <c r="D996" s="2" t="s">
        <v>1039</v>
      </c>
      <c r="E996" t="s">
        <v>1165</v>
      </c>
      <c r="F996" s="1">
        <v>46261</v>
      </c>
      <c r="G996" s="1">
        <v>46271</v>
      </c>
      <c r="H996" s="2">
        <v>10</v>
      </c>
      <c r="I996" s="2">
        <v>78000</v>
      </c>
      <c r="J996" s="2" t="s">
        <v>1023</v>
      </c>
      <c r="K996" t="s">
        <v>1059</v>
      </c>
      <c r="L996" t="s">
        <v>1037</v>
      </c>
      <c r="M996" t="s">
        <v>1038</v>
      </c>
      <c r="N996">
        <v>4</v>
      </c>
    </row>
    <row r="997" spans="1:14" x14ac:dyDescent="0.3">
      <c r="A997" t="s">
        <v>575</v>
      </c>
      <c r="B997">
        <v>56</v>
      </c>
      <c r="C997" t="s">
        <v>1020</v>
      </c>
      <c r="D997" s="2" t="s">
        <v>1039</v>
      </c>
      <c r="E997" t="s">
        <v>1165</v>
      </c>
      <c r="F997" s="1">
        <v>46262</v>
      </c>
      <c r="G997" s="1">
        <v>46272</v>
      </c>
      <c r="H997" s="2">
        <v>10</v>
      </c>
      <c r="I997" s="2">
        <v>67000</v>
      </c>
      <c r="J997" s="2" t="s">
        <v>1023</v>
      </c>
      <c r="K997" t="s">
        <v>1059</v>
      </c>
      <c r="L997" t="s">
        <v>1018</v>
      </c>
      <c r="M997" s="2" t="s">
        <v>1038</v>
      </c>
      <c r="N997">
        <v>4</v>
      </c>
    </row>
    <row r="998" spans="1:14" x14ac:dyDescent="0.3">
      <c r="A998" t="s">
        <v>576</v>
      </c>
      <c r="B998">
        <v>65</v>
      </c>
      <c r="C998" t="s">
        <v>1020</v>
      </c>
      <c r="D998" s="2" t="s">
        <v>1039</v>
      </c>
      <c r="E998" t="s">
        <v>1165</v>
      </c>
      <c r="F998" s="1">
        <v>46263</v>
      </c>
      <c r="G998" s="1">
        <v>46273</v>
      </c>
      <c r="H998" s="2">
        <v>10</v>
      </c>
      <c r="I998" s="2">
        <v>65000</v>
      </c>
      <c r="J998" s="2" t="s">
        <v>1023</v>
      </c>
      <c r="K998" t="s">
        <v>1059</v>
      </c>
      <c r="L998" t="s">
        <v>1037</v>
      </c>
      <c r="M998" s="2" t="s">
        <v>1038</v>
      </c>
      <c r="N998">
        <v>4</v>
      </c>
    </row>
    <row r="999" spans="1:14" x14ac:dyDescent="0.3">
      <c r="A999" t="s">
        <v>577</v>
      </c>
      <c r="B999">
        <v>65</v>
      </c>
      <c r="C999" t="s">
        <v>1020</v>
      </c>
      <c r="D999" s="2" t="s">
        <v>1039</v>
      </c>
      <c r="E999" t="s">
        <v>1165</v>
      </c>
      <c r="F999" s="1">
        <v>46264</v>
      </c>
      <c r="G999" s="1">
        <v>46274</v>
      </c>
      <c r="H999" s="2">
        <v>10</v>
      </c>
      <c r="I999" s="2">
        <v>89000</v>
      </c>
      <c r="J999" s="2" t="s">
        <v>1023</v>
      </c>
      <c r="K999" t="s">
        <v>1059</v>
      </c>
      <c r="L999" t="s">
        <v>1037</v>
      </c>
      <c r="M999" s="2" t="s">
        <v>1038</v>
      </c>
      <c r="N999">
        <v>4</v>
      </c>
    </row>
    <row r="1000" spans="1:14" x14ac:dyDescent="0.3">
      <c r="A1000" t="s">
        <v>578</v>
      </c>
      <c r="B1000">
        <v>56</v>
      </c>
      <c r="C1000" t="s">
        <v>1020</v>
      </c>
      <c r="D1000" s="2" t="s">
        <v>1039</v>
      </c>
      <c r="E1000" t="s">
        <v>1165</v>
      </c>
      <c r="F1000" s="1">
        <v>46265</v>
      </c>
      <c r="G1000" s="1">
        <v>46275</v>
      </c>
      <c r="H1000" s="2">
        <v>10</v>
      </c>
      <c r="I1000" s="2">
        <v>98000</v>
      </c>
      <c r="J1000" s="2" t="s">
        <v>1023</v>
      </c>
      <c r="K1000" t="s">
        <v>1059</v>
      </c>
      <c r="L1000" t="s">
        <v>1018</v>
      </c>
      <c r="M1000" s="2" t="s">
        <v>1038</v>
      </c>
      <c r="N1000">
        <v>4</v>
      </c>
    </row>
    <row r="1001" spans="1:14" x14ac:dyDescent="0.3">
      <c r="A1001" t="s">
        <v>579</v>
      </c>
      <c r="B1001">
        <v>54</v>
      </c>
      <c r="C1001" t="s">
        <v>1020</v>
      </c>
      <c r="D1001" s="2" t="s">
        <v>1039</v>
      </c>
      <c r="E1001" t="s">
        <v>1165</v>
      </c>
      <c r="F1001" s="1">
        <v>45292</v>
      </c>
      <c r="G1001" s="1">
        <v>45302</v>
      </c>
      <c r="H1001" s="2">
        <v>10</v>
      </c>
      <c r="I1001" s="2">
        <v>13000</v>
      </c>
      <c r="J1001" s="2" t="s">
        <v>1023</v>
      </c>
      <c r="K1001" t="s">
        <v>1059</v>
      </c>
      <c r="L1001" t="s">
        <v>1018</v>
      </c>
      <c r="M1001" s="2" t="s">
        <v>1157</v>
      </c>
      <c r="N1001">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6719-7FA6-42F1-85D8-5A78C41A2CBC}">
  <dimension ref="A1:C14"/>
  <sheetViews>
    <sheetView workbookViewId="0">
      <selection activeCell="D11" sqref="D11"/>
    </sheetView>
  </sheetViews>
  <sheetFormatPr defaultRowHeight="14.4" x14ac:dyDescent="0.3"/>
  <cols>
    <col min="1" max="1" width="31" customWidth="1"/>
  </cols>
  <sheetData>
    <row r="1" spans="1:3" x14ac:dyDescent="0.3">
      <c r="A1" t="s">
        <v>1173</v>
      </c>
      <c r="B1" t="s">
        <v>1174</v>
      </c>
      <c r="C1" t="s">
        <v>1175</v>
      </c>
    </row>
    <row r="2" spans="1:3" x14ac:dyDescent="0.3">
      <c r="A2" s="2" t="s">
        <v>1176</v>
      </c>
      <c r="B2">
        <f>COUNTA(Cleaned_Data!A2:A1001)</f>
        <v>1000</v>
      </c>
      <c r="C2" t="s">
        <v>1189</v>
      </c>
    </row>
    <row r="3" spans="1:3" x14ac:dyDescent="0.3">
      <c r="A3" t="s">
        <v>1177</v>
      </c>
      <c r="B3">
        <v>0</v>
      </c>
      <c r="C3" t="s">
        <v>1189</v>
      </c>
    </row>
    <row r="4" spans="1:3" x14ac:dyDescent="0.3">
      <c r="A4" t="s">
        <v>1178</v>
      </c>
      <c r="B4">
        <v>0</v>
      </c>
      <c r="C4" t="s">
        <v>1189</v>
      </c>
    </row>
    <row r="5" spans="1:3" x14ac:dyDescent="0.3">
      <c r="A5" t="s">
        <v>1179</v>
      </c>
      <c r="B5">
        <v>0</v>
      </c>
      <c r="C5" t="s">
        <v>1189</v>
      </c>
    </row>
    <row r="6" spans="1:3" x14ac:dyDescent="0.3">
      <c r="A6" t="s">
        <v>1180</v>
      </c>
      <c r="B6">
        <v>0</v>
      </c>
      <c r="C6" t="s">
        <v>1189</v>
      </c>
    </row>
    <row r="7" spans="1:3" x14ac:dyDescent="0.3">
      <c r="A7" t="s">
        <v>1181</v>
      </c>
      <c r="B7">
        <v>0</v>
      </c>
      <c r="C7" t="s">
        <v>1189</v>
      </c>
    </row>
    <row r="8" spans="1:3" x14ac:dyDescent="0.3">
      <c r="A8" t="s">
        <v>1182</v>
      </c>
      <c r="B8">
        <v>0</v>
      </c>
      <c r="C8" t="s">
        <v>1189</v>
      </c>
    </row>
    <row r="9" spans="1:3" x14ac:dyDescent="0.3">
      <c r="A9" t="s">
        <v>1183</v>
      </c>
      <c r="B9">
        <v>0</v>
      </c>
      <c r="C9" t="s">
        <v>1189</v>
      </c>
    </row>
    <row r="10" spans="1:3" x14ac:dyDescent="0.3">
      <c r="A10" t="s">
        <v>1184</v>
      </c>
      <c r="B10">
        <v>0</v>
      </c>
      <c r="C10" t="s">
        <v>1189</v>
      </c>
    </row>
    <row r="11" spans="1:3" x14ac:dyDescent="0.3">
      <c r="A11" t="s">
        <v>1185</v>
      </c>
      <c r="B11">
        <v>0</v>
      </c>
      <c r="C11" t="s">
        <v>1189</v>
      </c>
    </row>
    <row r="12" spans="1:3" x14ac:dyDescent="0.3">
      <c r="A12" t="s">
        <v>1186</v>
      </c>
      <c r="B12">
        <v>0</v>
      </c>
      <c r="C12" t="s">
        <v>1189</v>
      </c>
    </row>
    <row r="13" spans="1:3" x14ac:dyDescent="0.3">
      <c r="A13" t="s">
        <v>1187</v>
      </c>
      <c r="B13">
        <v>0</v>
      </c>
      <c r="C13" t="s">
        <v>1189</v>
      </c>
    </row>
    <row r="14" spans="1:3" x14ac:dyDescent="0.3">
      <c r="A14" t="s">
        <v>1188</v>
      </c>
      <c r="B14">
        <v>0</v>
      </c>
      <c r="C14" t="s">
        <v>1189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D6BE-983D-466A-AC11-114D801E89A0}">
  <dimension ref="A1:B8"/>
  <sheetViews>
    <sheetView workbookViewId="0">
      <selection activeCell="B9" sqref="B9"/>
    </sheetView>
  </sheetViews>
  <sheetFormatPr defaultRowHeight="14.4" x14ac:dyDescent="0.3"/>
  <cols>
    <col min="1" max="1" width="25.21875" customWidth="1"/>
    <col min="2" max="2" width="18.6640625" customWidth="1"/>
  </cols>
  <sheetData>
    <row r="1" spans="1:2" x14ac:dyDescent="0.3">
      <c r="A1" s="5" t="s">
        <v>1190</v>
      </c>
      <c r="B1" s="5" t="s">
        <v>1191</v>
      </c>
    </row>
    <row r="2" spans="1:2" x14ac:dyDescent="0.3">
      <c r="A2" t="s">
        <v>1192</v>
      </c>
      <c r="B2">
        <f>COUNTA(Cleaned_Data!A2:A1001)</f>
        <v>1000</v>
      </c>
    </row>
    <row r="3" spans="1:2" x14ac:dyDescent="0.3">
      <c r="A3" t="s">
        <v>1193</v>
      </c>
      <c r="B3">
        <f>AVERAGE(Cleaned_Data!B2:B1001)</f>
        <v>44.716999999999999</v>
      </c>
    </row>
    <row r="4" spans="1:2" x14ac:dyDescent="0.3">
      <c r="A4" t="s">
        <v>1194</v>
      </c>
      <c r="B4">
        <f>AVERAGE(Cleaned_Data!H2:H10001)</f>
        <v>10.749000000000001</v>
      </c>
    </row>
    <row r="5" spans="1:2" x14ac:dyDescent="0.3">
      <c r="A5" t="s">
        <v>1195</v>
      </c>
      <c r="B5">
        <f>SUM(Cleaned_Data!I2:I1001)</f>
        <v>107317793</v>
      </c>
    </row>
    <row r="6" spans="1:2" x14ac:dyDescent="0.3">
      <c r="A6" t="s">
        <v>1196</v>
      </c>
      <c r="B6">
        <f>AVERAGE(Cleaned_Data!I2:I1001)</f>
        <v>107317.79300000001</v>
      </c>
    </row>
    <row r="7" spans="1:2" x14ac:dyDescent="0.3">
      <c r="A7" t="s">
        <v>1197</v>
      </c>
      <c r="B7">
        <f>MAX(Cleaned_Data!I2:I1001)</f>
        <v>2900000</v>
      </c>
    </row>
    <row r="8" spans="1:2" x14ac:dyDescent="0.3">
      <c r="A8" t="s">
        <v>1198</v>
      </c>
      <c r="B8">
        <f>MIN(Cleaned_Data!I2:I1001)</f>
        <v>1500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DE58-058A-481F-A76C-145E56AECC1C}">
  <dimension ref="A2:K1028"/>
  <sheetViews>
    <sheetView topLeftCell="A7" zoomScale="64" workbookViewId="0">
      <selection activeCell="K36" sqref="K36"/>
    </sheetView>
  </sheetViews>
  <sheetFormatPr defaultRowHeight="14.4" x14ac:dyDescent="0.3"/>
  <cols>
    <col min="1" max="1" width="18.5546875" bestFit="1" customWidth="1"/>
    <col min="2" max="2" width="18.88671875" bestFit="1" customWidth="1"/>
    <col min="3" max="4" width="7.109375" bestFit="1" customWidth="1"/>
    <col min="5" max="5" width="12.5546875" bestFit="1" customWidth="1"/>
    <col min="6" max="6" width="18.44140625" bestFit="1" customWidth="1"/>
    <col min="7" max="9" width="7.109375" bestFit="1" customWidth="1"/>
    <col min="10" max="10" width="14.33203125" bestFit="1" customWidth="1"/>
    <col min="11" max="11" width="14.88671875" bestFit="1" customWidth="1"/>
    <col min="12" max="1001" width="7.109375" bestFit="1" customWidth="1"/>
    <col min="1002" max="1002" width="10.77734375" bestFit="1" customWidth="1"/>
  </cols>
  <sheetData>
    <row r="2" spans="1:11" x14ac:dyDescent="0.3">
      <c r="A2" t="s">
        <v>1207</v>
      </c>
      <c r="E2" t="s">
        <v>1209</v>
      </c>
      <c r="F2" t="s">
        <v>1210</v>
      </c>
      <c r="J2" t="s">
        <v>1213</v>
      </c>
      <c r="K2" t="s">
        <v>1214</v>
      </c>
    </row>
    <row r="3" spans="1:11" x14ac:dyDescent="0.3">
      <c r="A3" s="6" t="s">
        <v>1199</v>
      </c>
      <c r="B3" t="s">
        <v>1201</v>
      </c>
      <c r="E3" s="6" t="s">
        <v>1199</v>
      </c>
      <c r="F3" t="s">
        <v>1201</v>
      </c>
      <c r="J3" s="6" t="s">
        <v>1199</v>
      </c>
      <c r="K3" t="s">
        <v>1212</v>
      </c>
    </row>
    <row r="4" spans="1:11" x14ac:dyDescent="0.3">
      <c r="A4" s="7" t="s">
        <v>1015</v>
      </c>
      <c r="B4" s="17">
        <v>129</v>
      </c>
      <c r="E4" s="7" t="s">
        <v>1202</v>
      </c>
      <c r="F4">
        <v>69</v>
      </c>
      <c r="J4" s="7" t="s">
        <v>1015</v>
      </c>
      <c r="K4" s="17">
        <v>14831868</v>
      </c>
    </row>
    <row r="5" spans="1:11" x14ac:dyDescent="0.3">
      <c r="A5" s="7" t="s">
        <v>1039</v>
      </c>
      <c r="B5" s="17">
        <v>211</v>
      </c>
      <c r="E5" s="7" t="s">
        <v>1203</v>
      </c>
      <c r="F5">
        <v>366</v>
      </c>
      <c r="J5" s="7" t="s">
        <v>1039</v>
      </c>
      <c r="K5" s="17">
        <v>11885979</v>
      </c>
    </row>
    <row r="6" spans="1:11" x14ac:dyDescent="0.3">
      <c r="A6" s="7" t="s">
        <v>1041</v>
      </c>
      <c r="B6" s="17">
        <v>33</v>
      </c>
      <c r="E6" s="7" t="s">
        <v>1204</v>
      </c>
      <c r="F6">
        <v>321</v>
      </c>
      <c r="J6" s="7" t="s">
        <v>1041</v>
      </c>
      <c r="K6" s="17">
        <v>2862135</v>
      </c>
    </row>
    <row r="7" spans="1:11" x14ac:dyDescent="0.3">
      <c r="A7" s="7" t="s">
        <v>1031</v>
      </c>
      <c r="B7" s="17">
        <v>112</v>
      </c>
      <c r="E7" s="7" t="s">
        <v>1205</v>
      </c>
      <c r="F7">
        <v>244</v>
      </c>
      <c r="J7" s="7" t="s">
        <v>1031</v>
      </c>
      <c r="K7" s="17">
        <v>11291323</v>
      </c>
    </row>
    <row r="8" spans="1:11" x14ac:dyDescent="0.3">
      <c r="A8" s="7" t="s">
        <v>1048</v>
      </c>
      <c r="B8" s="17">
        <v>33</v>
      </c>
      <c r="E8" s="7" t="s">
        <v>1200</v>
      </c>
      <c r="F8">
        <v>1000</v>
      </c>
      <c r="J8" s="7" t="s">
        <v>1048</v>
      </c>
      <c r="K8" s="17">
        <v>2641923</v>
      </c>
    </row>
    <row r="9" spans="1:11" x14ac:dyDescent="0.3">
      <c r="A9" s="7" t="s">
        <v>1160</v>
      </c>
      <c r="B9" s="17">
        <v>6</v>
      </c>
      <c r="E9" s="7" t="s">
        <v>1211</v>
      </c>
      <c r="F9" s="8"/>
      <c r="J9" s="7" t="s">
        <v>1160</v>
      </c>
      <c r="K9" s="17">
        <v>714000</v>
      </c>
    </row>
    <row r="10" spans="1:11" x14ac:dyDescent="0.3">
      <c r="A10" s="7" t="s">
        <v>1124</v>
      </c>
      <c r="B10" s="17">
        <v>112</v>
      </c>
      <c r="E10" s="6" t="s">
        <v>1199</v>
      </c>
      <c r="F10" t="s">
        <v>1206</v>
      </c>
      <c r="J10" s="7" t="s">
        <v>1124</v>
      </c>
      <c r="K10" s="17">
        <v>13557045</v>
      </c>
    </row>
    <row r="11" spans="1:11" x14ac:dyDescent="0.3">
      <c r="A11" s="7" t="s">
        <v>1021</v>
      </c>
      <c r="B11" s="17">
        <v>89</v>
      </c>
      <c r="E11" s="7" t="s">
        <v>1015</v>
      </c>
      <c r="F11">
        <v>15.589147286821705</v>
      </c>
      <c r="J11" s="7" t="s">
        <v>1021</v>
      </c>
      <c r="K11" s="17">
        <v>17960279</v>
      </c>
    </row>
    <row r="12" spans="1:11" x14ac:dyDescent="0.3">
      <c r="A12" s="7" t="s">
        <v>1035</v>
      </c>
      <c r="B12" s="17">
        <v>39</v>
      </c>
      <c r="E12" s="7" t="s">
        <v>1039</v>
      </c>
      <c r="F12">
        <v>11.265402843601896</v>
      </c>
      <c r="J12" s="7" t="s">
        <v>1035</v>
      </c>
      <c r="K12" s="17">
        <v>4815800</v>
      </c>
    </row>
    <row r="13" spans="1:11" x14ac:dyDescent="0.3">
      <c r="A13" s="7" t="s">
        <v>1029</v>
      </c>
      <c r="B13" s="17">
        <v>106</v>
      </c>
      <c r="E13" s="7" t="s">
        <v>1041</v>
      </c>
      <c r="F13">
        <v>6.7575757575757578</v>
      </c>
      <c r="J13" s="7" t="s">
        <v>1029</v>
      </c>
      <c r="K13" s="17">
        <v>11724590</v>
      </c>
    </row>
    <row r="14" spans="1:11" x14ac:dyDescent="0.3">
      <c r="A14" s="7" t="s">
        <v>1025</v>
      </c>
      <c r="B14" s="17">
        <v>130</v>
      </c>
      <c r="E14" s="7" t="s">
        <v>1031</v>
      </c>
      <c r="F14">
        <v>10.044642857142858</v>
      </c>
      <c r="J14" s="7" t="s">
        <v>1025</v>
      </c>
      <c r="K14" s="17">
        <v>15032851</v>
      </c>
    </row>
    <row r="15" spans="1:11" x14ac:dyDescent="0.3">
      <c r="A15" s="7" t="s">
        <v>1200</v>
      </c>
      <c r="B15" s="17">
        <v>1000</v>
      </c>
      <c r="E15" s="7" t="s">
        <v>1048</v>
      </c>
      <c r="F15">
        <v>6.2424242424242422</v>
      </c>
      <c r="J15" s="7" t="s">
        <v>1200</v>
      </c>
      <c r="K15" s="17">
        <v>107317793</v>
      </c>
    </row>
    <row r="16" spans="1:11" x14ac:dyDescent="0.3">
      <c r="E16" s="7" t="s">
        <v>1160</v>
      </c>
      <c r="F16">
        <v>11</v>
      </c>
    </row>
    <row r="17" spans="1:11" x14ac:dyDescent="0.3">
      <c r="A17" s="7" t="s">
        <v>1208</v>
      </c>
      <c r="E17" s="7" t="s">
        <v>1124</v>
      </c>
      <c r="F17">
        <v>11.776785714285714</v>
      </c>
    </row>
    <row r="18" spans="1:11" x14ac:dyDescent="0.3">
      <c r="A18" s="6" t="s">
        <v>1199</v>
      </c>
      <c r="B18" t="s">
        <v>1201</v>
      </c>
      <c r="E18" s="7" t="s">
        <v>1021</v>
      </c>
      <c r="F18">
        <v>9.1460674157303377</v>
      </c>
      <c r="J18" s="7" t="s">
        <v>1215</v>
      </c>
      <c r="K18" t="s">
        <v>1216</v>
      </c>
    </row>
    <row r="19" spans="1:11" x14ac:dyDescent="0.3">
      <c r="A19" s="7" t="s">
        <v>1107</v>
      </c>
      <c r="B19" s="17">
        <v>1</v>
      </c>
      <c r="E19" s="7" t="s">
        <v>1035</v>
      </c>
      <c r="F19">
        <v>8.1538461538461533</v>
      </c>
      <c r="J19" s="6" t="s">
        <v>1199</v>
      </c>
      <c r="K19" t="s">
        <v>1201</v>
      </c>
    </row>
    <row r="20" spans="1:11" x14ac:dyDescent="0.3">
      <c r="A20" s="7" t="s">
        <v>1135</v>
      </c>
      <c r="B20" s="17">
        <v>26</v>
      </c>
      <c r="E20" s="7" t="s">
        <v>1029</v>
      </c>
      <c r="F20">
        <v>10.415094339622641</v>
      </c>
      <c r="J20" s="7" t="s">
        <v>1023</v>
      </c>
      <c r="K20">
        <v>258</v>
      </c>
    </row>
    <row r="21" spans="1:11" x14ac:dyDescent="0.3">
      <c r="A21" s="7" t="s">
        <v>1083</v>
      </c>
      <c r="B21" s="17">
        <v>1</v>
      </c>
      <c r="E21" s="7" t="s">
        <v>1025</v>
      </c>
      <c r="F21">
        <v>9.1230769230769226</v>
      </c>
      <c r="J21" s="7" t="s">
        <v>1017</v>
      </c>
      <c r="K21">
        <v>175</v>
      </c>
    </row>
    <row r="22" spans="1:11" x14ac:dyDescent="0.3">
      <c r="A22" s="7" t="s">
        <v>1066</v>
      </c>
      <c r="B22" s="17">
        <v>1</v>
      </c>
      <c r="E22" s="7" t="s">
        <v>1200</v>
      </c>
      <c r="F22">
        <v>10.749000000000001</v>
      </c>
      <c r="J22" s="7" t="s">
        <v>1027</v>
      </c>
      <c r="K22">
        <v>567</v>
      </c>
    </row>
    <row r="23" spans="1:11" x14ac:dyDescent="0.3">
      <c r="A23" s="7" t="s">
        <v>1127</v>
      </c>
      <c r="B23" s="17">
        <v>7</v>
      </c>
      <c r="J23" s="7" t="s">
        <v>1200</v>
      </c>
      <c r="K23">
        <v>1000</v>
      </c>
    </row>
    <row r="24" spans="1:11" x14ac:dyDescent="0.3">
      <c r="A24" s="7" t="s">
        <v>1026</v>
      </c>
      <c r="B24" s="17">
        <v>8</v>
      </c>
    </row>
    <row r="25" spans="1:11" x14ac:dyDescent="0.3">
      <c r="A25" s="7" t="s">
        <v>1115</v>
      </c>
      <c r="B25" s="17">
        <v>8</v>
      </c>
    </row>
    <row r="26" spans="1:11" x14ac:dyDescent="0.3">
      <c r="A26" s="7" t="s">
        <v>1078</v>
      </c>
      <c r="B26" s="17">
        <v>3</v>
      </c>
      <c r="J26" s="7" t="s">
        <v>1233</v>
      </c>
    </row>
    <row r="27" spans="1:11" x14ac:dyDescent="0.3">
      <c r="A27" s="7" t="s">
        <v>1096</v>
      </c>
      <c r="B27" s="17">
        <v>4</v>
      </c>
      <c r="E27" t="s">
        <v>1217</v>
      </c>
      <c r="J27" s="6" t="s">
        <v>1199</v>
      </c>
      <c r="K27" t="s">
        <v>1232</v>
      </c>
    </row>
    <row r="28" spans="1:11" x14ac:dyDescent="0.3">
      <c r="A28" s="7" t="s">
        <v>1047</v>
      </c>
      <c r="B28" s="17">
        <v>8</v>
      </c>
      <c r="E28" s="6" t="s">
        <v>1199</v>
      </c>
      <c r="F28" t="s">
        <v>1201</v>
      </c>
      <c r="J28" s="7" t="s">
        <v>14</v>
      </c>
      <c r="K28" s="17">
        <v>45</v>
      </c>
    </row>
    <row r="29" spans="1:11" x14ac:dyDescent="0.3">
      <c r="A29" s="7" t="s">
        <v>1099</v>
      </c>
      <c r="B29" s="17">
        <v>2</v>
      </c>
      <c r="E29" s="7" t="s">
        <v>1161</v>
      </c>
      <c r="F29">
        <v>110</v>
      </c>
      <c r="J29" s="7" t="s">
        <v>15</v>
      </c>
      <c r="K29" s="17">
        <v>40</v>
      </c>
    </row>
    <row r="30" spans="1:11" x14ac:dyDescent="0.3">
      <c r="A30" s="7" t="s">
        <v>1148</v>
      </c>
      <c r="B30" s="17">
        <v>3</v>
      </c>
      <c r="E30" s="7" t="s">
        <v>1147</v>
      </c>
      <c r="F30">
        <v>89</v>
      </c>
      <c r="J30" s="7" t="s">
        <v>16</v>
      </c>
      <c r="K30" s="17">
        <v>42</v>
      </c>
    </row>
    <row r="31" spans="1:11" x14ac:dyDescent="0.3">
      <c r="A31" s="7" t="s">
        <v>1036</v>
      </c>
      <c r="B31" s="17">
        <v>1</v>
      </c>
      <c r="E31" s="7" t="s">
        <v>1059</v>
      </c>
      <c r="F31">
        <v>209</v>
      </c>
      <c r="J31" s="7" t="s">
        <v>17</v>
      </c>
      <c r="K31" s="17">
        <v>30</v>
      </c>
    </row>
    <row r="32" spans="1:11" x14ac:dyDescent="0.3">
      <c r="A32" s="7" t="s">
        <v>1070</v>
      </c>
      <c r="B32" s="17">
        <v>4</v>
      </c>
      <c r="E32" s="7" t="s">
        <v>1128</v>
      </c>
      <c r="F32">
        <v>33</v>
      </c>
      <c r="J32" s="7" t="s">
        <v>18</v>
      </c>
      <c r="K32" s="17">
        <v>50</v>
      </c>
    </row>
    <row r="33" spans="1:11" x14ac:dyDescent="0.3">
      <c r="A33" s="7" t="s">
        <v>1131</v>
      </c>
      <c r="B33" s="17">
        <v>1</v>
      </c>
      <c r="E33" s="7" t="s">
        <v>1052</v>
      </c>
      <c r="F33">
        <v>129</v>
      </c>
      <c r="J33" s="7" t="s">
        <v>19</v>
      </c>
      <c r="K33" s="17">
        <v>17</v>
      </c>
    </row>
    <row r="34" spans="1:11" x14ac:dyDescent="0.3">
      <c r="A34" s="7" t="s">
        <v>1088</v>
      </c>
      <c r="B34" s="17">
        <v>14</v>
      </c>
      <c r="E34" s="7" t="s">
        <v>1044</v>
      </c>
      <c r="F34">
        <v>113</v>
      </c>
      <c r="J34" s="7" t="s">
        <v>20</v>
      </c>
      <c r="K34" s="17">
        <v>39</v>
      </c>
    </row>
    <row r="35" spans="1:11" x14ac:dyDescent="0.3">
      <c r="A35" s="7" t="s">
        <v>1097</v>
      </c>
      <c r="B35" s="17">
        <v>1</v>
      </c>
      <c r="E35" s="7" t="s">
        <v>1028</v>
      </c>
      <c r="F35">
        <v>40</v>
      </c>
      <c r="J35" s="7" t="s">
        <v>21</v>
      </c>
      <c r="K35" s="17">
        <v>51</v>
      </c>
    </row>
    <row r="36" spans="1:11" x14ac:dyDescent="0.3">
      <c r="A36" s="7" t="s">
        <v>1110</v>
      </c>
      <c r="B36" s="17">
        <v>2</v>
      </c>
      <c r="E36" s="7" t="s">
        <v>1033</v>
      </c>
      <c r="F36">
        <v>106</v>
      </c>
      <c r="J36" s="7" t="s">
        <v>22</v>
      </c>
      <c r="K36" s="17">
        <v>59</v>
      </c>
    </row>
    <row r="37" spans="1:11" x14ac:dyDescent="0.3">
      <c r="A37" s="7" t="s">
        <v>1154</v>
      </c>
      <c r="B37" s="17">
        <v>1</v>
      </c>
      <c r="E37" s="7" t="s">
        <v>1046</v>
      </c>
      <c r="F37">
        <v>126</v>
      </c>
      <c r="J37" s="7" t="s">
        <v>23</v>
      </c>
      <c r="K37" s="17">
        <v>60</v>
      </c>
    </row>
    <row r="38" spans="1:11" x14ac:dyDescent="0.3">
      <c r="A38" s="7" t="s">
        <v>1134</v>
      </c>
      <c r="B38" s="17">
        <v>1</v>
      </c>
      <c r="E38" s="7" t="s">
        <v>1106</v>
      </c>
      <c r="F38">
        <v>41</v>
      </c>
      <c r="J38" s="7" t="s">
        <v>24</v>
      </c>
      <c r="K38" s="17">
        <v>18</v>
      </c>
    </row>
    <row r="39" spans="1:11" x14ac:dyDescent="0.3">
      <c r="A39" s="7" t="s">
        <v>1118</v>
      </c>
      <c r="B39" s="17">
        <v>12</v>
      </c>
      <c r="E39" s="7" t="s">
        <v>1200</v>
      </c>
      <c r="F39">
        <v>996</v>
      </c>
      <c r="J39" s="7" t="s">
        <v>25</v>
      </c>
      <c r="K39" s="17">
        <v>25</v>
      </c>
    </row>
    <row r="40" spans="1:11" x14ac:dyDescent="0.3">
      <c r="A40" s="7" t="s">
        <v>1116</v>
      </c>
      <c r="B40" s="17">
        <v>4</v>
      </c>
      <c r="J40" s="7" t="s">
        <v>26</v>
      </c>
      <c r="K40" s="17">
        <v>28</v>
      </c>
    </row>
    <row r="41" spans="1:11" x14ac:dyDescent="0.3">
      <c r="A41" s="7" t="s">
        <v>1145</v>
      </c>
      <c r="B41" s="17">
        <v>10</v>
      </c>
      <c r="J41" s="7" t="s">
        <v>27</v>
      </c>
      <c r="K41" s="17">
        <v>32</v>
      </c>
    </row>
    <row r="42" spans="1:11" x14ac:dyDescent="0.3">
      <c r="A42" s="7" t="s">
        <v>1089</v>
      </c>
      <c r="B42" s="17">
        <v>1</v>
      </c>
      <c r="J42" s="7" t="s">
        <v>28</v>
      </c>
      <c r="K42" s="17">
        <v>33</v>
      </c>
    </row>
    <row r="43" spans="1:11" x14ac:dyDescent="0.3">
      <c r="A43" s="7" t="s">
        <v>1093</v>
      </c>
      <c r="B43" s="17">
        <v>1</v>
      </c>
      <c r="J43" s="7" t="s">
        <v>29</v>
      </c>
      <c r="K43" s="17">
        <v>61</v>
      </c>
    </row>
    <row r="44" spans="1:11" x14ac:dyDescent="0.3">
      <c r="A44" s="7" t="s">
        <v>1091</v>
      </c>
      <c r="B44" s="17">
        <v>8</v>
      </c>
      <c r="J44" s="7" t="s">
        <v>30</v>
      </c>
      <c r="K44" s="17">
        <v>54</v>
      </c>
    </row>
    <row r="45" spans="1:11" x14ac:dyDescent="0.3">
      <c r="A45" s="7" t="s">
        <v>1065</v>
      </c>
      <c r="B45" s="17">
        <v>2</v>
      </c>
      <c r="J45" s="7" t="s">
        <v>31</v>
      </c>
      <c r="K45" s="17">
        <v>49</v>
      </c>
    </row>
    <row r="46" spans="1:11" x14ac:dyDescent="0.3">
      <c r="A46" s="7" t="s">
        <v>1149</v>
      </c>
      <c r="B46" s="17">
        <v>6</v>
      </c>
      <c r="J46" s="7" t="s">
        <v>32</v>
      </c>
      <c r="K46" s="17">
        <v>47</v>
      </c>
    </row>
    <row r="47" spans="1:11" x14ac:dyDescent="0.3">
      <c r="A47" s="7" t="s">
        <v>1073</v>
      </c>
      <c r="B47" s="17">
        <v>1</v>
      </c>
      <c r="J47" s="7" t="s">
        <v>33</v>
      </c>
      <c r="K47" s="17">
        <v>48</v>
      </c>
    </row>
    <row r="48" spans="1:11" x14ac:dyDescent="0.3">
      <c r="A48" s="7" t="s">
        <v>1062</v>
      </c>
      <c r="B48" s="17">
        <v>11</v>
      </c>
      <c r="J48" s="7" t="s">
        <v>34</v>
      </c>
      <c r="K48" s="17">
        <v>50</v>
      </c>
    </row>
    <row r="49" spans="1:11" x14ac:dyDescent="0.3">
      <c r="A49" s="7" t="s">
        <v>1054</v>
      </c>
      <c r="B49" s="17">
        <v>28</v>
      </c>
      <c r="J49" s="7" t="s">
        <v>35</v>
      </c>
      <c r="K49" s="17">
        <v>16</v>
      </c>
    </row>
    <row r="50" spans="1:11" x14ac:dyDescent="0.3">
      <c r="A50" s="7" t="s">
        <v>1032</v>
      </c>
      <c r="B50" s="17">
        <v>16</v>
      </c>
      <c r="J50" s="7" t="s">
        <v>36</v>
      </c>
      <c r="K50" s="17">
        <v>19</v>
      </c>
    </row>
    <row r="51" spans="1:11" x14ac:dyDescent="0.3">
      <c r="A51" s="7" t="s">
        <v>1114</v>
      </c>
      <c r="B51" s="17">
        <v>2</v>
      </c>
      <c r="J51" s="7" t="s">
        <v>37</v>
      </c>
      <c r="K51" s="17">
        <v>22</v>
      </c>
    </row>
    <row r="52" spans="1:11" x14ac:dyDescent="0.3">
      <c r="A52" s="7" t="s">
        <v>1129</v>
      </c>
      <c r="B52" s="17">
        <v>2</v>
      </c>
      <c r="J52" s="7" t="s">
        <v>38</v>
      </c>
      <c r="K52" s="17">
        <v>24</v>
      </c>
    </row>
    <row r="53" spans="1:11" x14ac:dyDescent="0.3">
      <c r="A53" s="7" t="s">
        <v>1050</v>
      </c>
      <c r="B53" s="17">
        <v>4</v>
      </c>
      <c r="J53" s="7" t="s">
        <v>39</v>
      </c>
      <c r="K53" s="17">
        <v>30</v>
      </c>
    </row>
    <row r="54" spans="1:11" x14ac:dyDescent="0.3">
      <c r="A54" s="7" t="s">
        <v>1030</v>
      </c>
      <c r="B54" s="17">
        <v>32</v>
      </c>
      <c r="J54" s="7" t="s">
        <v>40</v>
      </c>
      <c r="K54" s="17">
        <v>44</v>
      </c>
    </row>
    <row r="55" spans="1:11" x14ac:dyDescent="0.3">
      <c r="A55" s="7" t="s">
        <v>1092</v>
      </c>
      <c r="B55" s="17">
        <v>1</v>
      </c>
      <c r="J55" s="7" t="s">
        <v>41</v>
      </c>
      <c r="K55" s="17">
        <v>65</v>
      </c>
    </row>
    <row r="56" spans="1:11" x14ac:dyDescent="0.3">
      <c r="A56" s="7" t="s">
        <v>1042</v>
      </c>
      <c r="B56" s="17">
        <v>23</v>
      </c>
      <c r="J56" s="7" t="s">
        <v>42</v>
      </c>
      <c r="K56" s="17">
        <v>33</v>
      </c>
    </row>
    <row r="57" spans="1:11" x14ac:dyDescent="0.3">
      <c r="A57" s="7" t="s">
        <v>1162</v>
      </c>
      <c r="B57" s="17">
        <v>2</v>
      </c>
      <c r="J57" s="7" t="s">
        <v>43</v>
      </c>
      <c r="K57" s="17">
        <v>32</v>
      </c>
    </row>
    <row r="58" spans="1:11" x14ac:dyDescent="0.3">
      <c r="A58" s="7" t="s">
        <v>1077</v>
      </c>
      <c r="B58" s="17">
        <v>2</v>
      </c>
      <c r="J58" s="7" t="s">
        <v>44</v>
      </c>
      <c r="K58" s="17">
        <v>36</v>
      </c>
    </row>
    <row r="59" spans="1:11" x14ac:dyDescent="0.3">
      <c r="A59" s="7" t="s">
        <v>1068</v>
      </c>
      <c r="B59" s="17">
        <v>1</v>
      </c>
      <c r="J59" s="7" t="s">
        <v>45</v>
      </c>
      <c r="K59" s="17">
        <v>39</v>
      </c>
    </row>
    <row r="60" spans="1:11" x14ac:dyDescent="0.3">
      <c r="A60" s="7" t="s">
        <v>1051</v>
      </c>
      <c r="B60" s="17">
        <v>2</v>
      </c>
      <c r="J60" s="7" t="s">
        <v>46</v>
      </c>
      <c r="K60" s="17">
        <v>40</v>
      </c>
    </row>
    <row r="61" spans="1:11" x14ac:dyDescent="0.3">
      <c r="A61" s="7" t="s">
        <v>1100</v>
      </c>
      <c r="B61" s="17">
        <v>1</v>
      </c>
      <c r="J61" s="7" t="s">
        <v>47</v>
      </c>
      <c r="K61" s="17">
        <v>50</v>
      </c>
    </row>
    <row r="62" spans="1:11" x14ac:dyDescent="0.3">
      <c r="A62" s="7" t="s">
        <v>1075</v>
      </c>
      <c r="B62" s="17">
        <v>2</v>
      </c>
      <c r="J62" s="7" t="s">
        <v>48</v>
      </c>
      <c r="K62" s="17">
        <v>51</v>
      </c>
    </row>
    <row r="63" spans="1:11" x14ac:dyDescent="0.3">
      <c r="A63" s="7" t="s">
        <v>1069</v>
      </c>
      <c r="B63" s="17">
        <v>9</v>
      </c>
      <c r="J63" s="7" t="s">
        <v>49</v>
      </c>
      <c r="K63" s="17">
        <v>34</v>
      </c>
    </row>
    <row r="64" spans="1:11" x14ac:dyDescent="0.3">
      <c r="A64" s="7" t="s">
        <v>1016</v>
      </c>
      <c r="B64" s="17">
        <v>67</v>
      </c>
      <c r="J64" s="7" t="s">
        <v>50</v>
      </c>
      <c r="K64" s="17">
        <v>24</v>
      </c>
    </row>
    <row r="65" spans="1:11" x14ac:dyDescent="0.3">
      <c r="A65" s="7" t="s">
        <v>1167</v>
      </c>
      <c r="B65" s="17">
        <v>20</v>
      </c>
      <c r="J65" s="7" t="s">
        <v>51</v>
      </c>
      <c r="K65" s="17">
        <v>33</v>
      </c>
    </row>
    <row r="66" spans="1:11" x14ac:dyDescent="0.3">
      <c r="A66" s="7" t="s">
        <v>1125</v>
      </c>
      <c r="B66" s="17">
        <v>29</v>
      </c>
      <c r="J66" s="7" t="s">
        <v>52</v>
      </c>
      <c r="K66" s="17">
        <v>25</v>
      </c>
    </row>
    <row r="67" spans="1:11" x14ac:dyDescent="0.3">
      <c r="A67" s="7" t="s">
        <v>1168</v>
      </c>
      <c r="B67" s="17">
        <v>57</v>
      </c>
      <c r="J67" s="7" t="s">
        <v>53</v>
      </c>
      <c r="K67" s="17">
        <v>66</v>
      </c>
    </row>
    <row r="68" spans="1:11" x14ac:dyDescent="0.3">
      <c r="A68" s="7" t="s">
        <v>1133</v>
      </c>
      <c r="B68" s="17">
        <v>1</v>
      </c>
      <c r="J68" s="7" t="s">
        <v>54</v>
      </c>
      <c r="K68" s="17">
        <v>59</v>
      </c>
    </row>
    <row r="69" spans="1:11" x14ac:dyDescent="0.3">
      <c r="A69" s="7" t="s">
        <v>1126</v>
      </c>
      <c r="B69" s="17">
        <v>1</v>
      </c>
      <c r="J69" s="7" t="s">
        <v>55</v>
      </c>
      <c r="K69" s="17">
        <v>49</v>
      </c>
    </row>
    <row r="70" spans="1:11" x14ac:dyDescent="0.3">
      <c r="A70" s="7" t="s">
        <v>1057</v>
      </c>
      <c r="B70" s="17">
        <v>44</v>
      </c>
      <c r="J70" s="7" t="s">
        <v>56</v>
      </c>
      <c r="K70" s="17">
        <v>44</v>
      </c>
    </row>
    <row r="71" spans="1:11" x14ac:dyDescent="0.3">
      <c r="A71" s="7" t="s">
        <v>1138</v>
      </c>
      <c r="B71" s="17">
        <v>1</v>
      </c>
      <c r="J71" s="7" t="s">
        <v>57</v>
      </c>
      <c r="K71" s="17">
        <v>38</v>
      </c>
    </row>
    <row r="72" spans="1:11" x14ac:dyDescent="0.3">
      <c r="A72" s="7" t="s">
        <v>1140</v>
      </c>
      <c r="B72" s="17">
        <v>4</v>
      </c>
      <c r="J72" s="7" t="s">
        <v>58</v>
      </c>
      <c r="K72" s="17">
        <v>39</v>
      </c>
    </row>
    <row r="73" spans="1:11" x14ac:dyDescent="0.3">
      <c r="A73" s="7" t="s">
        <v>1056</v>
      </c>
      <c r="B73" s="17">
        <v>2</v>
      </c>
      <c r="J73" s="7" t="s">
        <v>59</v>
      </c>
      <c r="K73" s="17">
        <v>12</v>
      </c>
    </row>
    <row r="74" spans="1:11" x14ac:dyDescent="0.3">
      <c r="A74" s="7" t="s">
        <v>1144</v>
      </c>
      <c r="B74" s="17">
        <v>4</v>
      </c>
      <c r="J74" s="7" t="s">
        <v>60</v>
      </c>
      <c r="K74" s="17">
        <v>24</v>
      </c>
    </row>
    <row r="75" spans="1:11" x14ac:dyDescent="0.3">
      <c r="A75" s="7" t="s">
        <v>1080</v>
      </c>
      <c r="B75" s="17">
        <v>11</v>
      </c>
      <c r="J75" s="7" t="s">
        <v>61</v>
      </c>
      <c r="K75" s="17">
        <v>11</v>
      </c>
    </row>
    <row r="76" spans="1:11" x14ac:dyDescent="0.3">
      <c r="A76" s="7" t="s">
        <v>1060</v>
      </c>
      <c r="B76" s="17">
        <v>5</v>
      </c>
      <c r="J76" s="7" t="s">
        <v>62</v>
      </c>
      <c r="K76" s="17">
        <v>4</v>
      </c>
    </row>
    <row r="77" spans="1:11" x14ac:dyDescent="0.3">
      <c r="A77" s="7" t="s">
        <v>1085</v>
      </c>
      <c r="B77" s="17">
        <v>3</v>
      </c>
      <c r="J77" s="7" t="s">
        <v>63</v>
      </c>
      <c r="K77" s="17">
        <v>21</v>
      </c>
    </row>
    <row r="78" spans="1:11" x14ac:dyDescent="0.3">
      <c r="A78" s="7" t="s">
        <v>1112</v>
      </c>
      <c r="B78" s="17">
        <v>1</v>
      </c>
      <c r="J78" s="7" t="s">
        <v>64</v>
      </c>
      <c r="K78" s="17">
        <v>13</v>
      </c>
    </row>
    <row r="79" spans="1:11" x14ac:dyDescent="0.3">
      <c r="A79" s="7" t="s">
        <v>1087</v>
      </c>
      <c r="B79" s="17">
        <v>1</v>
      </c>
      <c r="J79" s="7" t="s">
        <v>65</v>
      </c>
      <c r="K79" s="17">
        <v>24</v>
      </c>
    </row>
    <row r="80" spans="1:11" x14ac:dyDescent="0.3">
      <c r="A80" s="7" t="s">
        <v>1076</v>
      </c>
      <c r="B80" s="17">
        <v>1</v>
      </c>
      <c r="J80" s="7" t="s">
        <v>66</v>
      </c>
      <c r="K80" s="17">
        <v>23</v>
      </c>
    </row>
    <row r="81" spans="1:11" x14ac:dyDescent="0.3">
      <c r="A81" s="7" t="s">
        <v>1119</v>
      </c>
      <c r="B81" s="17">
        <v>1</v>
      </c>
      <c r="J81" s="7" t="s">
        <v>67</v>
      </c>
      <c r="K81" s="17">
        <v>18</v>
      </c>
    </row>
    <row r="82" spans="1:11" x14ac:dyDescent="0.3">
      <c r="A82" s="7" t="s">
        <v>1049</v>
      </c>
      <c r="B82" s="17">
        <v>2</v>
      </c>
      <c r="J82" s="7" t="s">
        <v>68</v>
      </c>
      <c r="K82" s="17">
        <v>19</v>
      </c>
    </row>
    <row r="83" spans="1:11" x14ac:dyDescent="0.3">
      <c r="A83" s="7" t="s">
        <v>1101</v>
      </c>
      <c r="B83" s="17">
        <v>1</v>
      </c>
      <c r="J83" s="7" t="s">
        <v>69</v>
      </c>
      <c r="K83" s="17">
        <v>24</v>
      </c>
    </row>
    <row r="84" spans="1:11" x14ac:dyDescent="0.3">
      <c r="A84" s="7" t="s">
        <v>1098</v>
      </c>
      <c r="B84" s="17">
        <v>1</v>
      </c>
      <c r="J84" s="7" t="s">
        <v>70</v>
      </c>
      <c r="K84" s="17">
        <v>25</v>
      </c>
    </row>
    <row r="85" spans="1:11" x14ac:dyDescent="0.3">
      <c r="A85" s="7" t="s">
        <v>1072</v>
      </c>
      <c r="B85" s="17">
        <v>2</v>
      </c>
      <c r="J85" s="7" t="s">
        <v>71</v>
      </c>
      <c r="K85" s="17">
        <v>11</v>
      </c>
    </row>
    <row r="86" spans="1:11" x14ac:dyDescent="0.3">
      <c r="A86" s="7" t="s">
        <v>1055</v>
      </c>
      <c r="B86" s="17">
        <v>74</v>
      </c>
      <c r="J86" s="7" t="s">
        <v>72</v>
      </c>
      <c r="K86" s="17">
        <v>22</v>
      </c>
    </row>
    <row r="87" spans="1:11" x14ac:dyDescent="0.3">
      <c r="A87" s="7" t="s">
        <v>1084</v>
      </c>
      <c r="B87" s="17">
        <v>2</v>
      </c>
      <c r="J87" s="7" t="s">
        <v>73</v>
      </c>
      <c r="K87" s="17">
        <v>62</v>
      </c>
    </row>
    <row r="88" spans="1:11" x14ac:dyDescent="0.3">
      <c r="A88" s="7" t="s">
        <v>1102</v>
      </c>
      <c r="B88" s="17">
        <v>27</v>
      </c>
      <c r="J88" s="7" t="s">
        <v>74</v>
      </c>
      <c r="K88" s="17">
        <v>64</v>
      </c>
    </row>
    <row r="89" spans="1:11" x14ac:dyDescent="0.3">
      <c r="A89" s="7" t="s">
        <v>1109</v>
      </c>
      <c r="B89" s="17">
        <v>1</v>
      </c>
      <c r="J89" s="7" t="s">
        <v>75</v>
      </c>
      <c r="K89" s="17">
        <v>75</v>
      </c>
    </row>
    <row r="90" spans="1:11" x14ac:dyDescent="0.3">
      <c r="A90" s="7" t="s">
        <v>1164</v>
      </c>
      <c r="B90" s="17">
        <v>47</v>
      </c>
      <c r="J90" s="7" t="s">
        <v>76</v>
      </c>
      <c r="K90" s="17">
        <v>72</v>
      </c>
    </row>
    <row r="91" spans="1:11" x14ac:dyDescent="0.3">
      <c r="A91" s="7" t="s">
        <v>1094</v>
      </c>
      <c r="B91" s="17">
        <v>1</v>
      </c>
      <c r="J91" s="7" t="s">
        <v>77</v>
      </c>
      <c r="K91" s="17">
        <v>77</v>
      </c>
    </row>
    <row r="92" spans="1:11" x14ac:dyDescent="0.3">
      <c r="A92" s="7" t="s">
        <v>1121</v>
      </c>
      <c r="B92" s="17">
        <v>1</v>
      </c>
      <c r="J92" s="7" t="s">
        <v>78</v>
      </c>
      <c r="K92" s="17">
        <v>33</v>
      </c>
    </row>
    <row r="93" spans="1:11" x14ac:dyDescent="0.3">
      <c r="A93" s="7" t="s">
        <v>1079</v>
      </c>
      <c r="B93" s="17">
        <v>1</v>
      </c>
      <c r="J93" s="7" t="s">
        <v>79</v>
      </c>
      <c r="K93" s="17">
        <v>24</v>
      </c>
    </row>
    <row r="94" spans="1:11" x14ac:dyDescent="0.3">
      <c r="A94" s="7" t="s">
        <v>1064</v>
      </c>
      <c r="B94" s="17">
        <v>1</v>
      </c>
      <c r="J94" s="7" t="s">
        <v>80</v>
      </c>
      <c r="K94" s="17">
        <v>30</v>
      </c>
    </row>
    <row r="95" spans="1:11" x14ac:dyDescent="0.3">
      <c r="A95" s="7" t="s">
        <v>1113</v>
      </c>
      <c r="B95" s="17">
        <v>1</v>
      </c>
      <c r="J95" s="7" t="s">
        <v>81</v>
      </c>
      <c r="K95" s="17">
        <v>27</v>
      </c>
    </row>
    <row r="96" spans="1:11" x14ac:dyDescent="0.3">
      <c r="A96" s="7" t="s">
        <v>1071</v>
      </c>
      <c r="B96" s="17">
        <v>1</v>
      </c>
      <c r="J96" s="7" t="s">
        <v>82</v>
      </c>
      <c r="K96" s="17">
        <v>23</v>
      </c>
    </row>
    <row r="97" spans="1:11" x14ac:dyDescent="0.3">
      <c r="A97" s="7" t="s">
        <v>1130</v>
      </c>
      <c r="B97" s="17">
        <v>2</v>
      </c>
      <c r="J97" s="7" t="s">
        <v>83</v>
      </c>
      <c r="K97" s="17">
        <v>19</v>
      </c>
    </row>
    <row r="98" spans="1:11" x14ac:dyDescent="0.3">
      <c r="A98" s="7" t="s">
        <v>1139</v>
      </c>
      <c r="B98" s="17">
        <v>8</v>
      </c>
      <c r="J98" s="7" t="s">
        <v>84</v>
      </c>
      <c r="K98" s="17">
        <v>21</v>
      </c>
    </row>
    <row r="99" spans="1:11" x14ac:dyDescent="0.3">
      <c r="A99" s="7" t="s">
        <v>1141</v>
      </c>
      <c r="B99" s="17">
        <v>1</v>
      </c>
      <c r="J99" s="7" t="s">
        <v>85</v>
      </c>
      <c r="K99" s="17">
        <v>24</v>
      </c>
    </row>
    <row r="100" spans="1:11" x14ac:dyDescent="0.3">
      <c r="A100" s="7" t="s">
        <v>1151</v>
      </c>
      <c r="B100" s="17">
        <v>2</v>
      </c>
      <c r="J100" s="7" t="s">
        <v>86</v>
      </c>
      <c r="K100" s="17">
        <v>27</v>
      </c>
    </row>
    <row r="101" spans="1:11" x14ac:dyDescent="0.3">
      <c r="A101" s="7" t="s">
        <v>1132</v>
      </c>
      <c r="B101" s="17">
        <v>1</v>
      </c>
      <c r="J101" s="7" t="s">
        <v>87</v>
      </c>
      <c r="K101" s="17">
        <v>28</v>
      </c>
    </row>
    <row r="102" spans="1:11" x14ac:dyDescent="0.3">
      <c r="A102" s="7" t="s">
        <v>1142</v>
      </c>
      <c r="B102" s="17">
        <v>1</v>
      </c>
      <c r="J102" s="7" t="s">
        <v>88</v>
      </c>
      <c r="K102" s="17">
        <v>80</v>
      </c>
    </row>
    <row r="103" spans="1:11" x14ac:dyDescent="0.3">
      <c r="A103" s="7" t="s">
        <v>1143</v>
      </c>
      <c r="B103" s="17">
        <v>1</v>
      </c>
      <c r="J103" s="7" t="s">
        <v>89</v>
      </c>
      <c r="K103" s="17">
        <v>20</v>
      </c>
    </row>
    <row r="104" spans="1:11" x14ac:dyDescent="0.3">
      <c r="A104" s="7" t="s">
        <v>1123</v>
      </c>
      <c r="B104" s="17">
        <v>7</v>
      </c>
      <c r="J104" s="7" t="s">
        <v>90</v>
      </c>
      <c r="K104" s="17">
        <v>33</v>
      </c>
    </row>
    <row r="105" spans="1:11" x14ac:dyDescent="0.3">
      <c r="A105" s="7" t="s">
        <v>1150</v>
      </c>
      <c r="B105" s="17">
        <v>2</v>
      </c>
      <c r="J105" s="7" t="s">
        <v>91</v>
      </c>
      <c r="K105" s="17">
        <v>24</v>
      </c>
    </row>
    <row r="106" spans="1:11" x14ac:dyDescent="0.3">
      <c r="A106" s="7" t="s">
        <v>1137</v>
      </c>
      <c r="B106" s="17">
        <v>60</v>
      </c>
      <c r="J106" s="7" t="s">
        <v>92</v>
      </c>
      <c r="K106" s="17">
        <v>77</v>
      </c>
    </row>
    <row r="107" spans="1:11" x14ac:dyDescent="0.3">
      <c r="A107" s="7" t="s">
        <v>1165</v>
      </c>
      <c r="B107" s="17">
        <v>67</v>
      </c>
      <c r="J107" s="7" t="s">
        <v>93</v>
      </c>
      <c r="K107" s="17">
        <v>21</v>
      </c>
    </row>
    <row r="108" spans="1:11" x14ac:dyDescent="0.3">
      <c r="A108" s="7" t="s">
        <v>1082</v>
      </c>
      <c r="B108" s="17">
        <v>7</v>
      </c>
      <c r="J108" s="7" t="s">
        <v>94</v>
      </c>
      <c r="K108" s="17">
        <v>24</v>
      </c>
    </row>
    <row r="109" spans="1:11" x14ac:dyDescent="0.3">
      <c r="A109" s="7" t="s">
        <v>1163</v>
      </c>
      <c r="B109" s="17">
        <v>1</v>
      </c>
      <c r="J109" s="7" t="s">
        <v>95</v>
      </c>
      <c r="K109" s="17">
        <v>23</v>
      </c>
    </row>
    <row r="110" spans="1:11" x14ac:dyDescent="0.3">
      <c r="A110" s="7" t="s">
        <v>1067</v>
      </c>
      <c r="B110" s="17">
        <v>1</v>
      </c>
      <c r="J110" s="7" t="s">
        <v>96</v>
      </c>
      <c r="K110" s="17">
        <v>48</v>
      </c>
    </row>
    <row r="111" spans="1:11" x14ac:dyDescent="0.3">
      <c r="A111" s="7" t="s">
        <v>1152</v>
      </c>
      <c r="B111" s="17">
        <v>1</v>
      </c>
      <c r="J111" s="7" t="s">
        <v>97</v>
      </c>
      <c r="K111" s="17">
        <v>9</v>
      </c>
    </row>
    <row r="112" spans="1:11" x14ac:dyDescent="0.3">
      <c r="A112" s="7" t="s">
        <v>1086</v>
      </c>
      <c r="B112" s="17">
        <v>1</v>
      </c>
      <c r="J112" s="7" t="s">
        <v>98</v>
      </c>
      <c r="K112" s="17">
        <v>24</v>
      </c>
    </row>
    <row r="113" spans="1:11" x14ac:dyDescent="0.3">
      <c r="A113" s="7" t="s">
        <v>1108</v>
      </c>
      <c r="B113" s="17">
        <v>3</v>
      </c>
      <c r="J113" s="7" t="s">
        <v>99</v>
      </c>
      <c r="K113" s="17">
        <v>10</v>
      </c>
    </row>
    <row r="114" spans="1:11" x14ac:dyDescent="0.3">
      <c r="A114" s="7" t="s">
        <v>1022</v>
      </c>
      <c r="B114" s="17">
        <v>18</v>
      </c>
      <c r="J114" s="7" t="s">
        <v>100</v>
      </c>
      <c r="K114" s="17">
        <v>14</v>
      </c>
    </row>
    <row r="115" spans="1:11" x14ac:dyDescent="0.3">
      <c r="A115" s="7" t="s">
        <v>1045</v>
      </c>
      <c r="B115" s="17">
        <v>2</v>
      </c>
      <c r="J115" s="7" t="s">
        <v>101</v>
      </c>
      <c r="K115" s="17">
        <v>74</v>
      </c>
    </row>
    <row r="116" spans="1:11" x14ac:dyDescent="0.3">
      <c r="A116" s="7" t="s">
        <v>1136</v>
      </c>
      <c r="B116" s="17">
        <v>3</v>
      </c>
      <c r="J116" s="7" t="s">
        <v>102</v>
      </c>
      <c r="K116" s="17">
        <v>23</v>
      </c>
    </row>
    <row r="117" spans="1:11" x14ac:dyDescent="0.3">
      <c r="A117" s="7" t="s">
        <v>1117</v>
      </c>
      <c r="B117" s="17">
        <v>3</v>
      </c>
      <c r="J117" s="7" t="s">
        <v>103</v>
      </c>
      <c r="K117" s="17">
        <v>49</v>
      </c>
    </row>
    <row r="118" spans="1:11" x14ac:dyDescent="0.3">
      <c r="A118" s="7" t="s">
        <v>1111</v>
      </c>
      <c r="B118" s="17">
        <v>2</v>
      </c>
      <c r="J118" s="7" t="s">
        <v>104</v>
      </c>
      <c r="K118" s="17">
        <v>5</v>
      </c>
    </row>
    <row r="119" spans="1:11" x14ac:dyDescent="0.3">
      <c r="A119" s="7" t="s">
        <v>1105</v>
      </c>
      <c r="B119" s="17">
        <v>1</v>
      </c>
      <c r="J119" s="7" t="s">
        <v>105</v>
      </c>
      <c r="K119" s="17">
        <v>24</v>
      </c>
    </row>
    <row r="120" spans="1:11" x14ac:dyDescent="0.3">
      <c r="A120" s="7" t="s">
        <v>1061</v>
      </c>
      <c r="B120" s="17">
        <v>1</v>
      </c>
      <c r="J120" s="7" t="s">
        <v>106</v>
      </c>
      <c r="K120" s="17">
        <v>13</v>
      </c>
    </row>
    <row r="121" spans="1:11" x14ac:dyDescent="0.3">
      <c r="A121" s="7" t="s">
        <v>1074</v>
      </c>
      <c r="B121" s="17">
        <v>7</v>
      </c>
      <c r="J121" s="7" t="s">
        <v>107</v>
      </c>
      <c r="K121" s="17">
        <v>15</v>
      </c>
    </row>
    <row r="122" spans="1:11" x14ac:dyDescent="0.3">
      <c r="A122" s="7" t="s">
        <v>1122</v>
      </c>
      <c r="B122" s="17">
        <v>1</v>
      </c>
      <c r="J122" s="7" t="s">
        <v>108</v>
      </c>
      <c r="K122" s="17">
        <v>24</v>
      </c>
    </row>
    <row r="123" spans="1:11" x14ac:dyDescent="0.3">
      <c r="A123" s="7" t="s">
        <v>1053</v>
      </c>
      <c r="B123" s="17">
        <v>23</v>
      </c>
      <c r="J123" s="7" t="s">
        <v>109</v>
      </c>
      <c r="K123" s="17">
        <v>33</v>
      </c>
    </row>
    <row r="124" spans="1:11" x14ac:dyDescent="0.3">
      <c r="A124" s="7" t="s">
        <v>1104</v>
      </c>
      <c r="B124" s="17">
        <v>2</v>
      </c>
      <c r="J124" s="7" t="s">
        <v>110</v>
      </c>
      <c r="K124" s="17">
        <v>3</v>
      </c>
    </row>
    <row r="125" spans="1:11" x14ac:dyDescent="0.3">
      <c r="A125" s="7" t="s">
        <v>1090</v>
      </c>
      <c r="B125" s="17">
        <v>1</v>
      </c>
      <c r="J125" s="7" t="s">
        <v>111</v>
      </c>
      <c r="K125" s="17">
        <v>24</v>
      </c>
    </row>
    <row r="126" spans="1:11" x14ac:dyDescent="0.3">
      <c r="A126" s="7" t="s">
        <v>1058</v>
      </c>
      <c r="B126" s="17">
        <v>6</v>
      </c>
      <c r="J126" s="7" t="s">
        <v>112</v>
      </c>
      <c r="K126" s="17">
        <v>21</v>
      </c>
    </row>
    <row r="127" spans="1:11" x14ac:dyDescent="0.3">
      <c r="A127" s="7" t="s">
        <v>1120</v>
      </c>
      <c r="B127" s="17">
        <v>1</v>
      </c>
      <c r="J127" s="7" t="s">
        <v>113</v>
      </c>
      <c r="K127" s="17">
        <v>55</v>
      </c>
    </row>
    <row r="128" spans="1:11" x14ac:dyDescent="0.3">
      <c r="A128" s="7" t="s">
        <v>1081</v>
      </c>
      <c r="B128" s="17">
        <v>3</v>
      </c>
      <c r="J128" s="7" t="s">
        <v>114</v>
      </c>
      <c r="K128" s="17">
        <v>29</v>
      </c>
    </row>
    <row r="129" spans="1:11" x14ac:dyDescent="0.3">
      <c r="A129" s="7" t="s">
        <v>1063</v>
      </c>
      <c r="B129" s="17">
        <v>21</v>
      </c>
      <c r="J129" s="7" t="s">
        <v>115</v>
      </c>
      <c r="K129" s="17">
        <v>24</v>
      </c>
    </row>
    <row r="130" spans="1:11" x14ac:dyDescent="0.3">
      <c r="A130" s="7" t="s">
        <v>1095</v>
      </c>
      <c r="B130" s="17">
        <v>2</v>
      </c>
      <c r="J130" s="7" t="s">
        <v>116</v>
      </c>
      <c r="K130" s="17">
        <v>34</v>
      </c>
    </row>
    <row r="131" spans="1:11" x14ac:dyDescent="0.3">
      <c r="A131" s="7" t="s">
        <v>1166</v>
      </c>
      <c r="B131" s="17">
        <v>14</v>
      </c>
      <c r="J131" s="7" t="s">
        <v>117</v>
      </c>
      <c r="K131" s="17">
        <v>24</v>
      </c>
    </row>
    <row r="132" spans="1:11" x14ac:dyDescent="0.3">
      <c r="A132" s="7" t="s">
        <v>1034</v>
      </c>
      <c r="B132" s="17">
        <v>27</v>
      </c>
      <c r="J132" s="7" t="s">
        <v>118</v>
      </c>
      <c r="K132" s="17">
        <v>7</v>
      </c>
    </row>
    <row r="133" spans="1:11" x14ac:dyDescent="0.3">
      <c r="A133" s="7" t="s">
        <v>1200</v>
      </c>
      <c r="B133" s="17">
        <v>1000</v>
      </c>
      <c r="J133" s="7" t="s">
        <v>119</v>
      </c>
      <c r="K133" s="17">
        <v>10</v>
      </c>
    </row>
    <row r="134" spans="1:11" x14ac:dyDescent="0.3">
      <c r="J134" s="7" t="s">
        <v>120</v>
      </c>
      <c r="K134" s="17">
        <v>44</v>
      </c>
    </row>
    <row r="135" spans="1:11" x14ac:dyDescent="0.3">
      <c r="J135" s="7" t="s">
        <v>121</v>
      </c>
      <c r="K135" s="17">
        <v>33</v>
      </c>
    </row>
    <row r="136" spans="1:11" x14ac:dyDescent="0.3">
      <c r="J136" s="7" t="s">
        <v>122</v>
      </c>
      <c r="K136" s="17">
        <v>21</v>
      </c>
    </row>
    <row r="137" spans="1:11" x14ac:dyDescent="0.3">
      <c r="J137" s="7" t="s">
        <v>123</v>
      </c>
      <c r="K137" s="17">
        <v>24</v>
      </c>
    </row>
    <row r="138" spans="1:11" x14ac:dyDescent="0.3">
      <c r="J138" s="7" t="s">
        <v>124</v>
      </c>
      <c r="K138" s="17">
        <v>33</v>
      </c>
    </row>
    <row r="139" spans="1:11" x14ac:dyDescent="0.3">
      <c r="J139" s="7" t="s">
        <v>125</v>
      </c>
      <c r="K139" s="17">
        <v>61</v>
      </c>
    </row>
    <row r="140" spans="1:11" x14ac:dyDescent="0.3">
      <c r="J140" s="7" t="s">
        <v>126</v>
      </c>
      <c r="K140" s="17">
        <v>65</v>
      </c>
    </row>
    <row r="141" spans="1:11" x14ac:dyDescent="0.3">
      <c r="J141" s="7" t="s">
        <v>127</v>
      </c>
      <c r="K141" s="17">
        <v>63</v>
      </c>
    </row>
    <row r="142" spans="1:11" x14ac:dyDescent="0.3">
      <c r="J142" s="7" t="s">
        <v>128</v>
      </c>
      <c r="K142" s="17">
        <v>24</v>
      </c>
    </row>
    <row r="143" spans="1:11" x14ac:dyDescent="0.3">
      <c r="J143" s="7" t="s">
        <v>129</v>
      </c>
      <c r="K143" s="17">
        <v>66</v>
      </c>
    </row>
    <row r="144" spans="1:11" x14ac:dyDescent="0.3">
      <c r="J144" s="7" t="s">
        <v>130</v>
      </c>
      <c r="K144" s="17">
        <v>67</v>
      </c>
    </row>
    <row r="145" spans="10:11" x14ac:dyDescent="0.3">
      <c r="J145" s="7" t="s">
        <v>131</v>
      </c>
      <c r="K145" s="17">
        <v>24</v>
      </c>
    </row>
    <row r="146" spans="10:11" x14ac:dyDescent="0.3">
      <c r="J146" s="7" t="s">
        <v>132</v>
      </c>
      <c r="K146" s="17">
        <v>24</v>
      </c>
    </row>
    <row r="147" spans="10:11" x14ac:dyDescent="0.3">
      <c r="J147" s="7" t="s">
        <v>133</v>
      </c>
      <c r="K147" s="17">
        <v>19</v>
      </c>
    </row>
    <row r="148" spans="10:11" x14ac:dyDescent="0.3">
      <c r="J148" s="7" t="s">
        <v>134</v>
      </c>
      <c r="K148" s="17">
        <v>78</v>
      </c>
    </row>
    <row r="149" spans="10:11" x14ac:dyDescent="0.3">
      <c r="J149" s="7" t="s">
        <v>135</v>
      </c>
      <c r="K149" s="17">
        <v>88</v>
      </c>
    </row>
    <row r="150" spans="10:11" x14ac:dyDescent="0.3">
      <c r="J150" s="7" t="s">
        <v>136</v>
      </c>
      <c r="K150" s="17">
        <v>69</v>
      </c>
    </row>
    <row r="151" spans="10:11" x14ac:dyDescent="0.3">
      <c r="J151" s="7" t="s">
        <v>137</v>
      </c>
      <c r="K151" s="17">
        <v>12</v>
      </c>
    </row>
    <row r="152" spans="10:11" x14ac:dyDescent="0.3">
      <c r="J152" s="7" t="s">
        <v>138</v>
      </c>
      <c r="K152" s="17">
        <v>24</v>
      </c>
    </row>
    <row r="153" spans="10:11" x14ac:dyDescent="0.3">
      <c r="J153" s="7" t="s">
        <v>139</v>
      </c>
      <c r="K153" s="17">
        <v>33</v>
      </c>
    </row>
    <row r="154" spans="10:11" x14ac:dyDescent="0.3">
      <c r="J154" s="7" t="s">
        <v>140</v>
      </c>
      <c r="K154" s="17">
        <v>21</v>
      </c>
    </row>
    <row r="155" spans="10:11" x14ac:dyDescent="0.3">
      <c r="J155" s="7" t="s">
        <v>141</v>
      </c>
      <c r="K155" s="17">
        <v>24</v>
      </c>
    </row>
    <row r="156" spans="10:11" x14ac:dyDescent="0.3">
      <c r="J156" s="7" t="s">
        <v>142</v>
      </c>
      <c r="K156" s="17">
        <v>22</v>
      </c>
    </row>
    <row r="157" spans="10:11" x14ac:dyDescent="0.3">
      <c r="J157" s="7" t="s">
        <v>143</v>
      </c>
      <c r="K157" s="17">
        <v>21</v>
      </c>
    </row>
    <row r="158" spans="10:11" x14ac:dyDescent="0.3">
      <c r="J158" s="7" t="s">
        <v>144</v>
      </c>
      <c r="K158" s="17">
        <v>4</v>
      </c>
    </row>
    <row r="159" spans="10:11" x14ac:dyDescent="0.3">
      <c r="J159" s="7" t="s">
        <v>145</v>
      </c>
      <c r="K159" s="17">
        <v>45</v>
      </c>
    </row>
    <row r="160" spans="10:11" x14ac:dyDescent="0.3">
      <c r="J160" s="7" t="s">
        <v>146</v>
      </c>
      <c r="K160" s="17">
        <v>30</v>
      </c>
    </row>
    <row r="161" spans="10:11" x14ac:dyDescent="0.3">
      <c r="J161" s="7" t="s">
        <v>147</v>
      </c>
      <c r="K161" s="17">
        <v>24</v>
      </c>
    </row>
    <row r="162" spans="10:11" x14ac:dyDescent="0.3">
      <c r="J162" s="7" t="s">
        <v>148</v>
      </c>
      <c r="K162" s="17">
        <v>44</v>
      </c>
    </row>
    <row r="163" spans="10:11" x14ac:dyDescent="0.3">
      <c r="J163" s="7" t="s">
        <v>149</v>
      </c>
      <c r="K163" s="17">
        <v>45</v>
      </c>
    </row>
    <row r="164" spans="10:11" x14ac:dyDescent="0.3">
      <c r="J164" s="7" t="s">
        <v>150</v>
      </c>
      <c r="K164" s="17">
        <v>24</v>
      </c>
    </row>
    <row r="165" spans="10:11" x14ac:dyDescent="0.3">
      <c r="J165" s="7" t="s">
        <v>151</v>
      </c>
      <c r="K165" s="17">
        <v>87</v>
      </c>
    </row>
    <row r="166" spans="10:11" x14ac:dyDescent="0.3">
      <c r="J166" s="7" t="s">
        <v>152</v>
      </c>
      <c r="K166" s="17">
        <v>12</v>
      </c>
    </row>
    <row r="167" spans="10:11" x14ac:dyDescent="0.3">
      <c r="J167" s="7" t="s">
        <v>153</v>
      </c>
      <c r="K167" s="17">
        <v>34</v>
      </c>
    </row>
    <row r="168" spans="10:11" x14ac:dyDescent="0.3">
      <c r="J168" s="7" t="s">
        <v>154</v>
      </c>
      <c r="K168" s="17">
        <v>66</v>
      </c>
    </row>
    <row r="169" spans="10:11" x14ac:dyDescent="0.3">
      <c r="J169" s="7" t="s">
        <v>155</v>
      </c>
      <c r="K169" s="17">
        <v>24</v>
      </c>
    </row>
    <row r="170" spans="10:11" x14ac:dyDescent="0.3">
      <c r="J170" s="7" t="s">
        <v>156</v>
      </c>
      <c r="K170" s="17">
        <v>59</v>
      </c>
    </row>
    <row r="171" spans="10:11" x14ac:dyDescent="0.3">
      <c r="J171" s="7" t="s">
        <v>157</v>
      </c>
      <c r="K171" s="17">
        <v>22</v>
      </c>
    </row>
    <row r="172" spans="10:11" x14ac:dyDescent="0.3">
      <c r="J172" s="7" t="s">
        <v>158</v>
      </c>
      <c r="K172" s="17">
        <v>60</v>
      </c>
    </row>
    <row r="173" spans="10:11" x14ac:dyDescent="0.3">
      <c r="J173" s="7" t="s">
        <v>159</v>
      </c>
      <c r="K173" s="17">
        <v>79</v>
      </c>
    </row>
    <row r="174" spans="10:11" x14ac:dyDescent="0.3">
      <c r="J174" s="7" t="s">
        <v>160</v>
      </c>
      <c r="K174" s="17">
        <v>24</v>
      </c>
    </row>
    <row r="175" spans="10:11" x14ac:dyDescent="0.3">
      <c r="J175" s="7" t="s">
        <v>161</v>
      </c>
      <c r="K175" s="17">
        <v>30</v>
      </c>
    </row>
    <row r="176" spans="10:11" x14ac:dyDescent="0.3">
      <c r="J176" s="7" t="s">
        <v>162</v>
      </c>
      <c r="K176" s="17">
        <v>29</v>
      </c>
    </row>
    <row r="177" spans="10:11" x14ac:dyDescent="0.3">
      <c r="J177" s="7" t="s">
        <v>163</v>
      </c>
      <c r="K177" s="17">
        <v>79</v>
      </c>
    </row>
    <row r="178" spans="10:11" x14ac:dyDescent="0.3">
      <c r="J178" s="7" t="s">
        <v>164</v>
      </c>
      <c r="K178" s="17">
        <v>80</v>
      </c>
    </row>
    <row r="179" spans="10:11" x14ac:dyDescent="0.3">
      <c r="J179" s="7" t="s">
        <v>165</v>
      </c>
      <c r="K179" s="17">
        <v>50</v>
      </c>
    </row>
    <row r="180" spans="10:11" x14ac:dyDescent="0.3">
      <c r="J180" s="7" t="s">
        <v>166</v>
      </c>
      <c r="K180" s="17">
        <v>24</v>
      </c>
    </row>
    <row r="181" spans="10:11" x14ac:dyDescent="0.3">
      <c r="J181" s="7" t="s">
        <v>167</v>
      </c>
      <c r="K181" s="17">
        <v>20</v>
      </c>
    </row>
    <row r="182" spans="10:11" x14ac:dyDescent="0.3">
      <c r="J182" s="7" t="s">
        <v>168</v>
      </c>
      <c r="K182" s="17">
        <v>24</v>
      </c>
    </row>
    <row r="183" spans="10:11" x14ac:dyDescent="0.3">
      <c r="J183" s="7" t="s">
        <v>169</v>
      </c>
      <c r="K183" s="17">
        <v>47</v>
      </c>
    </row>
    <row r="184" spans="10:11" x14ac:dyDescent="0.3">
      <c r="J184" s="7" t="s">
        <v>170</v>
      </c>
      <c r="K184" s="17">
        <v>9</v>
      </c>
    </row>
    <row r="185" spans="10:11" x14ac:dyDescent="0.3">
      <c r="J185" s="7" t="s">
        <v>171</v>
      </c>
      <c r="K185" s="17">
        <v>10</v>
      </c>
    </row>
    <row r="186" spans="10:11" x14ac:dyDescent="0.3">
      <c r="J186" s="7" t="s">
        <v>172</v>
      </c>
      <c r="K186" s="17">
        <v>65</v>
      </c>
    </row>
    <row r="187" spans="10:11" x14ac:dyDescent="0.3">
      <c r="J187" s="7" t="s">
        <v>173</v>
      </c>
      <c r="K187" s="17">
        <v>89</v>
      </c>
    </row>
    <row r="188" spans="10:11" x14ac:dyDescent="0.3">
      <c r="J188" s="7" t="s">
        <v>174</v>
      </c>
      <c r="K188" s="17">
        <v>24</v>
      </c>
    </row>
    <row r="189" spans="10:11" x14ac:dyDescent="0.3">
      <c r="J189" s="7" t="s">
        <v>175</v>
      </c>
      <c r="K189" s="17">
        <v>78</v>
      </c>
    </row>
    <row r="190" spans="10:11" x14ac:dyDescent="0.3">
      <c r="J190" s="7" t="s">
        <v>176</v>
      </c>
      <c r="K190" s="17">
        <v>34</v>
      </c>
    </row>
    <row r="191" spans="10:11" x14ac:dyDescent="0.3">
      <c r="J191" s="7" t="s">
        <v>177</v>
      </c>
      <c r="K191" s="17">
        <v>23</v>
      </c>
    </row>
    <row r="192" spans="10:11" x14ac:dyDescent="0.3">
      <c r="J192" s="7" t="s">
        <v>178</v>
      </c>
      <c r="K192" s="17">
        <v>19</v>
      </c>
    </row>
    <row r="193" spans="10:11" x14ac:dyDescent="0.3">
      <c r="J193" s="7" t="s">
        <v>179</v>
      </c>
      <c r="K193" s="17">
        <v>24</v>
      </c>
    </row>
    <row r="194" spans="10:11" x14ac:dyDescent="0.3">
      <c r="J194" s="7" t="s">
        <v>180</v>
      </c>
      <c r="K194" s="17">
        <v>51</v>
      </c>
    </row>
    <row r="195" spans="10:11" x14ac:dyDescent="0.3">
      <c r="J195" s="7" t="s">
        <v>181</v>
      </c>
      <c r="K195" s="17">
        <v>23</v>
      </c>
    </row>
    <row r="196" spans="10:11" x14ac:dyDescent="0.3">
      <c r="J196" s="7" t="s">
        <v>182</v>
      </c>
      <c r="K196" s="17">
        <v>33</v>
      </c>
    </row>
    <row r="197" spans="10:11" x14ac:dyDescent="0.3">
      <c r="J197" s="7" t="s">
        <v>183</v>
      </c>
      <c r="K197" s="17">
        <v>18</v>
      </c>
    </row>
    <row r="198" spans="10:11" x14ac:dyDescent="0.3">
      <c r="J198" s="7" t="s">
        <v>184</v>
      </c>
      <c r="K198" s="17">
        <v>24</v>
      </c>
    </row>
    <row r="199" spans="10:11" x14ac:dyDescent="0.3">
      <c r="J199" s="7" t="s">
        <v>185</v>
      </c>
      <c r="K199" s="17">
        <v>24</v>
      </c>
    </row>
    <row r="200" spans="10:11" x14ac:dyDescent="0.3">
      <c r="J200" s="7" t="s">
        <v>186</v>
      </c>
      <c r="K200" s="17">
        <v>21</v>
      </c>
    </row>
    <row r="201" spans="10:11" x14ac:dyDescent="0.3">
      <c r="J201" s="7" t="s">
        <v>187</v>
      </c>
      <c r="K201" s="17">
        <v>56</v>
      </c>
    </row>
    <row r="202" spans="10:11" x14ac:dyDescent="0.3">
      <c r="J202" s="7" t="s">
        <v>188</v>
      </c>
      <c r="K202" s="17">
        <v>53</v>
      </c>
    </row>
    <row r="203" spans="10:11" x14ac:dyDescent="0.3">
      <c r="J203" s="7" t="s">
        <v>189</v>
      </c>
      <c r="K203" s="17">
        <v>33</v>
      </c>
    </row>
    <row r="204" spans="10:11" x14ac:dyDescent="0.3">
      <c r="J204" s="7" t="s">
        <v>190</v>
      </c>
      <c r="K204" s="17">
        <v>24</v>
      </c>
    </row>
    <row r="205" spans="10:11" x14ac:dyDescent="0.3">
      <c r="J205" s="7" t="s">
        <v>191</v>
      </c>
      <c r="K205" s="17">
        <v>33</v>
      </c>
    </row>
    <row r="206" spans="10:11" x14ac:dyDescent="0.3">
      <c r="J206" s="7" t="s">
        <v>192</v>
      </c>
      <c r="K206" s="17">
        <v>11</v>
      </c>
    </row>
    <row r="207" spans="10:11" x14ac:dyDescent="0.3">
      <c r="J207" s="7" t="s">
        <v>193</v>
      </c>
      <c r="K207" s="17">
        <v>24</v>
      </c>
    </row>
    <row r="208" spans="10:11" x14ac:dyDescent="0.3">
      <c r="J208" s="7" t="s">
        <v>194</v>
      </c>
      <c r="K208" s="17">
        <v>13</v>
      </c>
    </row>
    <row r="209" spans="10:11" x14ac:dyDescent="0.3">
      <c r="J209" s="7" t="s">
        <v>195</v>
      </c>
      <c r="K209" s="17">
        <v>15</v>
      </c>
    </row>
    <row r="210" spans="10:11" x14ac:dyDescent="0.3">
      <c r="J210" s="7" t="s">
        <v>196</v>
      </c>
      <c r="K210" s="17">
        <v>18</v>
      </c>
    </row>
    <row r="211" spans="10:11" x14ac:dyDescent="0.3">
      <c r="J211" s="7" t="s">
        <v>197</v>
      </c>
      <c r="K211" s="17">
        <v>19</v>
      </c>
    </row>
    <row r="212" spans="10:11" x14ac:dyDescent="0.3">
      <c r="J212" s="7" t="s">
        <v>198</v>
      </c>
      <c r="K212" s="17">
        <v>65</v>
      </c>
    </row>
    <row r="213" spans="10:11" x14ac:dyDescent="0.3">
      <c r="J213" s="7" t="s">
        <v>199</v>
      </c>
      <c r="K213" s="17">
        <v>55</v>
      </c>
    </row>
    <row r="214" spans="10:11" x14ac:dyDescent="0.3">
      <c r="J214" s="7" t="s">
        <v>200</v>
      </c>
      <c r="K214" s="17">
        <v>89</v>
      </c>
    </row>
    <row r="215" spans="10:11" x14ac:dyDescent="0.3">
      <c r="J215" s="7" t="s">
        <v>201</v>
      </c>
      <c r="K215" s="17">
        <v>90</v>
      </c>
    </row>
    <row r="216" spans="10:11" x14ac:dyDescent="0.3">
      <c r="J216" s="7" t="s">
        <v>202</v>
      </c>
      <c r="K216" s="17">
        <v>76</v>
      </c>
    </row>
    <row r="217" spans="10:11" x14ac:dyDescent="0.3">
      <c r="J217" s="7" t="s">
        <v>203</v>
      </c>
      <c r="K217" s="17">
        <v>22</v>
      </c>
    </row>
    <row r="218" spans="10:11" x14ac:dyDescent="0.3">
      <c r="J218" s="7" t="s">
        <v>204</v>
      </c>
      <c r="K218" s="17">
        <v>76</v>
      </c>
    </row>
    <row r="219" spans="10:11" x14ac:dyDescent="0.3">
      <c r="J219" s="7" t="s">
        <v>205</v>
      </c>
      <c r="K219" s="17">
        <v>21</v>
      </c>
    </row>
    <row r="220" spans="10:11" x14ac:dyDescent="0.3">
      <c r="J220" s="7" t="s">
        <v>206</v>
      </c>
      <c r="K220" s="17">
        <v>24</v>
      </c>
    </row>
    <row r="221" spans="10:11" x14ac:dyDescent="0.3">
      <c r="J221" s="7" t="s">
        <v>207</v>
      </c>
      <c r="K221" s="17">
        <v>26</v>
      </c>
    </row>
    <row r="222" spans="10:11" x14ac:dyDescent="0.3">
      <c r="J222" s="7" t="s">
        <v>208</v>
      </c>
      <c r="K222" s="17">
        <v>78</v>
      </c>
    </row>
    <row r="223" spans="10:11" x14ac:dyDescent="0.3">
      <c r="J223" s="7" t="s">
        <v>209</v>
      </c>
      <c r="K223" s="17">
        <v>21</v>
      </c>
    </row>
    <row r="224" spans="10:11" x14ac:dyDescent="0.3">
      <c r="J224" s="7" t="s">
        <v>210</v>
      </c>
      <c r="K224" s="17">
        <v>24</v>
      </c>
    </row>
    <row r="225" spans="10:11" x14ac:dyDescent="0.3">
      <c r="J225" s="7" t="s">
        <v>211</v>
      </c>
      <c r="K225" s="17">
        <v>27</v>
      </c>
    </row>
    <row r="226" spans="10:11" x14ac:dyDescent="0.3">
      <c r="J226" s="7" t="s">
        <v>212</v>
      </c>
      <c r="K226" s="17">
        <v>29</v>
      </c>
    </row>
    <row r="227" spans="10:11" x14ac:dyDescent="0.3">
      <c r="J227" s="7" t="s">
        <v>213</v>
      </c>
      <c r="K227" s="17">
        <v>24</v>
      </c>
    </row>
    <row r="228" spans="10:11" x14ac:dyDescent="0.3">
      <c r="J228" s="7" t="s">
        <v>214</v>
      </c>
      <c r="K228" s="17">
        <v>56</v>
      </c>
    </row>
    <row r="229" spans="10:11" x14ac:dyDescent="0.3">
      <c r="J229" s="7" t="s">
        <v>215</v>
      </c>
      <c r="K229" s="17">
        <v>34</v>
      </c>
    </row>
    <row r="230" spans="10:11" x14ac:dyDescent="0.3">
      <c r="J230" s="7" t="s">
        <v>216</v>
      </c>
      <c r="K230" s="17">
        <v>24</v>
      </c>
    </row>
    <row r="231" spans="10:11" x14ac:dyDescent="0.3">
      <c r="J231" s="7" t="s">
        <v>217</v>
      </c>
      <c r="K231" s="17">
        <v>12</v>
      </c>
    </row>
    <row r="232" spans="10:11" x14ac:dyDescent="0.3">
      <c r="J232" s="7" t="s">
        <v>218</v>
      </c>
      <c r="K232" s="17">
        <v>24</v>
      </c>
    </row>
    <row r="233" spans="10:11" x14ac:dyDescent="0.3">
      <c r="J233" s="7" t="s">
        <v>219</v>
      </c>
      <c r="K233" s="17">
        <v>24</v>
      </c>
    </row>
    <row r="234" spans="10:11" x14ac:dyDescent="0.3">
      <c r="J234" s="7" t="s">
        <v>220</v>
      </c>
      <c r="K234" s="17">
        <v>23</v>
      </c>
    </row>
    <row r="235" spans="10:11" x14ac:dyDescent="0.3">
      <c r="J235" s="7" t="s">
        <v>221</v>
      </c>
      <c r="K235" s="17">
        <v>88</v>
      </c>
    </row>
    <row r="236" spans="10:11" x14ac:dyDescent="0.3">
      <c r="J236" s="7" t="s">
        <v>222</v>
      </c>
      <c r="K236" s="17">
        <v>85</v>
      </c>
    </row>
    <row r="237" spans="10:11" x14ac:dyDescent="0.3">
      <c r="J237" s="7" t="s">
        <v>223</v>
      </c>
      <c r="K237" s="17">
        <v>79</v>
      </c>
    </row>
    <row r="238" spans="10:11" x14ac:dyDescent="0.3">
      <c r="J238" s="7" t="s">
        <v>224</v>
      </c>
      <c r="K238" s="17">
        <v>11</v>
      </c>
    </row>
    <row r="239" spans="10:11" x14ac:dyDescent="0.3">
      <c r="J239" s="7" t="s">
        <v>225</v>
      </c>
      <c r="K239" s="17">
        <v>24</v>
      </c>
    </row>
    <row r="240" spans="10:11" x14ac:dyDescent="0.3">
      <c r="J240" s="7" t="s">
        <v>226</v>
      </c>
      <c r="K240" s="17">
        <v>25</v>
      </c>
    </row>
    <row r="241" spans="10:11" x14ac:dyDescent="0.3">
      <c r="J241" s="7" t="s">
        <v>227</v>
      </c>
      <c r="K241" s="17">
        <v>13</v>
      </c>
    </row>
    <row r="242" spans="10:11" x14ac:dyDescent="0.3">
      <c r="J242" s="7" t="s">
        <v>228</v>
      </c>
      <c r="K242" s="17">
        <v>24</v>
      </c>
    </row>
    <row r="243" spans="10:11" x14ac:dyDescent="0.3">
      <c r="J243" s="7" t="s">
        <v>229</v>
      </c>
      <c r="K243" s="17">
        <v>33</v>
      </c>
    </row>
    <row r="244" spans="10:11" x14ac:dyDescent="0.3">
      <c r="J244" s="7" t="s">
        <v>230</v>
      </c>
      <c r="K244" s="17">
        <v>89</v>
      </c>
    </row>
    <row r="245" spans="10:11" x14ac:dyDescent="0.3">
      <c r="J245" s="7" t="s">
        <v>231</v>
      </c>
      <c r="K245" s="17">
        <v>78</v>
      </c>
    </row>
    <row r="246" spans="10:11" x14ac:dyDescent="0.3">
      <c r="J246" s="7" t="s">
        <v>232</v>
      </c>
      <c r="K246" s="17">
        <v>75</v>
      </c>
    </row>
    <row r="247" spans="10:11" x14ac:dyDescent="0.3">
      <c r="J247" s="7" t="s">
        <v>233</v>
      </c>
      <c r="K247" s="17">
        <v>24</v>
      </c>
    </row>
    <row r="248" spans="10:11" x14ac:dyDescent="0.3">
      <c r="J248" s="7" t="s">
        <v>234</v>
      </c>
      <c r="K248" s="17">
        <v>23</v>
      </c>
    </row>
    <row r="249" spans="10:11" x14ac:dyDescent="0.3">
      <c r="J249" s="7" t="s">
        <v>235</v>
      </c>
      <c r="K249" s="17">
        <v>19</v>
      </c>
    </row>
    <row r="250" spans="10:11" x14ac:dyDescent="0.3">
      <c r="J250" s="7" t="s">
        <v>236</v>
      </c>
      <c r="K250" s="17">
        <v>24</v>
      </c>
    </row>
    <row r="251" spans="10:11" x14ac:dyDescent="0.3">
      <c r="J251" s="7" t="s">
        <v>237</v>
      </c>
      <c r="K251" s="17">
        <v>67</v>
      </c>
    </row>
    <row r="252" spans="10:11" x14ac:dyDescent="0.3">
      <c r="J252" s="7" t="s">
        <v>238</v>
      </c>
      <c r="K252" s="17">
        <v>87</v>
      </c>
    </row>
    <row r="253" spans="10:11" x14ac:dyDescent="0.3">
      <c r="J253" s="7" t="s">
        <v>239</v>
      </c>
      <c r="K253" s="17">
        <v>69</v>
      </c>
    </row>
    <row r="254" spans="10:11" x14ac:dyDescent="0.3">
      <c r="J254" s="7" t="s">
        <v>240</v>
      </c>
      <c r="K254" s="17">
        <v>24</v>
      </c>
    </row>
    <row r="255" spans="10:11" x14ac:dyDescent="0.3">
      <c r="J255" s="7" t="s">
        <v>241</v>
      </c>
      <c r="K255" s="17">
        <v>19</v>
      </c>
    </row>
    <row r="256" spans="10:11" x14ac:dyDescent="0.3">
      <c r="J256" s="7" t="s">
        <v>242</v>
      </c>
      <c r="K256" s="17">
        <v>12</v>
      </c>
    </row>
    <row r="257" spans="10:11" x14ac:dyDescent="0.3">
      <c r="J257" s="7" t="s">
        <v>243</v>
      </c>
      <c r="K257" s="17">
        <v>10</v>
      </c>
    </row>
    <row r="258" spans="10:11" x14ac:dyDescent="0.3">
      <c r="J258" s="7" t="s">
        <v>244</v>
      </c>
      <c r="K258" s="17">
        <v>21</v>
      </c>
    </row>
    <row r="259" spans="10:11" x14ac:dyDescent="0.3">
      <c r="J259" s="7" t="s">
        <v>245</v>
      </c>
      <c r="K259" s="17">
        <v>34</v>
      </c>
    </row>
    <row r="260" spans="10:11" x14ac:dyDescent="0.3">
      <c r="J260" s="7" t="s">
        <v>246</v>
      </c>
      <c r="K260" s="17">
        <v>54</v>
      </c>
    </row>
    <row r="261" spans="10:11" x14ac:dyDescent="0.3">
      <c r="J261" s="7" t="s">
        <v>247</v>
      </c>
      <c r="K261" s="17">
        <v>67</v>
      </c>
    </row>
    <row r="262" spans="10:11" x14ac:dyDescent="0.3">
      <c r="J262" s="7" t="s">
        <v>248</v>
      </c>
      <c r="K262" s="17">
        <v>19</v>
      </c>
    </row>
    <row r="263" spans="10:11" x14ac:dyDescent="0.3">
      <c r="J263" s="7" t="s">
        <v>249</v>
      </c>
      <c r="K263" s="17">
        <v>24</v>
      </c>
    </row>
    <row r="264" spans="10:11" x14ac:dyDescent="0.3">
      <c r="J264" s="7" t="s">
        <v>250</v>
      </c>
      <c r="K264" s="17">
        <v>34</v>
      </c>
    </row>
    <row r="265" spans="10:11" x14ac:dyDescent="0.3">
      <c r="J265" s="7" t="s">
        <v>251</v>
      </c>
      <c r="K265" s="17">
        <v>46</v>
      </c>
    </row>
    <row r="266" spans="10:11" x14ac:dyDescent="0.3">
      <c r="J266" s="7" t="s">
        <v>252</v>
      </c>
      <c r="K266" s="17">
        <v>44</v>
      </c>
    </row>
    <row r="267" spans="10:11" x14ac:dyDescent="0.3">
      <c r="J267" s="7" t="s">
        <v>253</v>
      </c>
      <c r="K267" s="17">
        <v>24</v>
      </c>
    </row>
    <row r="268" spans="10:11" x14ac:dyDescent="0.3">
      <c r="J268" s="7" t="s">
        <v>254</v>
      </c>
      <c r="K268" s="17">
        <v>35</v>
      </c>
    </row>
    <row r="269" spans="10:11" x14ac:dyDescent="0.3">
      <c r="J269" s="7" t="s">
        <v>255</v>
      </c>
      <c r="K269" s="17">
        <v>45</v>
      </c>
    </row>
    <row r="270" spans="10:11" x14ac:dyDescent="0.3">
      <c r="J270" s="7" t="s">
        <v>256</v>
      </c>
      <c r="K270" s="17">
        <v>48</v>
      </c>
    </row>
    <row r="271" spans="10:11" x14ac:dyDescent="0.3">
      <c r="J271" s="7" t="s">
        <v>257</v>
      </c>
      <c r="K271" s="17">
        <v>24</v>
      </c>
    </row>
    <row r="272" spans="10:11" x14ac:dyDescent="0.3">
      <c r="J272" s="7" t="s">
        <v>258</v>
      </c>
      <c r="K272" s="17">
        <v>78</v>
      </c>
    </row>
    <row r="273" spans="10:11" x14ac:dyDescent="0.3">
      <c r="J273" s="7" t="s">
        <v>259</v>
      </c>
      <c r="K273" s="17">
        <v>67</v>
      </c>
    </row>
    <row r="274" spans="10:11" x14ac:dyDescent="0.3">
      <c r="J274" s="7" t="s">
        <v>260</v>
      </c>
      <c r="K274" s="17">
        <v>24</v>
      </c>
    </row>
    <row r="275" spans="10:11" x14ac:dyDescent="0.3">
      <c r="J275" s="7" t="s">
        <v>261</v>
      </c>
      <c r="K275" s="17">
        <v>27</v>
      </c>
    </row>
    <row r="276" spans="10:11" x14ac:dyDescent="0.3">
      <c r="J276" s="7" t="s">
        <v>262</v>
      </c>
      <c r="K276" s="17">
        <v>19</v>
      </c>
    </row>
    <row r="277" spans="10:11" x14ac:dyDescent="0.3">
      <c r="J277" s="7" t="s">
        <v>263</v>
      </c>
      <c r="K277" s="17">
        <v>20</v>
      </c>
    </row>
    <row r="278" spans="10:11" x14ac:dyDescent="0.3">
      <c r="J278" s="7" t="s">
        <v>264</v>
      </c>
      <c r="K278" s="17">
        <v>21</v>
      </c>
    </row>
    <row r="279" spans="10:11" x14ac:dyDescent="0.3">
      <c r="J279" s="7" t="s">
        <v>265</v>
      </c>
      <c r="K279" s="17">
        <v>22</v>
      </c>
    </row>
    <row r="280" spans="10:11" x14ac:dyDescent="0.3">
      <c r="J280" s="7" t="s">
        <v>266</v>
      </c>
      <c r="K280" s="17">
        <v>23</v>
      </c>
    </row>
    <row r="281" spans="10:11" x14ac:dyDescent="0.3">
      <c r="J281" s="7" t="s">
        <v>267</v>
      </c>
      <c r="K281" s="17">
        <v>24</v>
      </c>
    </row>
    <row r="282" spans="10:11" x14ac:dyDescent="0.3">
      <c r="J282" s="7" t="s">
        <v>268</v>
      </c>
      <c r="K282" s="17">
        <v>30</v>
      </c>
    </row>
    <row r="283" spans="10:11" x14ac:dyDescent="0.3">
      <c r="J283" s="7" t="s">
        <v>269</v>
      </c>
      <c r="K283" s="17">
        <v>34</v>
      </c>
    </row>
    <row r="284" spans="10:11" x14ac:dyDescent="0.3">
      <c r="J284" s="7" t="s">
        <v>270</v>
      </c>
      <c r="K284" s="17">
        <v>36</v>
      </c>
    </row>
    <row r="285" spans="10:11" x14ac:dyDescent="0.3">
      <c r="J285" s="7" t="s">
        <v>271</v>
      </c>
      <c r="K285" s="17">
        <v>44</v>
      </c>
    </row>
    <row r="286" spans="10:11" x14ac:dyDescent="0.3">
      <c r="J286" s="7" t="s">
        <v>272</v>
      </c>
      <c r="K286" s="17">
        <v>24</v>
      </c>
    </row>
    <row r="287" spans="10:11" x14ac:dyDescent="0.3">
      <c r="J287" s="7" t="s">
        <v>273</v>
      </c>
      <c r="K287" s="17">
        <v>56</v>
      </c>
    </row>
    <row r="288" spans="10:11" x14ac:dyDescent="0.3">
      <c r="J288" s="7" t="s">
        <v>274</v>
      </c>
      <c r="K288" s="17">
        <v>57</v>
      </c>
    </row>
    <row r="289" spans="10:11" x14ac:dyDescent="0.3">
      <c r="J289" s="7" t="s">
        <v>275</v>
      </c>
      <c r="K289" s="17">
        <v>60</v>
      </c>
    </row>
    <row r="290" spans="10:11" x14ac:dyDescent="0.3">
      <c r="J290" s="7" t="s">
        <v>276</v>
      </c>
      <c r="K290" s="17">
        <v>24</v>
      </c>
    </row>
    <row r="291" spans="10:11" x14ac:dyDescent="0.3">
      <c r="J291" s="7" t="s">
        <v>277</v>
      </c>
      <c r="K291" s="17">
        <v>44</v>
      </c>
    </row>
    <row r="292" spans="10:11" x14ac:dyDescent="0.3">
      <c r="J292" s="7" t="s">
        <v>278</v>
      </c>
      <c r="K292" s="17">
        <v>3</v>
      </c>
    </row>
    <row r="293" spans="10:11" x14ac:dyDescent="0.3">
      <c r="J293" s="7" t="s">
        <v>279</v>
      </c>
      <c r="K293" s="17">
        <v>16</v>
      </c>
    </row>
    <row r="294" spans="10:11" x14ac:dyDescent="0.3">
      <c r="J294" s="7" t="s">
        <v>280</v>
      </c>
      <c r="K294" s="17">
        <v>24</v>
      </c>
    </row>
    <row r="295" spans="10:11" x14ac:dyDescent="0.3">
      <c r="J295" s="7" t="s">
        <v>281</v>
      </c>
      <c r="K295" s="17">
        <v>29</v>
      </c>
    </row>
    <row r="296" spans="10:11" x14ac:dyDescent="0.3">
      <c r="J296" s="7" t="s">
        <v>282</v>
      </c>
      <c r="K296" s="17">
        <v>30</v>
      </c>
    </row>
    <row r="297" spans="10:11" x14ac:dyDescent="0.3">
      <c r="J297" s="7" t="s">
        <v>283</v>
      </c>
      <c r="K297" s="17">
        <v>31</v>
      </c>
    </row>
    <row r="298" spans="10:11" x14ac:dyDescent="0.3">
      <c r="J298" s="7" t="s">
        <v>284</v>
      </c>
      <c r="K298" s="17">
        <v>24</v>
      </c>
    </row>
    <row r="299" spans="10:11" x14ac:dyDescent="0.3">
      <c r="J299" s="7" t="s">
        <v>285</v>
      </c>
      <c r="K299" s="17">
        <v>34</v>
      </c>
    </row>
    <row r="300" spans="10:11" x14ac:dyDescent="0.3">
      <c r="J300" s="7" t="s">
        <v>286</v>
      </c>
      <c r="K300" s="17">
        <v>47</v>
      </c>
    </row>
    <row r="301" spans="10:11" x14ac:dyDescent="0.3">
      <c r="J301" s="7" t="s">
        <v>287</v>
      </c>
      <c r="K301" s="17">
        <v>24</v>
      </c>
    </row>
    <row r="302" spans="10:11" x14ac:dyDescent="0.3">
      <c r="J302" s="7" t="s">
        <v>288</v>
      </c>
      <c r="K302" s="17">
        <v>19</v>
      </c>
    </row>
    <row r="303" spans="10:11" x14ac:dyDescent="0.3">
      <c r="J303" s="7" t="s">
        <v>289</v>
      </c>
      <c r="K303" s="17">
        <v>22</v>
      </c>
    </row>
    <row r="304" spans="10:11" x14ac:dyDescent="0.3">
      <c r="J304" s="7" t="s">
        <v>290</v>
      </c>
      <c r="K304" s="17">
        <v>24</v>
      </c>
    </row>
    <row r="305" spans="10:11" x14ac:dyDescent="0.3">
      <c r="J305" s="7" t="s">
        <v>291</v>
      </c>
      <c r="K305" s="17">
        <v>12</v>
      </c>
    </row>
    <row r="306" spans="10:11" x14ac:dyDescent="0.3">
      <c r="J306" s="7" t="s">
        <v>292</v>
      </c>
      <c r="K306" s="17">
        <v>11</v>
      </c>
    </row>
    <row r="307" spans="10:11" x14ac:dyDescent="0.3">
      <c r="J307" s="7" t="s">
        <v>293</v>
      </c>
      <c r="K307" s="17">
        <v>5</v>
      </c>
    </row>
    <row r="308" spans="10:11" x14ac:dyDescent="0.3">
      <c r="J308" s="7" t="s">
        <v>294</v>
      </c>
      <c r="K308" s="17">
        <v>24</v>
      </c>
    </row>
    <row r="309" spans="10:11" x14ac:dyDescent="0.3">
      <c r="J309" s="7" t="s">
        <v>295</v>
      </c>
      <c r="K309" s="17">
        <v>12</v>
      </c>
    </row>
    <row r="310" spans="10:11" x14ac:dyDescent="0.3">
      <c r="J310" s="7" t="s">
        <v>296</v>
      </c>
      <c r="K310" s="17">
        <v>11</v>
      </c>
    </row>
    <row r="311" spans="10:11" x14ac:dyDescent="0.3">
      <c r="J311" s="7" t="s">
        <v>297</v>
      </c>
      <c r="K311" s="17">
        <v>65</v>
      </c>
    </row>
    <row r="312" spans="10:11" x14ac:dyDescent="0.3">
      <c r="J312" s="7" t="s">
        <v>298</v>
      </c>
      <c r="K312" s="17">
        <v>67</v>
      </c>
    </row>
    <row r="313" spans="10:11" x14ac:dyDescent="0.3">
      <c r="J313" s="7" t="s">
        <v>299</v>
      </c>
      <c r="K313" s="17">
        <v>78</v>
      </c>
    </row>
    <row r="314" spans="10:11" x14ac:dyDescent="0.3">
      <c r="J314" s="7" t="s">
        <v>300</v>
      </c>
      <c r="K314" s="17">
        <v>24</v>
      </c>
    </row>
    <row r="315" spans="10:11" x14ac:dyDescent="0.3">
      <c r="J315" s="7" t="s">
        <v>301</v>
      </c>
      <c r="K315" s="17">
        <v>89</v>
      </c>
    </row>
    <row r="316" spans="10:11" x14ac:dyDescent="0.3">
      <c r="J316" s="7" t="s">
        <v>302</v>
      </c>
      <c r="K316" s="17">
        <v>79</v>
      </c>
    </row>
    <row r="317" spans="10:11" x14ac:dyDescent="0.3">
      <c r="J317" s="7" t="s">
        <v>303</v>
      </c>
      <c r="K317" s="17">
        <v>71</v>
      </c>
    </row>
    <row r="318" spans="10:11" x14ac:dyDescent="0.3">
      <c r="J318" s="7" t="s">
        <v>304</v>
      </c>
      <c r="K318" s="17">
        <v>11</v>
      </c>
    </row>
    <row r="319" spans="10:11" x14ac:dyDescent="0.3">
      <c r="J319" s="7" t="s">
        <v>305</v>
      </c>
      <c r="K319" s="17">
        <v>24</v>
      </c>
    </row>
    <row r="320" spans="10:11" x14ac:dyDescent="0.3">
      <c r="J320" s="7" t="s">
        <v>306</v>
      </c>
      <c r="K320" s="17">
        <v>33</v>
      </c>
    </row>
    <row r="321" spans="10:11" x14ac:dyDescent="0.3">
      <c r="J321" s="7" t="s">
        <v>307</v>
      </c>
      <c r="K321" s="17">
        <v>24</v>
      </c>
    </row>
    <row r="322" spans="10:11" x14ac:dyDescent="0.3">
      <c r="J322" s="7" t="s">
        <v>308</v>
      </c>
      <c r="K322" s="17">
        <v>24</v>
      </c>
    </row>
    <row r="323" spans="10:11" x14ac:dyDescent="0.3">
      <c r="J323" s="7" t="s">
        <v>309</v>
      </c>
      <c r="K323" s="17">
        <v>65</v>
      </c>
    </row>
    <row r="324" spans="10:11" x14ac:dyDescent="0.3">
      <c r="J324" s="7" t="s">
        <v>310</v>
      </c>
      <c r="K324" s="17">
        <v>24</v>
      </c>
    </row>
    <row r="325" spans="10:11" x14ac:dyDescent="0.3">
      <c r="J325" s="7" t="s">
        <v>311</v>
      </c>
      <c r="K325" s="17">
        <v>78</v>
      </c>
    </row>
    <row r="326" spans="10:11" x14ac:dyDescent="0.3">
      <c r="J326" s="7" t="s">
        <v>312</v>
      </c>
      <c r="K326" s="17">
        <v>12</v>
      </c>
    </row>
    <row r="327" spans="10:11" x14ac:dyDescent="0.3">
      <c r="J327" s="7" t="s">
        <v>313</v>
      </c>
      <c r="K327" s="17">
        <v>10</v>
      </c>
    </row>
    <row r="328" spans="10:11" x14ac:dyDescent="0.3">
      <c r="J328" s="7" t="s">
        <v>314</v>
      </c>
      <c r="K328" s="17">
        <v>18</v>
      </c>
    </row>
    <row r="329" spans="10:11" x14ac:dyDescent="0.3">
      <c r="J329" s="7" t="s">
        <v>315</v>
      </c>
      <c r="K329" s="17">
        <v>24</v>
      </c>
    </row>
    <row r="330" spans="10:11" x14ac:dyDescent="0.3">
      <c r="J330" s="7" t="s">
        <v>316</v>
      </c>
      <c r="K330" s="17">
        <v>26</v>
      </c>
    </row>
    <row r="331" spans="10:11" x14ac:dyDescent="0.3">
      <c r="J331" s="7" t="s">
        <v>317</v>
      </c>
      <c r="K331" s="17">
        <v>33</v>
      </c>
    </row>
    <row r="332" spans="10:11" x14ac:dyDescent="0.3">
      <c r="J332" s="7" t="s">
        <v>318</v>
      </c>
      <c r="K332" s="17">
        <v>12</v>
      </c>
    </row>
    <row r="333" spans="10:11" x14ac:dyDescent="0.3">
      <c r="J333" s="7" t="s">
        <v>319</v>
      </c>
      <c r="K333" s="17">
        <v>24</v>
      </c>
    </row>
    <row r="334" spans="10:11" x14ac:dyDescent="0.3">
      <c r="J334" s="7" t="s">
        <v>320</v>
      </c>
      <c r="K334" s="17">
        <v>24</v>
      </c>
    </row>
    <row r="335" spans="10:11" x14ac:dyDescent="0.3">
      <c r="J335" s="7" t="s">
        <v>321</v>
      </c>
      <c r="K335" s="17">
        <v>33</v>
      </c>
    </row>
    <row r="336" spans="10:11" x14ac:dyDescent="0.3">
      <c r="J336" s="7" t="s">
        <v>322</v>
      </c>
      <c r="K336" s="17">
        <v>67</v>
      </c>
    </row>
    <row r="337" spans="10:11" x14ac:dyDescent="0.3">
      <c r="J337" s="7" t="s">
        <v>323</v>
      </c>
      <c r="K337" s="17">
        <v>89</v>
      </c>
    </row>
    <row r="338" spans="10:11" x14ac:dyDescent="0.3">
      <c r="J338" s="7" t="s">
        <v>324</v>
      </c>
      <c r="K338" s="17">
        <v>24</v>
      </c>
    </row>
    <row r="339" spans="10:11" x14ac:dyDescent="0.3">
      <c r="J339" s="7" t="s">
        <v>325</v>
      </c>
      <c r="K339" s="17">
        <v>12</v>
      </c>
    </row>
    <row r="340" spans="10:11" x14ac:dyDescent="0.3">
      <c r="J340" s="7" t="s">
        <v>326</v>
      </c>
      <c r="K340" s="17">
        <v>24</v>
      </c>
    </row>
    <row r="341" spans="10:11" x14ac:dyDescent="0.3">
      <c r="J341" s="7" t="s">
        <v>327</v>
      </c>
      <c r="K341" s="17">
        <v>78</v>
      </c>
    </row>
    <row r="342" spans="10:11" x14ac:dyDescent="0.3">
      <c r="J342" s="7" t="s">
        <v>328</v>
      </c>
      <c r="K342" s="17">
        <v>24</v>
      </c>
    </row>
    <row r="343" spans="10:11" x14ac:dyDescent="0.3">
      <c r="J343" s="7" t="s">
        <v>329</v>
      </c>
      <c r="K343" s="17">
        <v>27</v>
      </c>
    </row>
    <row r="344" spans="10:11" x14ac:dyDescent="0.3">
      <c r="J344" s="7" t="s">
        <v>330</v>
      </c>
      <c r="K344" s="17">
        <v>66</v>
      </c>
    </row>
    <row r="345" spans="10:11" x14ac:dyDescent="0.3">
      <c r="J345" s="7" t="s">
        <v>331</v>
      </c>
      <c r="K345" s="17">
        <v>89</v>
      </c>
    </row>
    <row r="346" spans="10:11" x14ac:dyDescent="0.3">
      <c r="J346" s="7" t="s">
        <v>332</v>
      </c>
      <c r="K346" s="17">
        <v>99</v>
      </c>
    </row>
    <row r="347" spans="10:11" x14ac:dyDescent="0.3">
      <c r="J347" s="7" t="s">
        <v>333</v>
      </c>
      <c r="K347" s="17">
        <v>24</v>
      </c>
    </row>
    <row r="348" spans="10:11" x14ac:dyDescent="0.3">
      <c r="J348" s="7" t="s">
        <v>334</v>
      </c>
      <c r="K348" s="17">
        <v>87</v>
      </c>
    </row>
    <row r="349" spans="10:11" x14ac:dyDescent="0.3">
      <c r="J349" s="7" t="s">
        <v>335</v>
      </c>
      <c r="K349" s="17">
        <v>98</v>
      </c>
    </row>
    <row r="350" spans="10:11" x14ac:dyDescent="0.3">
      <c r="J350" s="7" t="s">
        <v>336</v>
      </c>
      <c r="K350" s="17">
        <v>24</v>
      </c>
    </row>
    <row r="351" spans="10:11" x14ac:dyDescent="0.3">
      <c r="J351" s="7" t="s">
        <v>337</v>
      </c>
      <c r="K351" s="17">
        <v>23</v>
      </c>
    </row>
    <row r="352" spans="10:11" x14ac:dyDescent="0.3">
      <c r="J352" s="7" t="s">
        <v>338</v>
      </c>
      <c r="K352" s="17">
        <v>24</v>
      </c>
    </row>
    <row r="353" spans="10:11" x14ac:dyDescent="0.3">
      <c r="J353" s="7" t="s">
        <v>339</v>
      </c>
      <c r="K353" s="17">
        <v>44</v>
      </c>
    </row>
    <row r="354" spans="10:11" x14ac:dyDescent="0.3">
      <c r="J354" s="7" t="s">
        <v>340</v>
      </c>
      <c r="K354" s="17">
        <v>89</v>
      </c>
    </row>
    <row r="355" spans="10:11" x14ac:dyDescent="0.3">
      <c r="J355" s="7" t="s">
        <v>341</v>
      </c>
      <c r="K355" s="17">
        <v>24</v>
      </c>
    </row>
    <row r="356" spans="10:11" x14ac:dyDescent="0.3">
      <c r="J356" s="7" t="s">
        <v>342</v>
      </c>
      <c r="K356" s="17">
        <v>76</v>
      </c>
    </row>
    <row r="357" spans="10:11" x14ac:dyDescent="0.3">
      <c r="J357" s="7" t="s">
        <v>343</v>
      </c>
      <c r="K357" s="17">
        <v>24</v>
      </c>
    </row>
    <row r="358" spans="10:11" x14ac:dyDescent="0.3">
      <c r="J358" s="7" t="s">
        <v>344</v>
      </c>
      <c r="K358" s="17">
        <v>39</v>
      </c>
    </row>
    <row r="359" spans="10:11" x14ac:dyDescent="0.3">
      <c r="J359" s="7" t="s">
        <v>345</v>
      </c>
      <c r="K359" s="17">
        <v>24</v>
      </c>
    </row>
    <row r="360" spans="10:11" x14ac:dyDescent="0.3">
      <c r="J360" s="7" t="s">
        <v>346</v>
      </c>
      <c r="K360" s="17">
        <v>45</v>
      </c>
    </row>
    <row r="361" spans="10:11" x14ac:dyDescent="0.3">
      <c r="J361" s="7" t="s">
        <v>347</v>
      </c>
      <c r="K361" s="17">
        <v>24</v>
      </c>
    </row>
    <row r="362" spans="10:11" x14ac:dyDescent="0.3">
      <c r="J362" s="7" t="s">
        <v>348</v>
      </c>
      <c r="K362" s="17">
        <v>56</v>
      </c>
    </row>
    <row r="363" spans="10:11" x14ac:dyDescent="0.3">
      <c r="J363" s="7" t="s">
        <v>349</v>
      </c>
      <c r="K363" s="17">
        <v>98</v>
      </c>
    </row>
    <row r="364" spans="10:11" x14ac:dyDescent="0.3">
      <c r="J364" s="7" t="s">
        <v>350</v>
      </c>
      <c r="K364" s="17">
        <v>87</v>
      </c>
    </row>
    <row r="365" spans="10:11" x14ac:dyDescent="0.3">
      <c r="J365" s="7" t="s">
        <v>351</v>
      </c>
      <c r="K365" s="17">
        <v>87</v>
      </c>
    </row>
    <row r="366" spans="10:11" x14ac:dyDescent="0.3">
      <c r="J366" s="7" t="s">
        <v>352</v>
      </c>
      <c r="K366" s="17">
        <v>77</v>
      </c>
    </row>
    <row r="367" spans="10:11" x14ac:dyDescent="0.3">
      <c r="J367" s="7" t="s">
        <v>353</v>
      </c>
      <c r="K367" s="17">
        <v>24</v>
      </c>
    </row>
    <row r="368" spans="10:11" x14ac:dyDescent="0.3">
      <c r="J368" s="7" t="s">
        <v>354</v>
      </c>
      <c r="K368" s="17">
        <v>24</v>
      </c>
    </row>
    <row r="369" spans="10:11" x14ac:dyDescent="0.3">
      <c r="J369" s="7" t="s">
        <v>355</v>
      </c>
      <c r="K369" s="17">
        <v>45</v>
      </c>
    </row>
    <row r="370" spans="10:11" x14ac:dyDescent="0.3">
      <c r="J370" s="7" t="s">
        <v>356</v>
      </c>
      <c r="K370" s="17">
        <v>24</v>
      </c>
    </row>
    <row r="371" spans="10:11" x14ac:dyDescent="0.3">
      <c r="J371" s="7" t="s">
        <v>357</v>
      </c>
      <c r="K371" s="17">
        <v>66</v>
      </c>
    </row>
    <row r="372" spans="10:11" x14ac:dyDescent="0.3">
      <c r="J372" s="7" t="s">
        <v>358</v>
      </c>
      <c r="K372" s="17">
        <v>24</v>
      </c>
    </row>
    <row r="373" spans="10:11" x14ac:dyDescent="0.3">
      <c r="J373" s="7" t="s">
        <v>359</v>
      </c>
      <c r="K373" s="17">
        <v>34</v>
      </c>
    </row>
    <row r="374" spans="10:11" x14ac:dyDescent="0.3">
      <c r="J374" s="7" t="s">
        <v>360</v>
      </c>
      <c r="K374" s="17">
        <v>24</v>
      </c>
    </row>
    <row r="375" spans="10:11" x14ac:dyDescent="0.3">
      <c r="J375" s="7" t="s">
        <v>361</v>
      </c>
      <c r="K375" s="17">
        <v>78</v>
      </c>
    </row>
    <row r="376" spans="10:11" x14ac:dyDescent="0.3">
      <c r="J376" s="7" t="s">
        <v>362</v>
      </c>
      <c r="K376" s="17">
        <v>24</v>
      </c>
    </row>
    <row r="377" spans="10:11" x14ac:dyDescent="0.3">
      <c r="J377" s="7" t="s">
        <v>363</v>
      </c>
      <c r="K377" s="17">
        <v>87</v>
      </c>
    </row>
    <row r="378" spans="10:11" x14ac:dyDescent="0.3">
      <c r="J378" s="7" t="s">
        <v>364</v>
      </c>
      <c r="K378" s="17">
        <v>24</v>
      </c>
    </row>
    <row r="379" spans="10:11" x14ac:dyDescent="0.3">
      <c r="J379" s="7" t="s">
        <v>365</v>
      </c>
      <c r="K379" s="17">
        <v>33</v>
      </c>
    </row>
    <row r="380" spans="10:11" x14ac:dyDescent="0.3">
      <c r="J380" s="7" t="s">
        <v>366</v>
      </c>
      <c r="K380" s="17">
        <v>24</v>
      </c>
    </row>
    <row r="381" spans="10:11" x14ac:dyDescent="0.3">
      <c r="J381" s="7" t="s">
        <v>367</v>
      </c>
      <c r="K381" s="17">
        <v>65</v>
      </c>
    </row>
    <row r="382" spans="10:11" x14ac:dyDescent="0.3">
      <c r="J382" s="7" t="s">
        <v>368</v>
      </c>
      <c r="K382" s="17">
        <v>24</v>
      </c>
    </row>
    <row r="383" spans="10:11" x14ac:dyDescent="0.3">
      <c r="J383" s="7" t="s">
        <v>369</v>
      </c>
      <c r="K383" s="17">
        <v>24</v>
      </c>
    </row>
    <row r="384" spans="10:11" x14ac:dyDescent="0.3">
      <c r="J384" s="7" t="s">
        <v>370</v>
      </c>
      <c r="K384" s="17">
        <v>45</v>
      </c>
    </row>
    <row r="385" spans="10:11" x14ac:dyDescent="0.3">
      <c r="J385" s="7" t="s">
        <v>371</v>
      </c>
      <c r="K385" s="17">
        <v>67</v>
      </c>
    </row>
    <row r="386" spans="10:11" x14ac:dyDescent="0.3">
      <c r="J386" s="7" t="s">
        <v>372</v>
      </c>
      <c r="K386" s="17">
        <v>24</v>
      </c>
    </row>
    <row r="387" spans="10:11" x14ac:dyDescent="0.3">
      <c r="J387" s="7" t="s">
        <v>373</v>
      </c>
      <c r="K387" s="17">
        <v>55</v>
      </c>
    </row>
    <row r="388" spans="10:11" x14ac:dyDescent="0.3">
      <c r="J388" s="7" t="s">
        <v>374</v>
      </c>
      <c r="K388" s="17">
        <v>24</v>
      </c>
    </row>
    <row r="389" spans="10:11" x14ac:dyDescent="0.3">
      <c r="J389" s="7" t="s">
        <v>375</v>
      </c>
      <c r="K389" s="17">
        <v>56</v>
      </c>
    </row>
    <row r="390" spans="10:11" x14ac:dyDescent="0.3">
      <c r="J390" s="7" t="s">
        <v>376</v>
      </c>
      <c r="K390" s="17">
        <v>88</v>
      </c>
    </row>
    <row r="391" spans="10:11" x14ac:dyDescent="0.3">
      <c r="J391" s="7" t="s">
        <v>377</v>
      </c>
      <c r="K391" s="17">
        <v>89</v>
      </c>
    </row>
    <row r="392" spans="10:11" x14ac:dyDescent="0.3">
      <c r="J392" s="7" t="s">
        <v>378</v>
      </c>
      <c r="K392" s="17">
        <v>24</v>
      </c>
    </row>
    <row r="393" spans="10:11" x14ac:dyDescent="0.3">
      <c r="J393" s="7" t="s">
        <v>379</v>
      </c>
      <c r="K393" s="17">
        <v>35</v>
      </c>
    </row>
    <row r="394" spans="10:11" x14ac:dyDescent="0.3">
      <c r="J394" s="7" t="s">
        <v>380</v>
      </c>
      <c r="K394" s="17">
        <v>29</v>
      </c>
    </row>
    <row r="395" spans="10:11" x14ac:dyDescent="0.3">
      <c r="J395" s="7" t="s">
        <v>381</v>
      </c>
      <c r="K395" s="17">
        <v>30</v>
      </c>
    </row>
    <row r="396" spans="10:11" x14ac:dyDescent="0.3">
      <c r="J396" s="7" t="s">
        <v>382</v>
      </c>
      <c r="K396" s="17">
        <v>87</v>
      </c>
    </row>
    <row r="397" spans="10:11" x14ac:dyDescent="0.3">
      <c r="J397" s="7" t="s">
        <v>383</v>
      </c>
      <c r="K397" s="17">
        <v>24</v>
      </c>
    </row>
    <row r="398" spans="10:11" x14ac:dyDescent="0.3">
      <c r="J398" s="7" t="s">
        <v>384</v>
      </c>
      <c r="K398" s="17">
        <v>13</v>
      </c>
    </row>
    <row r="399" spans="10:11" x14ac:dyDescent="0.3">
      <c r="J399" s="7" t="s">
        <v>385</v>
      </c>
      <c r="K399" s="17">
        <v>24</v>
      </c>
    </row>
    <row r="400" spans="10:11" x14ac:dyDescent="0.3">
      <c r="J400" s="7" t="s">
        <v>386</v>
      </c>
      <c r="K400" s="17">
        <v>90</v>
      </c>
    </row>
    <row r="401" spans="10:11" x14ac:dyDescent="0.3">
      <c r="J401" s="7" t="s">
        <v>387</v>
      </c>
      <c r="K401" s="17">
        <v>34</v>
      </c>
    </row>
    <row r="402" spans="10:11" x14ac:dyDescent="0.3">
      <c r="J402" s="7" t="s">
        <v>388</v>
      </c>
      <c r="K402" s="17">
        <v>24</v>
      </c>
    </row>
    <row r="403" spans="10:11" x14ac:dyDescent="0.3">
      <c r="J403" s="7" t="s">
        <v>389</v>
      </c>
      <c r="K403" s="17">
        <v>12</v>
      </c>
    </row>
    <row r="404" spans="10:11" x14ac:dyDescent="0.3">
      <c r="J404" s="7" t="s">
        <v>390</v>
      </c>
      <c r="K404" s="17">
        <v>24</v>
      </c>
    </row>
    <row r="405" spans="10:11" x14ac:dyDescent="0.3">
      <c r="J405" s="7" t="s">
        <v>391</v>
      </c>
      <c r="K405" s="17">
        <v>30</v>
      </c>
    </row>
    <row r="406" spans="10:11" x14ac:dyDescent="0.3">
      <c r="J406" s="7" t="s">
        <v>392</v>
      </c>
      <c r="K406" s="17">
        <v>65</v>
      </c>
    </row>
    <row r="407" spans="10:11" x14ac:dyDescent="0.3">
      <c r="J407" s="7" t="s">
        <v>393</v>
      </c>
      <c r="K407" s="17">
        <v>24</v>
      </c>
    </row>
    <row r="408" spans="10:11" x14ac:dyDescent="0.3">
      <c r="J408" s="7" t="s">
        <v>394</v>
      </c>
      <c r="K408" s="17">
        <v>33</v>
      </c>
    </row>
    <row r="409" spans="10:11" x14ac:dyDescent="0.3">
      <c r="J409" s="7" t="s">
        <v>395</v>
      </c>
      <c r="K409" s="17">
        <v>78</v>
      </c>
    </row>
    <row r="410" spans="10:11" x14ac:dyDescent="0.3">
      <c r="J410" s="7" t="s">
        <v>396</v>
      </c>
      <c r="K410" s="17">
        <v>76</v>
      </c>
    </row>
    <row r="411" spans="10:11" x14ac:dyDescent="0.3">
      <c r="J411" s="7" t="s">
        <v>397</v>
      </c>
      <c r="K411" s="17">
        <v>24</v>
      </c>
    </row>
    <row r="412" spans="10:11" x14ac:dyDescent="0.3">
      <c r="J412" s="7" t="s">
        <v>398</v>
      </c>
      <c r="K412" s="17">
        <v>65</v>
      </c>
    </row>
    <row r="413" spans="10:11" x14ac:dyDescent="0.3">
      <c r="J413" s="7" t="s">
        <v>399</v>
      </c>
      <c r="K413" s="17">
        <v>24</v>
      </c>
    </row>
    <row r="414" spans="10:11" x14ac:dyDescent="0.3">
      <c r="J414" s="7" t="s">
        <v>400</v>
      </c>
      <c r="K414" s="17">
        <v>54</v>
      </c>
    </row>
    <row r="415" spans="10:11" x14ac:dyDescent="0.3">
      <c r="J415" s="7" t="s">
        <v>401</v>
      </c>
      <c r="K415" s="17">
        <v>43</v>
      </c>
    </row>
    <row r="416" spans="10:11" x14ac:dyDescent="0.3">
      <c r="J416" s="7" t="s">
        <v>402</v>
      </c>
      <c r="K416" s="17">
        <v>32</v>
      </c>
    </row>
    <row r="417" spans="10:11" x14ac:dyDescent="0.3">
      <c r="J417" s="7" t="s">
        <v>403</v>
      </c>
      <c r="K417" s="17">
        <v>21</v>
      </c>
    </row>
    <row r="418" spans="10:11" x14ac:dyDescent="0.3">
      <c r="J418" s="7" t="s">
        <v>404</v>
      </c>
      <c r="K418" s="17">
        <v>21</v>
      </c>
    </row>
    <row r="419" spans="10:11" x14ac:dyDescent="0.3">
      <c r="J419" s="7" t="s">
        <v>405</v>
      </c>
      <c r="K419" s="17">
        <v>98</v>
      </c>
    </row>
    <row r="420" spans="10:11" x14ac:dyDescent="0.3">
      <c r="J420" s="7" t="s">
        <v>406</v>
      </c>
      <c r="K420" s="17">
        <v>87</v>
      </c>
    </row>
    <row r="421" spans="10:11" x14ac:dyDescent="0.3">
      <c r="J421" s="7" t="s">
        <v>407</v>
      </c>
      <c r="K421" s="17">
        <v>24</v>
      </c>
    </row>
    <row r="422" spans="10:11" x14ac:dyDescent="0.3">
      <c r="J422" s="7" t="s">
        <v>408</v>
      </c>
      <c r="K422" s="17">
        <v>76</v>
      </c>
    </row>
    <row r="423" spans="10:11" x14ac:dyDescent="0.3">
      <c r="J423" s="7" t="s">
        <v>409</v>
      </c>
      <c r="K423" s="17">
        <v>56</v>
      </c>
    </row>
    <row r="424" spans="10:11" x14ac:dyDescent="0.3">
      <c r="J424" s="7" t="s">
        <v>410</v>
      </c>
      <c r="K424" s="17">
        <v>65</v>
      </c>
    </row>
    <row r="425" spans="10:11" x14ac:dyDescent="0.3">
      <c r="J425" s="7" t="s">
        <v>411</v>
      </c>
      <c r="K425" s="17">
        <v>24</v>
      </c>
    </row>
    <row r="426" spans="10:11" x14ac:dyDescent="0.3">
      <c r="J426" s="7" t="s">
        <v>412</v>
      </c>
      <c r="K426" s="17">
        <v>54</v>
      </c>
    </row>
    <row r="427" spans="10:11" x14ac:dyDescent="0.3">
      <c r="J427" s="7" t="s">
        <v>413</v>
      </c>
      <c r="K427" s="17">
        <v>43</v>
      </c>
    </row>
    <row r="428" spans="10:11" x14ac:dyDescent="0.3">
      <c r="J428" s="7" t="s">
        <v>414</v>
      </c>
      <c r="K428" s="17">
        <v>24</v>
      </c>
    </row>
    <row r="429" spans="10:11" x14ac:dyDescent="0.3">
      <c r="J429" s="7" t="s">
        <v>415</v>
      </c>
      <c r="K429" s="17">
        <v>34</v>
      </c>
    </row>
    <row r="430" spans="10:11" x14ac:dyDescent="0.3">
      <c r="J430" s="7" t="s">
        <v>416</v>
      </c>
      <c r="K430" s="17">
        <v>12</v>
      </c>
    </row>
    <row r="431" spans="10:11" x14ac:dyDescent="0.3">
      <c r="J431" s="7" t="s">
        <v>417</v>
      </c>
      <c r="K431" s="17">
        <v>23</v>
      </c>
    </row>
    <row r="432" spans="10:11" x14ac:dyDescent="0.3">
      <c r="J432" s="7" t="s">
        <v>418</v>
      </c>
      <c r="K432" s="17">
        <v>34</v>
      </c>
    </row>
    <row r="433" spans="10:11" x14ac:dyDescent="0.3">
      <c r="J433" s="7" t="s">
        <v>419</v>
      </c>
      <c r="K433" s="17">
        <v>45</v>
      </c>
    </row>
    <row r="434" spans="10:11" x14ac:dyDescent="0.3">
      <c r="J434" s="7" t="s">
        <v>420</v>
      </c>
      <c r="K434" s="17">
        <v>56</v>
      </c>
    </row>
    <row r="435" spans="10:11" x14ac:dyDescent="0.3">
      <c r="J435" s="7" t="s">
        <v>421</v>
      </c>
      <c r="K435" s="17">
        <v>67</v>
      </c>
    </row>
    <row r="436" spans="10:11" x14ac:dyDescent="0.3">
      <c r="J436" s="7" t="s">
        <v>422</v>
      </c>
      <c r="K436" s="17">
        <v>78</v>
      </c>
    </row>
    <row r="437" spans="10:11" x14ac:dyDescent="0.3">
      <c r="J437" s="7" t="s">
        <v>423</v>
      </c>
      <c r="K437" s="17">
        <v>89</v>
      </c>
    </row>
    <row r="438" spans="10:11" x14ac:dyDescent="0.3">
      <c r="J438" s="7" t="s">
        <v>424</v>
      </c>
      <c r="K438" s="17">
        <v>9</v>
      </c>
    </row>
    <row r="439" spans="10:11" x14ac:dyDescent="0.3">
      <c r="J439" s="7" t="s">
        <v>425</v>
      </c>
      <c r="K439" s="17">
        <v>90</v>
      </c>
    </row>
    <row r="440" spans="10:11" x14ac:dyDescent="0.3">
      <c r="J440" s="7" t="s">
        <v>426</v>
      </c>
      <c r="K440" s="17">
        <v>8</v>
      </c>
    </row>
    <row r="441" spans="10:11" x14ac:dyDescent="0.3">
      <c r="J441" s="7" t="s">
        <v>427</v>
      </c>
      <c r="K441" s="17">
        <v>87</v>
      </c>
    </row>
    <row r="442" spans="10:11" x14ac:dyDescent="0.3">
      <c r="J442" s="7" t="s">
        <v>428</v>
      </c>
      <c r="K442" s="17">
        <v>7</v>
      </c>
    </row>
    <row r="443" spans="10:11" x14ac:dyDescent="0.3">
      <c r="J443" s="7" t="s">
        <v>429</v>
      </c>
      <c r="K443" s="17">
        <v>76</v>
      </c>
    </row>
    <row r="444" spans="10:11" x14ac:dyDescent="0.3">
      <c r="J444" s="7" t="s">
        <v>430</v>
      </c>
      <c r="K444" s="17">
        <v>67</v>
      </c>
    </row>
    <row r="445" spans="10:11" x14ac:dyDescent="0.3">
      <c r="J445" s="7" t="s">
        <v>431</v>
      </c>
      <c r="K445" s="17">
        <v>67</v>
      </c>
    </row>
    <row r="446" spans="10:11" x14ac:dyDescent="0.3">
      <c r="J446" s="7" t="s">
        <v>432</v>
      </c>
      <c r="K446" s="17">
        <v>65</v>
      </c>
    </row>
    <row r="447" spans="10:11" x14ac:dyDescent="0.3">
      <c r="J447" s="7" t="s">
        <v>433</v>
      </c>
      <c r="K447" s="17">
        <v>56</v>
      </c>
    </row>
    <row r="448" spans="10:11" x14ac:dyDescent="0.3">
      <c r="J448" s="7" t="s">
        <v>434</v>
      </c>
      <c r="K448" s="17">
        <v>54</v>
      </c>
    </row>
    <row r="449" spans="10:11" x14ac:dyDescent="0.3">
      <c r="J449" s="7" t="s">
        <v>435</v>
      </c>
      <c r="K449" s="17">
        <v>43</v>
      </c>
    </row>
    <row r="450" spans="10:11" x14ac:dyDescent="0.3">
      <c r="J450" s="7" t="s">
        <v>436</v>
      </c>
      <c r="K450" s="17">
        <v>32</v>
      </c>
    </row>
    <row r="451" spans="10:11" x14ac:dyDescent="0.3">
      <c r="J451" s="7" t="s">
        <v>437</v>
      </c>
      <c r="K451" s="17">
        <v>45</v>
      </c>
    </row>
    <row r="452" spans="10:11" x14ac:dyDescent="0.3">
      <c r="J452" s="7" t="s">
        <v>438</v>
      </c>
      <c r="K452" s="17">
        <v>56</v>
      </c>
    </row>
    <row r="453" spans="10:11" x14ac:dyDescent="0.3">
      <c r="J453" s="7" t="s">
        <v>439</v>
      </c>
      <c r="K453" s="17">
        <v>78</v>
      </c>
    </row>
    <row r="454" spans="10:11" x14ac:dyDescent="0.3">
      <c r="J454" s="7" t="s">
        <v>440</v>
      </c>
      <c r="K454" s="17">
        <v>87</v>
      </c>
    </row>
    <row r="455" spans="10:11" x14ac:dyDescent="0.3">
      <c r="J455" s="7" t="s">
        <v>441</v>
      </c>
      <c r="K455" s="17">
        <v>67</v>
      </c>
    </row>
    <row r="456" spans="10:11" x14ac:dyDescent="0.3">
      <c r="J456" s="7" t="s">
        <v>442</v>
      </c>
      <c r="K456" s="17">
        <v>57</v>
      </c>
    </row>
    <row r="457" spans="10:11" x14ac:dyDescent="0.3">
      <c r="J457" s="7" t="s">
        <v>443</v>
      </c>
      <c r="K457" s="17">
        <v>54</v>
      </c>
    </row>
    <row r="458" spans="10:11" x14ac:dyDescent="0.3">
      <c r="J458" s="7" t="s">
        <v>444</v>
      </c>
      <c r="K458" s="17">
        <v>56</v>
      </c>
    </row>
    <row r="459" spans="10:11" x14ac:dyDescent="0.3">
      <c r="J459" s="7" t="s">
        <v>445</v>
      </c>
      <c r="K459" s="17">
        <v>45</v>
      </c>
    </row>
    <row r="460" spans="10:11" x14ac:dyDescent="0.3">
      <c r="J460" s="7" t="s">
        <v>446</v>
      </c>
      <c r="K460" s="17">
        <v>78</v>
      </c>
    </row>
    <row r="461" spans="10:11" x14ac:dyDescent="0.3">
      <c r="J461" s="7" t="s">
        <v>447</v>
      </c>
      <c r="K461" s="17">
        <v>67</v>
      </c>
    </row>
    <row r="462" spans="10:11" x14ac:dyDescent="0.3">
      <c r="J462" s="7" t="s">
        <v>448</v>
      </c>
      <c r="K462" s="17">
        <v>4</v>
      </c>
    </row>
    <row r="463" spans="10:11" x14ac:dyDescent="0.3">
      <c r="J463" s="7" t="s">
        <v>449</v>
      </c>
      <c r="K463" s="17">
        <v>56</v>
      </c>
    </row>
    <row r="464" spans="10:11" x14ac:dyDescent="0.3">
      <c r="J464" s="7" t="s">
        <v>450</v>
      </c>
      <c r="K464" s="17">
        <v>54</v>
      </c>
    </row>
    <row r="465" spans="10:11" x14ac:dyDescent="0.3">
      <c r="J465" s="7" t="s">
        <v>451</v>
      </c>
      <c r="K465" s="17">
        <v>34</v>
      </c>
    </row>
    <row r="466" spans="10:11" x14ac:dyDescent="0.3">
      <c r="J466" s="7" t="s">
        <v>452</v>
      </c>
      <c r="K466" s="17">
        <v>45</v>
      </c>
    </row>
    <row r="467" spans="10:11" x14ac:dyDescent="0.3">
      <c r="J467" s="7" t="s">
        <v>453</v>
      </c>
      <c r="K467" s="17">
        <v>56</v>
      </c>
    </row>
    <row r="468" spans="10:11" x14ac:dyDescent="0.3">
      <c r="J468" s="7" t="s">
        <v>454</v>
      </c>
      <c r="K468" s="17">
        <v>65</v>
      </c>
    </row>
    <row r="469" spans="10:11" x14ac:dyDescent="0.3">
      <c r="J469" s="7" t="s">
        <v>455</v>
      </c>
      <c r="K469" s="17">
        <v>67</v>
      </c>
    </row>
    <row r="470" spans="10:11" x14ac:dyDescent="0.3">
      <c r="J470" s="7" t="s">
        <v>456</v>
      </c>
      <c r="K470" s="17">
        <v>78</v>
      </c>
    </row>
    <row r="471" spans="10:11" x14ac:dyDescent="0.3">
      <c r="J471" s="7" t="s">
        <v>457</v>
      </c>
      <c r="K471" s="17">
        <v>89</v>
      </c>
    </row>
    <row r="472" spans="10:11" x14ac:dyDescent="0.3">
      <c r="J472" s="7" t="s">
        <v>458</v>
      </c>
      <c r="K472" s="17">
        <v>87</v>
      </c>
    </row>
    <row r="473" spans="10:11" x14ac:dyDescent="0.3">
      <c r="J473" s="7" t="s">
        <v>459</v>
      </c>
      <c r="K473" s="17">
        <v>23</v>
      </c>
    </row>
    <row r="474" spans="10:11" x14ac:dyDescent="0.3">
      <c r="J474" s="7" t="s">
        <v>460</v>
      </c>
      <c r="K474" s="17">
        <v>24</v>
      </c>
    </row>
    <row r="475" spans="10:11" x14ac:dyDescent="0.3">
      <c r="J475" s="7" t="s">
        <v>461</v>
      </c>
      <c r="K475" s="17">
        <v>29</v>
      </c>
    </row>
    <row r="476" spans="10:11" x14ac:dyDescent="0.3">
      <c r="J476" s="7" t="s">
        <v>462</v>
      </c>
      <c r="K476" s="17">
        <v>30</v>
      </c>
    </row>
    <row r="477" spans="10:11" x14ac:dyDescent="0.3">
      <c r="J477" s="7" t="s">
        <v>463</v>
      </c>
      <c r="K477" s="17">
        <v>31</v>
      </c>
    </row>
    <row r="478" spans="10:11" x14ac:dyDescent="0.3">
      <c r="J478" s="7" t="s">
        <v>464</v>
      </c>
      <c r="K478" s="17">
        <v>45</v>
      </c>
    </row>
    <row r="479" spans="10:11" x14ac:dyDescent="0.3">
      <c r="J479" s="7" t="s">
        <v>465</v>
      </c>
      <c r="K479" s="17">
        <v>44</v>
      </c>
    </row>
    <row r="480" spans="10:11" x14ac:dyDescent="0.3">
      <c r="J480" s="7" t="s">
        <v>466</v>
      </c>
      <c r="K480" s="17">
        <v>56</v>
      </c>
    </row>
    <row r="481" spans="10:11" x14ac:dyDescent="0.3">
      <c r="J481" s="7" t="s">
        <v>467</v>
      </c>
      <c r="K481" s="17">
        <v>67</v>
      </c>
    </row>
    <row r="482" spans="10:11" x14ac:dyDescent="0.3">
      <c r="J482" s="7" t="s">
        <v>468</v>
      </c>
      <c r="K482" s="17">
        <v>56</v>
      </c>
    </row>
    <row r="483" spans="10:11" x14ac:dyDescent="0.3">
      <c r="J483" s="7" t="s">
        <v>469</v>
      </c>
      <c r="K483" s="17">
        <v>23</v>
      </c>
    </row>
    <row r="484" spans="10:11" x14ac:dyDescent="0.3">
      <c r="J484" s="7" t="s">
        <v>470</v>
      </c>
      <c r="K484" s="17">
        <v>25</v>
      </c>
    </row>
    <row r="485" spans="10:11" x14ac:dyDescent="0.3">
      <c r="J485" s="7" t="s">
        <v>471</v>
      </c>
      <c r="K485" s="17">
        <v>67</v>
      </c>
    </row>
    <row r="486" spans="10:11" x14ac:dyDescent="0.3">
      <c r="J486" s="7" t="s">
        <v>472</v>
      </c>
      <c r="K486" s="17">
        <v>54</v>
      </c>
    </row>
    <row r="487" spans="10:11" x14ac:dyDescent="0.3">
      <c r="J487" s="7" t="s">
        <v>473</v>
      </c>
      <c r="K487" s="17">
        <v>78</v>
      </c>
    </row>
    <row r="488" spans="10:11" x14ac:dyDescent="0.3">
      <c r="J488" s="7" t="s">
        <v>474</v>
      </c>
      <c r="K488" s="17">
        <v>67</v>
      </c>
    </row>
    <row r="489" spans="10:11" x14ac:dyDescent="0.3">
      <c r="J489" s="7" t="s">
        <v>475</v>
      </c>
      <c r="K489" s="17">
        <v>56</v>
      </c>
    </row>
    <row r="490" spans="10:11" x14ac:dyDescent="0.3">
      <c r="J490" s="7" t="s">
        <v>476</v>
      </c>
      <c r="K490" s="17">
        <v>54</v>
      </c>
    </row>
    <row r="491" spans="10:11" x14ac:dyDescent="0.3">
      <c r="J491" s="7" t="s">
        <v>477</v>
      </c>
      <c r="K491" s="17">
        <v>55</v>
      </c>
    </row>
    <row r="492" spans="10:11" x14ac:dyDescent="0.3">
      <c r="J492" s="7" t="s">
        <v>478</v>
      </c>
      <c r="K492" s="17">
        <v>67</v>
      </c>
    </row>
    <row r="493" spans="10:11" x14ac:dyDescent="0.3">
      <c r="J493" s="7" t="s">
        <v>479</v>
      </c>
      <c r="K493" s="17">
        <v>65</v>
      </c>
    </row>
    <row r="494" spans="10:11" x14ac:dyDescent="0.3">
      <c r="J494" s="7" t="s">
        <v>480</v>
      </c>
      <c r="K494" s="17">
        <v>34</v>
      </c>
    </row>
    <row r="495" spans="10:11" x14ac:dyDescent="0.3">
      <c r="J495" s="7" t="s">
        <v>481</v>
      </c>
      <c r="K495" s="17">
        <v>45</v>
      </c>
    </row>
    <row r="496" spans="10:11" x14ac:dyDescent="0.3">
      <c r="J496" s="7" t="s">
        <v>482</v>
      </c>
      <c r="K496" s="17">
        <v>56</v>
      </c>
    </row>
    <row r="497" spans="10:11" x14ac:dyDescent="0.3">
      <c r="J497" s="7" t="s">
        <v>483</v>
      </c>
      <c r="K497" s="17">
        <v>67</v>
      </c>
    </row>
    <row r="498" spans="10:11" x14ac:dyDescent="0.3">
      <c r="J498" s="7" t="s">
        <v>484</v>
      </c>
      <c r="K498" s="17">
        <v>45</v>
      </c>
    </row>
    <row r="499" spans="10:11" x14ac:dyDescent="0.3">
      <c r="J499" s="7" t="s">
        <v>485</v>
      </c>
      <c r="K499" s="17">
        <v>46</v>
      </c>
    </row>
    <row r="500" spans="10:11" x14ac:dyDescent="0.3">
      <c r="J500" s="7" t="s">
        <v>486</v>
      </c>
      <c r="K500" s="17">
        <v>34</v>
      </c>
    </row>
    <row r="501" spans="10:11" x14ac:dyDescent="0.3">
      <c r="J501" s="7" t="s">
        <v>487</v>
      </c>
      <c r="K501" s="17">
        <v>33</v>
      </c>
    </row>
    <row r="502" spans="10:11" x14ac:dyDescent="0.3">
      <c r="J502" s="7" t="s">
        <v>488</v>
      </c>
      <c r="K502" s="17">
        <v>39</v>
      </c>
    </row>
    <row r="503" spans="10:11" x14ac:dyDescent="0.3">
      <c r="J503" s="7" t="s">
        <v>489</v>
      </c>
      <c r="K503" s="17">
        <v>56</v>
      </c>
    </row>
    <row r="504" spans="10:11" x14ac:dyDescent="0.3">
      <c r="J504" s="7" t="s">
        <v>490</v>
      </c>
      <c r="K504" s="17">
        <v>23</v>
      </c>
    </row>
    <row r="505" spans="10:11" x14ac:dyDescent="0.3">
      <c r="J505" s="7" t="s">
        <v>491</v>
      </c>
      <c r="K505" s="17">
        <v>34</v>
      </c>
    </row>
    <row r="506" spans="10:11" x14ac:dyDescent="0.3">
      <c r="J506" s="7" t="s">
        <v>492</v>
      </c>
      <c r="K506" s="17">
        <v>45</v>
      </c>
    </row>
    <row r="507" spans="10:11" x14ac:dyDescent="0.3">
      <c r="J507" s="7" t="s">
        <v>493</v>
      </c>
      <c r="K507" s="17">
        <v>43</v>
      </c>
    </row>
    <row r="508" spans="10:11" x14ac:dyDescent="0.3">
      <c r="J508" s="7" t="s">
        <v>494</v>
      </c>
      <c r="K508" s="17">
        <v>32</v>
      </c>
    </row>
    <row r="509" spans="10:11" x14ac:dyDescent="0.3">
      <c r="J509" s="7" t="s">
        <v>495</v>
      </c>
      <c r="K509" s="17">
        <v>12</v>
      </c>
    </row>
    <row r="510" spans="10:11" x14ac:dyDescent="0.3">
      <c r="J510" s="7" t="s">
        <v>496</v>
      </c>
      <c r="K510" s="17">
        <v>23</v>
      </c>
    </row>
    <row r="511" spans="10:11" x14ac:dyDescent="0.3">
      <c r="J511" s="7" t="s">
        <v>497</v>
      </c>
      <c r="K511" s="17">
        <v>34</v>
      </c>
    </row>
    <row r="512" spans="10:11" x14ac:dyDescent="0.3">
      <c r="J512" s="7" t="s">
        <v>498</v>
      </c>
      <c r="K512" s="17">
        <v>32</v>
      </c>
    </row>
    <row r="513" spans="10:11" x14ac:dyDescent="0.3">
      <c r="J513" s="7" t="s">
        <v>499</v>
      </c>
      <c r="K513" s="17">
        <v>12</v>
      </c>
    </row>
    <row r="514" spans="10:11" x14ac:dyDescent="0.3">
      <c r="J514" s="7" t="s">
        <v>500</v>
      </c>
      <c r="K514" s="17">
        <v>23</v>
      </c>
    </row>
    <row r="515" spans="10:11" x14ac:dyDescent="0.3">
      <c r="J515" s="7" t="s">
        <v>501</v>
      </c>
      <c r="K515" s="17">
        <v>32</v>
      </c>
    </row>
    <row r="516" spans="10:11" x14ac:dyDescent="0.3">
      <c r="J516" s="7" t="s">
        <v>502</v>
      </c>
      <c r="K516" s="17">
        <v>34</v>
      </c>
    </row>
    <row r="517" spans="10:11" x14ac:dyDescent="0.3">
      <c r="J517" s="7" t="s">
        <v>503</v>
      </c>
      <c r="K517" s="17">
        <v>32</v>
      </c>
    </row>
    <row r="518" spans="10:11" x14ac:dyDescent="0.3">
      <c r="J518" s="7" t="s">
        <v>504</v>
      </c>
      <c r="K518" s="17">
        <v>12</v>
      </c>
    </row>
    <row r="519" spans="10:11" x14ac:dyDescent="0.3">
      <c r="J519" s="7" t="s">
        <v>505</v>
      </c>
      <c r="K519" s="17">
        <v>13</v>
      </c>
    </row>
    <row r="520" spans="10:11" x14ac:dyDescent="0.3">
      <c r="J520" s="7" t="s">
        <v>506</v>
      </c>
      <c r="K520" s="17">
        <v>24</v>
      </c>
    </row>
    <row r="521" spans="10:11" x14ac:dyDescent="0.3">
      <c r="J521" s="7" t="s">
        <v>507</v>
      </c>
      <c r="K521" s="17">
        <v>54</v>
      </c>
    </row>
    <row r="522" spans="10:11" x14ac:dyDescent="0.3">
      <c r="J522" s="7" t="s">
        <v>508</v>
      </c>
      <c r="K522" s="17">
        <v>3</v>
      </c>
    </row>
    <row r="523" spans="10:11" x14ac:dyDescent="0.3">
      <c r="J523" s="7" t="s">
        <v>509</v>
      </c>
      <c r="K523" s="17">
        <v>45</v>
      </c>
    </row>
    <row r="524" spans="10:11" x14ac:dyDescent="0.3">
      <c r="J524" s="7" t="s">
        <v>510</v>
      </c>
      <c r="K524" s="17">
        <v>44</v>
      </c>
    </row>
    <row r="525" spans="10:11" x14ac:dyDescent="0.3">
      <c r="J525" s="7" t="s">
        <v>511</v>
      </c>
      <c r="K525" s="17">
        <v>34</v>
      </c>
    </row>
    <row r="526" spans="10:11" x14ac:dyDescent="0.3">
      <c r="J526" s="7" t="s">
        <v>512</v>
      </c>
      <c r="K526" s="17">
        <v>21</v>
      </c>
    </row>
    <row r="527" spans="10:11" x14ac:dyDescent="0.3">
      <c r="J527" s="7" t="s">
        <v>513</v>
      </c>
      <c r="K527" s="17">
        <v>45</v>
      </c>
    </row>
    <row r="528" spans="10:11" x14ac:dyDescent="0.3">
      <c r="J528" s="7" t="s">
        <v>514</v>
      </c>
      <c r="K528" s="17">
        <v>44</v>
      </c>
    </row>
    <row r="529" spans="10:11" x14ac:dyDescent="0.3">
      <c r="J529" s="7" t="s">
        <v>515</v>
      </c>
      <c r="K529" s="17">
        <v>45</v>
      </c>
    </row>
    <row r="530" spans="10:11" x14ac:dyDescent="0.3">
      <c r="J530" s="7" t="s">
        <v>516</v>
      </c>
      <c r="K530" s="17">
        <v>46</v>
      </c>
    </row>
    <row r="531" spans="10:11" x14ac:dyDescent="0.3">
      <c r="J531" s="7" t="s">
        <v>517</v>
      </c>
      <c r="K531" s="17">
        <v>57</v>
      </c>
    </row>
    <row r="532" spans="10:11" x14ac:dyDescent="0.3">
      <c r="J532" s="7" t="s">
        <v>518</v>
      </c>
      <c r="K532" s="17">
        <v>78</v>
      </c>
    </row>
    <row r="533" spans="10:11" x14ac:dyDescent="0.3">
      <c r="J533" s="7" t="s">
        <v>519</v>
      </c>
      <c r="K533" s="17">
        <v>67</v>
      </c>
    </row>
    <row r="534" spans="10:11" x14ac:dyDescent="0.3">
      <c r="J534" s="7" t="s">
        <v>520</v>
      </c>
      <c r="K534" s="17">
        <v>23</v>
      </c>
    </row>
    <row r="535" spans="10:11" x14ac:dyDescent="0.3">
      <c r="J535" s="7" t="s">
        <v>521</v>
      </c>
      <c r="K535" s="17">
        <v>12</v>
      </c>
    </row>
    <row r="536" spans="10:11" x14ac:dyDescent="0.3">
      <c r="J536" s="7" t="s">
        <v>522</v>
      </c>
      <c r="K536" s="17">
        <v>4</v>
      </c>
    </row>
    <row r="537" spans="10:11" x14ac:dyDescent="0.3">
      <c r="J537" s="7" t="s">
        <v>523</v>
      </c>
      <c r="K537" s="17">
        <v>34</v>
      </c>
    </row>
    <row r="538" spans="10:11" x14ac:dyDescent="0.3">
      <c r="J538" s="7" t="s">
        <v>524</v>
      </c>
      <c r="K538" s="17">
        <v>23</v>
      </c>
    </row>
    <row r="539" spans="10:11" x14ac:dyDescent="0.3">
      <c r="J539" s="7" t="s">
        <v>525</v>
      </c>
      <c r="K539" s="17">
        <v>12</v>
      </c>
    </row>
    <row r="540" spans="10:11" x14ac:dyDescent="0.3">
      <c r="J540" s="7" t="s">
        <v>526</v>
      </c>
      <c r="K540" s="17">
        <v>45</v>
      </c>
    </row>
    <row r="541" spans="10:11" x14ac:dyDescent="0.3">
      <c r="J541" s="7" t="s">
        <v>527</v>
      </c>
      <c r="K541" s="17">
        <v>34</v>
      </c>
    </row>
    <row r="542" spans="10:11" x14ac:dyDescent="0.3">
      <c r="J542" s="7" t="s">
        <v>528</v>
      </c>
      <c r="K542" s="17">
        <v>23</v>
      </c>
    </row>
    <row r="543" spans="10:11" x14ac:dyDescent="0.3">
      <c r="J543" s="7" t="s">
        <v>529</v>
      </c>
      <c r="K543" s="17">
        <v>45</v>
      </c>
    </row>
    <row r="544" spans="10:11" x14ac:dyDescent="0.3">
      <c r="J544" s="7" t="s">
        <v>530</v>
      </c>
      <c r="K544" s="17">
        <v>34</v>
      </c>
    </row>
    <row r="545" spans="10:11" x14ac:dyDescent="0.3">
      <c r="J545" s="7" t="s">
        <v>531</v>
      </c>
      <c r="K545" s="17">
        <v>45</v>
      </c>
    </row>
    <row r="546" spans="10:11" x14ac:dyDescent="0.3">
      <c r="J546" s="7" t="s">
        <v>532</v>
      </c>
      <c r="K546" s="17">
        <v>45</v>
      </c>
    </row>
    <row r="547" spans="10:11" x14ac:dyDescent="0.3">
      <c r="J547" s="7" t="s">
        <v>533</v>
      </c>
      <c r="K547" s="17">
        <v>56</v>
      </c>
    </row>
    <row r="548" spans="10:11" x14ac:dyDescent="0.3">
      <c r="J548" s="7" t="s">
        <v>534</v>
      </c>
      <c r="K548" s="17">
        <v>67</v>
      </c>
    </row>
    <row r="549" spans="10:11" x14ac:dyDescent="0.3">
      <c r="J549" s="7" t="s">
        <v>535</v>
      </c>
      <c r="K549" s="17">
        <v>67</v>
      </c>
    </row>
    <row r="550" spans="10:11" x14ac:dyDescent="0.3">
      <c r="J550" s="7" t="s">
        <v>536</v>
      </c>
      <c r="K550" s="17">
        <v>78</v>
      </c>
    </row>
    <row r="551" spans="10:11" x14ac:dyDescent="0.3">
      <c r="J551" s="7" t="s">
        <v>537</v>
      </c>
      <c r="K551" s="17">
        <v>78</v>
      </c>
    </row>
    <row r="552" spans="10:11" x14ac:dyDescent="0.3">
      <c r="J552" s="7" t="s">
        <v>538</v>
      </c>
      <c r="K552" s="17">
        <v>76</v>
      </c>
    </row>
    <row r="553" spans="10:11" x14ac:dyDescent="0.3">
      <c r="J553" s="7" t="s">
        <v>539</v>
      </c>
      <c r="K553" s="17">
        <v>54</v>
      </c>
    </row>
    <row r="554" spans="10:11" x14ac:dyDescent="0.3">
      <c r="J554" s="7" t="s">
        <v>540</v>
      </c>
      <c r="K554" s="17">
        <v>43</v>
      </c>
    </row>
    <row r="555" spans="10:11" x14ac:dyDescent="0.3">
      <c r="J555" s="7" t="s">
        <v>541</v>
      </c>
      <c r="K555" s="17">
        <v>32</v>
      </c>
    </row>
    <row r="556" spans="10:11" x14ac:dyDescent="0.3">
      <c r="J556" s="7" t="s">
        <v>542</v>
      </c>
      <c r="K556" s="17">
        <v>12</v>
      </c>
    </row>
    <row r="557" spans="10:11" x14ac:dyDescent="0.3">
      <c r="J557" s="7" t="s">
        <v>543</v>
      </c>
      <c r="K557" s="17">
        <v>45</v>
      </c>
    </row>
    <row r="558" spans="10:11" x14ac:dyDescent="0.3">
      <c r="J558" s="7" t="s">
        <v>544</v>
      </c>
      <c r="K558" s="17">
        <v>67</v>
      </c>
    </row>
    <row r="559" spans="10:11" x14ac:dyDescent="0.3">
      <c r="J559" s="7" t="s">
        <v>545</v>
      </c>
      <c r="K559" s="17">
        <v>65</v>
      </c>
    </row>
    <row r="560" spans="10:11" x14ac:dyDescent="0.3">
      <c r="J560" s="7" t="s">
        <v>546</v>
      </c>
      <c r="K560" s="17">
        <v>54</v>
      </c>
    </row>
    <row r="561" spans="10:11" x14ac:dyDescent="0.3">
      <c r="J561" s="7" t="s">
        <v>547</v>
      </c>
      <c r="K561" s="17">
        <v>43</v>
      </c>
    </row>
    <row r="562" spans="10:11" x14ac:dyDescent="0.3">
      <c r="J562" s="7" t="s">
        <v>548</v>
      </c>
      <c r="K562" s="17">
        <v>23</v>
      </c>
    </row>
    <row r="563" spans="10:11" x14ac:dyDescent="0.3">
      <c r="J563" s="7" t="s">
        <v>549</v>
      </c>
      <c r="K563" s="17">
        <v>34</v>
      </c>
    </row>
    <row r="564" spans="10:11" x14ac:dyDescent="0.3">
      <c r="J564" s="7" t="s">
        <v>550</v>
      </c>
      <c r="K564" s="17">
        <v>56</v>
      </c>
    </row>
    <row r="565" spans="10:11" x14ac:dyDescent="0.3">
      <c r="J565" s="7" t="s">
        <v>551</v>
      </c>
      <c r="K565" s="17">
        <v>55</v>
      </c>
    </row>
    <row r="566" spans="10:11" x14ac:dyDescent="0.3">
      <c r="J566" s="7" t="s">
        <v>552</v>
      </c>
      <c r="K566" s="17">
        <v>44</v>
      </c>
    </row>
    <row r="567" spans="10:11" x14ac:dyDescent="0.3">
      <c r="J567" s="7" t="s">
        <v>553</v>
      </c>
      <c r="K567" s="17">
        <v>33</v>
      </c>
    </row>
    <row r="568" spans="10:11" x14ac:dyDescent="0.3">
      <c r="J568" s="7" t="s">
        <v>554</v>
      </c>
      <c r="K568" s="17">
        <v>22</v>
      </c>
    </row>
    <row r="569" spans="10:11" x14ac:dyDescent="0.3">
      <c r="J569" s="7" t="s">
        <v>555</v>
      </c>
      <c r="K569" s="17">
        <v>33</v>
      </c>
    </row>
    <row r="570" spans="10:11" x14ac:dyDescent="0.3">
      <c r="J570" s="7" t="s">
        <v>556</v>
      </c>
      <c r="K570" s="17">
        <v>44</v>
      </c>
    </row>
    <row r="571" spans="10:11" x14ac:dyDescent="0.3">
      <c r="J571" s="7" t="s">
        <v>557</v>
      </c>
      <c r="K571" s="17">
        <v>66</v>
      </c>
    </row>
    <row r="572" spans="10:11" x14ac:dyDescent="0.3">
      <c r="J572" s="7" t="s">
        <v>558</v>
      </c>
      <c r="K572" s="17">
        <v>4</v>
      </c>
    </row>
    <row r="573" spans="10:11" x14ac:dyDescent="0.3">
      <c r="J573" s="7" t="s">
        <v>559</v>
      </c>
      <c r="K573" s="17">
        <v>77</v>
      </c>
    </row>
    <row r="574" spans="10:11" x14ac:dyDescent="0.3">
      <c r="J574" s="7" t="s">
        <v>560</v>
      </c>
      <c r="K574" s="17">
        <v>5</v>
      </c>
    </row>
    <row r="575" spans="10:11" x14ac:dyDescent="0.3">
      <c r="J575" s="7" t="s">
        <v>561</v>
      </c>
      <c r="K575" s="17">
        <v>45</v>
      </c>
    </row>
    <row r="576" spans="10:11" x14ac:dyDescent="0.3">
      <c r="J576" s="7" t="s">
        <v>562</v>
      </c>
      <c r="K576" s="17">
        <v>46</v>
      </c>
    </row>
    <row r="577" spans="10:11" x14ac:dyDescent="0.3">
      <c r="J577" s="7" t="s">
        <v>563</v>
      </c>
      <c r="K577" s="17">
        <v>35</v>
      </c>
    </row>
    <row r="578" spans="10:11" x14ac:dyDescent="0.3">
      <c r="J578" s="7" t="s">
        <v>564</v>
      </c>
      <c r="K578" s="17">
        <v>46</v>
      </c>
    </row>
    <row r="579" spans="10:11" x14ac:dyDescent="0.3">
      <c r="J579" s="7" t="s">
        <v>565</v>
      </c>
      <c r="K579" s="17">
        <v>32</v>
      </c>
    </row>
    <row r="580" spans="10:11" x14ac:dyDescent="0.3">
      <c r="J580" s="7" t="s">
        <v>566</v>
      </c>
      <c r="K580" s="17">
        <v>32</v>
      </c>
    </row>
    <row r="581" spans="10:11" x14ac:dyDescent="0.3">
      <c r="J581" s="7" t="s">
        <v>567</v>
      </c>
      <c r="K581" s="17">
        <v>23</v>
      </c>
    </row>
    <row r="582" spans="10:11" x14ac:dyDescent="0.3">
      <c r="J582" s="7" t="s">
        <v>568</v>
      </c>
      <c r="K582" s="17">
        <v>12</v>
      </c>
    </row>
    <row r="583" spans="10:11" x14ac:dyDescent="0.3">
      <c r="J583" s="7" t="s">
        <v>569</v>
      </c>
      <c r="K583" s="17">
        <v>21</v>
      </c>
    </row>
    <row r="584" spans="10:11" x14ac:dyDescent="0.3">
      <c r="J584" s="7" t="s">
        <v>570</v>
      </c>
      <c r="K584" s="17">
        <v>23</v>
      </c>
    </row>
    <row r="585" spans="10:11" x14ac:dyDescent="0.3">
      <c r="J585" s="7" t="s">
        <v>571</v>
      </c>
      <c r="K585" s="17">
        <v>34</v>
      </c>
    </row>
    <row r="586" spans="10:11" x14ac:dyDescent="0.3">
      <c r="J586" s="7" t="s">
        <v>572</v>
      </c>
      <c r="K586" s="17">
        <v>45</v>
      </c>
    </row>
    <row r="587" spans="10:11" x14ac:dyDescent="0.3">
      <c r="J587" s="7" t="s">
        <v>573</v>
      </c>
      <c r="K587" s="17">
        <v>45</v>
      </c>
    </row>
    <row r="588" spans="10:11" x14ac:dyDescent="0.3">
      <c r="J588" s="7" t="s">
        <v>574</v>
      </c>
      <c r="K588" s="17">
        <v>43</v>
      </c>
    </row>
    <row r="589" spans="10:11" x14ac:dyDescent="0.3">
      <c r="J589" s="7" t="s">
        <v>575</v>
      </c>
      <c r="K589" s="17">
        <v>56</v>
      </c>
    </row>
    <row r="590" spans="10:11" x14ac:dyDescent="0.3">
      <c r="J590" s="7" t="s">
        <v>576</v>
      </c>
      <c r="K590" s="17">
        <v>65</v>
      </c>
    </row>
    <row r="591" spans="10:11" x14ac:dyDescent="0.3">
      <c r="J591" s="7" t="s">
        <v>577</v>
      </c>
      <c r="K591" s="17">
        <v>65</v>
      </c>
    </row>
    <row r="592" spans="10:11" x14ac:dyDescent="0.3">
      <c r="J592" s="7" t="s">
        <v>578</v>
      </c>
      <c r="K592" s="17">
        <v>56</v>
      </c>
    </row>
    <row r="593" spans="10:11" x14ac:dyDescent="0.3">
      <c r="J593" s="7" t="s">
        <v>579</v>
      </c>
      <c r="K593" s="17">
        <v>54</v>
      </c>
    </row>
    <row r="594" spans="10:11" x14ac:dyDescent="0.3">
      <c r="J594" s="7" t="s">
        <v>580</v>
      </c>
      <c r="K594" s="17">
        <v>43</v>
      </c>
    </row>
    <row r="595" spans="10:11" x14ac:dyDescent="0.3">
      <c r="J595" s="7" t="s">
        <v>581</v>
      </c>
      <c r="K595" s="17">
        <v>32</v>
      </c>
    </row>
    <row r="596" spans="10:11" x14ac:dyDescent="0.3">
      <c r="J596" s="7" t="s">
        <v>582</v>
      </c>
      <c r="K596" s="17">
        <v>32</v>
      </c>
    </row>
    <row r="597" spans="10:11" x14ac:dyDescent="0.3">
      <c r="J597" s="7" t="s">
        <v>583</v>
      </c>
      <c r="K597" s="17">
        <v>43</v>
      </c>
    </row>
    <row r="598" spans="10:11" x14ac:dyDescent="0.3">
      <c r="J598" s="7" t="s">
        <v>584</v>
      </c>
      <c r="K598" s="17">
        <v>56</v>
      </c>
    </row>
    <row r="599" spans="10:11" x14ac:dyDescent="0.3">
      <c r="J599" s="7" t="s">
        <v>585</v>
      </c>
      <c r="K599" s="17">
        <v>78</v>
      </c>
    </row>
    <row r="600" spans="10:11" x14ac:dyDescent="0.3">
      <c r="J600" s="7" t="s">
        <v>586</v>
      </c>
      <c r="K600" s="17">
        <v>89</v>
      </c>
    </row>
    <row r="601" spans="10:11" x14ac:dyDescent="0.3">
      <c r="J601" s="7" t="s">
        <v>587</v>
      </c>
      <c r="K601" s="17">
        <v>87</v>
      </c>
    </row>
    <row r="602" spans="10:11" x14ac:dyDescent="0.3">
      <c r="J602" s="7" t="s">
        <v>588</v>
      </c>
      <c r="K602" s="17">
        <v>12</v>
      </c>
    </row>
    <row r="603" spans="10:11" x14ac:dyDescent="0.3">
      <c r="J603" s="7" t="s">
        <v>589</v>
      </c>
      <c r="K603" s="17">
        <v>34</v>
      </c>
    </row>
    <row r="604" spans="10:11" x14ac:dyDescent="0.3">
      <c r="J604" s="7" t="s">
        <v>590</v>
      </c>
      <c r="K604" s="17">
        <v>56</v>
      </c>
    </row>
    <row r="605" spans="10:11" x14ac:dyDescent="0.3">
      <c r="J605" s="7" t="s">
        <v>591</v>
      </c>
      <c r="K605" s="17">
        <v>45</v>
      </c>
    </row>
    <row r="606" spans="10:11" x14ac:dyDescent="0.3">
      <c r="J606" s="7" t="s">
        <v>592</v>
      </c>
      <c r="K606" s="17">
        <v>43</v>
      </c>
    </row>
    <row r="607" spans="10:11" x14ac:dyDescent="0.3">
      <c r="J607" s="7" t="s">
        <v>593</v>
      </c>
      <c r="K607" s="17">
        <v>43</v>
      </c>
    </row>
    <row r="608" spans="10:11" x14ac:dyDescent="0.3">
      <c r="J608" s="7" t="s">
        <v>594</v>
      </c>
      <c r="K608" s="17">
        <v>45</v>
      </c>
    </row>
    <row r="609" spans="10:11" x14ac:dyDescent="0.3">
      <c r="J609" s="7" t="s">
        <v>595</v>
      </c>
      <c r="K609" s="17">
        <v>56</v>
      </c>
    </row>
    <row r="610" spans="10:11" x14ac:dyDescent="0.3">
      <c r="J610" s="7" t="s">
        <v>596</v>
      </c>
      <c r="K610" s="17">
        <v>56</v>
      </c>
    </row>
    <row r="611" spans="10:11" x14ac:dyDescent="0.3">
      <c r="J611" s="7" t="s">
        <v>597</v>
      </c>
      <c r="K611" s="17">
        <v>67</v>
      </c>
    </row>
    <row r="612" spans="10:11" x14ac:dyDescent="0.3">
      <c r="J612" s="7" t="s">
        <v>598</v>
      </c>
      <c r="K612" s="17">
        <v>78</v>
      </c>
    </row>
    <row r="613" spans="10:11" x14ac:dyDescent="0.3">
      <c r="J613" s="7" t="s">
        <v>599</v>
      </c>
      <c r="K613" s="17">
        <v>87</v>
      </c>
    </row>
    <row r="614" spans="10:11" x14ac:dyDescent="0.3">
      <c r="J614" s="7" t="s">
        <v>600</v>
      </c>
      <c r="K614" s="17">
        <v>65</v>
      </c>
    </row>
    <row r="615" spans="10:11" x14ac:dyDescent="0.3">
      <c r="J615" s="7" t="s">
        <v>601</v>
      </c>
      <c r="K615" s="17">
        <v>45</v>
      </c>
    </row>
    <row r="616" spans="10:11" x14ac:dyDescent="0.3">
      <c r="J616" s="7" t="s">
        <v>602</v>
      </c>
      <c r="K616" s="17">
        <v>43</v>
      </c>
    </row>
    <row r="617" spans="10:11" x14ac:dyDescent="0.3">
      <c r="J617" s="7" t="s">
        <v>603</v>
      </c>
      <c r="K617" s="17">
        <v>23</v>
      </c>
    </row>
    <row r="618" spans="10:11" x14ac:dyDescent="0.3">
      <c r="J618" s="7" t="s">
        <v>604</v>
      </c>
      <c r="K618" s="17">
        <v>56</v>
      </c>
    </row>
    <row r="619" spans="10:11" x14ac:dyDescent="0.3">
      <c r="J619" s="7" t="s">
        <v>605</v>
      </c>
      <c r="K619" s="17">
        <v>34</v>
      </c>
    </row>
    <row r="620" spans="10:11" x14ac:dyDescent="0.3">
      <c r="J620" s="7" t="s">
        <v>606</v>
      </c>
      <c r="K620" s="17">
        <v>35</v>
      </c>
    </row>
    <row r="621" spans="10:11" x14ac:dyDescent="0.3">
      <c r="J621" s="7" t="s">
        <v>607</v>
      </c>
      <c r="K621" s="17">
        <v>45</v>
      </c>
    </row>
    <row r="622" spans="10:11" x14ac:dyDescent="0.3">
      <c r="J622" s="7" t="s">
        <v>608</v>
      </c>
      <c r="K622" s="17">
        <v>34</v>
      </c>
    </row>
    <row r="623" spans="10:11" x14ac:dyDescent="0.3">
      <c r="J623" s="7" t="s">
        <v>609</v>
      </c>
      <c r="K623" s="17">
        <v>23</v>
      </c>
    </row>
    <row r="624" spans="10:11" x14ac:dyDescent="0.3">
      <c r="J624" s="7" t="s">
        <v>610</v>
      </c>
      <c r="K624" s="17">
        <v>34</v>
      </c>
    </row>
    <row r="625" spans="10:11" x14ac:dyDescent="0.3">
      <c r="J625" s="7" t="s">
        <v>611</v>
      </c>
      <c r="K625" s="17">
        <v>56</v>
      </c>
    </row>
    <row r="626" spans="10:11" x14ac:dyDescent="0.3">
      <c r="J626" s="7" t="s">
        <v>612</v>
      </c>
      <c r="K626" s="17">
        <v>45</v>
      </c>
    </row>
    <row r="627" spans="10:11" x14ac:dyDescent="0.3">
      <c r="J627" s="7" t="s">
        <v>613</v>
      </c>
      <c r="K627" s="17">
        <v>34</v>
      </c>
    </row>
    <row r="628" spans="10:11" x14ac:dyDescent="0.3">
      <c r="J628" s="7" t="s">
        <v>614</v>
      </c>
      <c r="K628" s="17">
        <v>23</v>
      </c>
    </row>
    <row r="629" spans="10:11" x14ac:dyDescent="0.3">
      <c r="J629" s="7" t="s">
        <v>615</v>
      </c>
      <c r="K629" s="17">
        <v>45</v>
      </c>
    </row>
    <row r="630" spans="10:11" x14ac:dyDescent="0.3">
      <c r="J630" s="7" t="s">
        <v>616</v>
      </c>
      <c r="K630" s="17">
        <v>34</v>
      </c>
    </row>
    <row r="631" spans="10:11" x14ac:dyDescent="0.3">
      <c r="J631" s="7" t="s">
        <v>617</v>
      </c>
      <c r="K631" s="17">
        <v>23</v>
      </c>
    </row>
    <row r="632" spans="10:11" x14ac:dyDescent="0.3">
      <c r="J632" s="7" t="s">
        <v>618</v>
      </c>
      <c r="K632" s="17">
        <v>34</v>
      </c>
    </row>
    <row r="633" spans="10:11" x14ac:dyDescent="0.3">
      <c r="J633" s="7" t="s">
        <v>619</v>
      </c>
      <c r="K633" s="17">
        <v>45</v>
      </c>
    </row>
    <row r="634" spans="10:11" x14ac:dyDescent="0.3">
      <c r="J634" s="7" t="s">
        <v>620</v>
      </c>
      <c r="K634" s="17">
        <v>56</v>
      </c>
    </row>
    <row r="635" spans="10:11" x14ac:dyDescent="0.3">
      <c r="J635" s="7" t="s">
        <v>621</v>
      </c>
      <c r="K635" s="17">
        <v>56</v>
      </c>
    </row>
    <row r="636" spans="10:11" x14ac:dyDescent="0.3">
      <c r="J636" s="7" t="s">
        <v>622</v>
      </c>
      <c r="K636" s="17">
        <v>67</v>
      </c>
    </row>
    <row r="637" spans="10:11" x14ac:dyDescent="0.3">
      <c r="J637" s="7" t="s">
        <v>623</v>
      </c>
      <c r="K637" s="17">
        <v>78</v>
      </c>
    </row>
    <row r="638" spans="10:11" x14ac:dyDescent="0.3">
      <c r="J638" s="7" t="s">
        <v>624</v>
      </c>
      <c r="K638" s="17">
        <v>67</v>
      </c>
    </row>
    <row r="639" spans="10:11" x14ac:dyDescent="0.3">
      <c r="J639" s="7" t="s">
        <v>625</v>
      </c>
      <c r="K639" s="17">
        <v>56</v>
      </c>
    </row>
    <row r="640" spans="10:11" x14ac:dyDescent="0.3">
      <c r="J640" s="7" t="s">
        <v>626</v>
      </c>
      <c r="K640" s="17">
        <v>45</v>
      </c>
    </row>
    <row r="641" spans="10:11" x14ac:dyDescent="0.3">
      <c r="J641" s="7" t="s">
        <v>627</v>
      </c>
      <c r="K641" s="17">
        <v>43</v>
      </c>
    </row>
    <row r="642" spans="10:11" x14ac:dyDescent="0.3">
      <c r="J642" s="7" t="s">
        <v>628</v>
      </c>
      <c r="K642" s="17">
        <v>23</v>
      </c>
    </row>
    <row r="643" spans="10:11" x14ac:dyDescent="0.3">
      <c r="J643" s="7" t="s">
        <v>629</v>
      </c>
      <c r="K643" s="17">
        <v>23</v>
      </c>
    </row>
    <row r="644" spans="10:11" x14ac:dyDescent="0.3">
      <c r="J644" s="7" t="s">
        <v>630</v>
      </c>
      <c r="K644" s="17">
        <v>34</v>
      </c>
    </row>
    <row r="645" spans="10:11" x14ac:dyDescent="0.3">
      <c r="J645" s="7" t="s">
        <v>631</v>
      </c>
      <c r="K645" s="17">
        <v>45</v>
      </c>
    </row>
    <row r="646" spans="10:11" x14ac:dyDescent="0.3">
      <c r="J646" s="7" t="s">
        <v>632</v>
      </c>
      <c r="K646" s="17">
        <v>45</v>
      </c>
    </row>
    <row r="647" spans="10:11" x14ac:dyDescent="0.3">
      <c r="J647" s="7" t="s">
        <v>633</v>
      </c>
      <c r="K647" s="17">
        <v>56</v>
      </c>
    </row>
    <row r="648" spans="10:11" x14ac:dyDescent="0.3">
      <c r="J648" s="7" t="s">
        <v>634</v>
      </c>
      <c r="K648" s="17">
        <v>56</v>
      </c>
    </row>
    <row r="649" spans="10:11" x14ac:dyDescent="0.3">
      <c r="J649" s="7" t="s">
        <v>635</v>
      </c>
      <c r="K649" s="17">
        <v>65</v>
      </c>
    </row>
    <row r="650" spans="10:11" x14ac:dyDescent="0.3">
      <c r="J650" s="7" t="s">
        <v>636</v>
      </c>
      <c r="K650" s="17">
        <v>54</v>
      </c>
    </row>
    <row r="651" spans="10:11" x14ac:dyDescent="0.3">
      <c r="J651" s="7" t="s">
        <v>637</v>
      </c>
      <c r="K651" s="17">
        <v>43</v>
      </c>
    </row>
    <row r="652" spans="10:11" x14ac:dyDescent="0.3">
      <c r="J652" s="7" t="s">
        <v>638</v>
      </c>
      <c r="K652" s="17">
        <v>42</v>
      </c>
    </row>
    <row r="653" spans="10:11" x14ac:dyDescent="0.3">
      <c r="J653" s="7" t="s">
        <v>639</v>
      </c>
      <c r="K653" s="17">
        <v>43</v>
      </c>
    </row>
    <row r="654" spans="10:11" x14ac:dyDescent="0.3">
      <c r="J654" s="7" t="s">
        <v>640</v>
      </c>
      <c r="K654" s="17">
        <v>41</v>
      </c>
    </row>
    <row r="655" spans="10:11" x14ac:dyDescent="0.3">
      <c r="J655" s="7" t="s">
        <v>641</v>
      </c>
      <c r="K655" s="17">
        <v>45</v>
      </c>
    </row>
    <row r="656" spans="10:11" x14ac:dyDescent="0.3">
      <c r="J656" s="7" t="s">
        <v>642</v>
      </c>
      <c r="K656" s="17">
        <v>54</v>
      </c>
    </row>
    <row r="657" spans="10:11" x14ac:dyDescent="0.3">
      <c r="J657" s="7" t="s">
        <v>643</v>
      </c>
      <c r="K657" s="17">
        <v>34</v>
      </c>
    </row>
    <row r="658" spans="10:11" x14ac:dyDescent="0.3">
      <c r="J658" s="7" t="s">
        <v>644</v>
      </c>
      <c r="K658" s="17">
        <v>32</v>
      </c>
    </row>
    <row r="659" spans="10:11" x14ac:dyDescent="0.3">
      <c r="J659" s="7" t="s">
        <v>645</v>
      </c>
      <c r="K659" s="17">
        <v>32</v>
      </c>
    </row>
    <row r="660" spans="10:11" x14ac:dyDescent="0.3">
      <c r="J660" s="7" t="s">
        <v>646</v>
      </c>
      <c r="K660" s="17">
        <v>31</v>
      </c>
    </row>
    <row r="661" spans="10:11" x14ac:dyDescent="0.3">
      <c r="J661" s="7" t="s">
        <v>647</v>
      </c>
      <c r="K661" s="17">
        <v>35</v>
      </c>
    </row>
    <row r="662" spans="10:11" x14ac:dyDescent="0.3">
      <c r="J662" s="7" t="s">
        <v>648</v>
      </c>
      <c r="K662" s="17">
        <v>36</v>
      </c>
    </row>
    <row r="663" spans="10:11" x14ac:dyDescent="0.3">
      <c r="J663" s="7" t="s">
        <v>649</v>
      </c>
      <c r="K663" s="17">
        <v>78</v>
      </c>
    </row>
    <row r="664" spans="10:11" x14ac:dyDescent="0.3">
      <c r="J664" s="7" t="s">
        <v>650</v>
      </c>
      <c r="K664" s="17">
        <v>67</v>
      </c>
    </row>
    <row r="665" spans="10:11" x14ac:dyDescent="0.3">
      <c r="J665" s="7" t="s">
        <v>651</v>
      </c>
      <c r="K665" s="17">
        <v>65</v>
      </c>
    </row>
    <row r="666" spans="10:11" x14ac:dyDescent="0.3">
      <c r="J666" s="7" t="s">
        <v>652</v>
      </c>
      <c r="K666" s="17">
        <v>56</v>
      </c>
    </row>
    <row r="667" spans="10:11" x14ac:dyDescent="0.3">
      <c r="J667" s="7" t="s">
        <v>653</v>
      </c>
      <c r="K667" s="17">
        <v>45</v>
      </c>
    </row>
    <row r="668" spans="10:11" x14ac:dyDescent="0.3">
      <c r="J668" s="7" t="s">
        <v>654</v>
      </c>
      <c r="K668" s="17">
        <v>43</v>
      </c>
    </row>
    <row r="669" spans="10:11" x14ac:dyDescent="0.3">
      <c r="J669" s="7" t="s">
        <v>655</v>
      </c>
      <c r="K669" s="17">
        <v>42</v>
      </c>
    </row>
    <row r="670" spans="10:11" x14ac:dyDescent="0.3">
      <c r="J670" s="7" t="s">
        <v>656</v>
      </c>
      <c r="K670" s="17">
        <v>41</v>
      </c>
    </row>
    <row r="671" spans="10:11" x14ac:dyDescent="0.3">
      <c r="J671" s="7" t="s">
        <v>657</v>
      </c>
      <c r="K671" s="17">
        <v>34</v>
      </c>
    </row>
    <row r="672" spans="10:11" x14ac:dyDescent="0.3">
      <c r="J672" s="7" t="s">
        <v>658</v>
      </c>
      <c r="K672" s="17">
        <v>56</v>
      </c>
    </row>
    <row r="673" spans="10:11" x14ac:dyDescent="0.3">
      <c r="J673" s="7" t="s">
        <v>659</v>
      </c>
      <c r="K673" s="17">
        <v>78</v>
      </c>
    </row>
    <row r="674" spans="10:11" x14ac:dyDescent="0.3">
      <c r="J674" s="7" t="s">
        <v>660</v>
      </c>
      <c r="K674" s="17">
        <v>90</v>
      </c>
    </row>
    <row r="675" spans="10:11" x14ac:dyDescent="0.3">
      <c r="J675" s="7" t="s">
        <v>661</v>
      </c>
      <c r="K675" s="17">
        <v>12</v>
      </c>
    </row>
    <row r="676" spans="10:11" x14ac:dyDescent="0.3">
      <c r="J676" s="7" t="s">
        <v>662</v>
      </c>
      <c r="K676" s="17">
        <v>34</v>
      </c>
    </row>
    <row r="677" spans="10:11" x14ac:dyDescent="0.3">
      <c r="J677" s="7" t="s">
        <v>663</v>
      </c>
      <c r="K677" s="17">
        <v>56</v>
      </c>
    </row>
    <row r="678" spans="10:11" x14ac:dyDescent="0.3">
      <c r="J678" s="7" t="s">
        <v>664</v>
      </c>
      <c r="K678" s="17">
        <v>43</v>
      </c>
    </row>
    <row r="679" spans="10:11" x14ac:dyDescent="0.3">
      <c r="J679" s="7" t="s">
        <v>665</v>
      </c>
      <c r="K679" s="17">
        <v>32</v>
      </c>
    </row>
    <row r="680" spans="10:11" x14ac:dyDescent="0.3">
      <c r="J680" s="7" t="s">
        <v>666</v>
      </c>
      <c r="K680" s="17">
        <v>12</v>
      </c>
    </row>
    <row r="681" spans="10:11" x14ac:dyDescent="0.3">
      <c r="J681" s="7" t="s">
        <v>667</v>
      </c>
      <c r="K681" s="17">
        <v>34</v>
      </c>
    </row>
    <row r="682" spans="10:11" x14ac:dyDescent="0.3">
      <c r="J682" s="7" t="s">
        <v>668</v>
      </c>
      <c r="K682" s="17">
        <v>56</v>
      </c>
    </row>
    <row r="683" spans="10:11" x14ac:dyDescent="0.3">
      <c r="J683" s="7" t="s">
        <v>669</v>
      </c>
      <c r="K683" s="17">
        <v>34</v>
      </c>
    </row>
    <row r="684" spans="10:11" x14ac:dyDescent="0.3">
      <c r="J684" s="7" t="s">
        <v>670</v>
      </c>
      <c r="K684" s="17">
        <v>12</v>
      </c>
    </row>
    <row r="685" spans="10:11" x14ac:dyDescent="0.3">
      <c r="J685" s="7" t="s">
        <v>671</v>
      </c>
      <c r="K685" s="17">
        <v>34</v>
      </c>
    </row>
    <row r="686" spans="10:11" x14ac:dyDescent="0.3">
      <c r="J686" s="7" t="s">
        <v>672</v>
      </c>
      <c r="K686" s="17">
        <v>12</v>
      </c>
    </row>
    <row r="687" spans="10:11" x14ac:dyDescent="0.3">
      <c r="J687" s="7" t="s">
        <v>673</v>
      </c>
      <c r="K687" s="17">
        <v>34</v>
      </c>
    </row>
    <row r="688" spans="10:11" x14ac:dyDescent="0.3">
      <c r="J688" s="7" t="s">
        <v>674</v>
      </c>
      <c r="K688" s="17">
        <v>45</v>
      </c>
    </row>
    <row r="689" spans="10:11" x14ac:dyDescent="0.3">
      <c r="J689" s="7" t="s">
        <v>675</v>
      </c>
      <c r="K689" s="17">
        <v>67</v>
      </c>
    </row>
    <row r="690" spans="10:11" x14ac:dyDescent="0.3">
      <c r="J690" s="7" t="s">
        <v>676</v>
      </c>
      <c r="K690" s="17">
        <v>78</v>
      </c>
    </row>
    <row r="691" spans="10:11" x14ac:dyDescent="0.3">
      <c r="J691" s="7" t="s">
        <v>677</v>
      </c>
      <c r="K691" s="17">
        <v>87</v>
      </c>
    </row>
    <row r="692" spans="10:11" x14ac:dyDescent="0.3">
      <c r="J692" s="7" t="s">
        <v>678</v>
      </c>
      <c r="K692" s="17">
        <v>23</v>
      </c>
    </row>
    <row r="693" spans="10:11" x14ac:dyDescent="0.3">
      <c r="J693" s="7" t="s">
        <v>679</v>
      </c>
      <c r="K693" s="17">
        <v>45</v>
      </c>
    </row>
    <row r="694" spans="10:11" x14ac:dyDescent="0.3">
      <c r="J694" s="7" t="s">
        <v>680</v>
      </c>
      <c r="K694" s="17">
        <v>12</v>
      </c>
    </row>
    <row r="695" spans="10:11" x14ac:dyDescent="0.3">
      <c r="J695" s="7" t="s">
        <v>681</v>
      </c>
      <c r="K695" s="17">
        <v>23</v>
      </c>
    </row>
    <row r="696" spans="10:11" x14ac:dyDescent="0.3">
      <c r="J696" s="7" t="s">
        <v>682</v>
      </c>
      <c r="K696" s="17">
        <v>45</v>
      </c>
    </row>
    <row r="697" spans="10:11" x14ac:dyDescent="0.3">
      <c r="J697" s="7" t="s">
        <v>683</v>
      </c>
      <c r="K697" s="17">
        <v>32</v>
      </c>
    </row>
    <row r="698" spans="10:11" x14ac:dyDescent="0.3">
      <c r="J698" s="7" t="s">
        <v>684</v>
      </c>
      <c r="K698" s="17">
        <v>45</v>
      </c>
    </row>
    <row r="699" spans="10:11" x14ac:dyDescent="0.3">
      <c r="J699" s="7" t="s">
        <v>685</v>
      </c>
      <c r="K699" s="17">
        <v>32</v>
      </c>
    </row>
    <row r="700" spans="10:11" x14ac:dyDescent="0.3">
      <c r="J700" s="7" t="s">
        <v>686</v>
      </c>
      <c r="K700" s="17">
        <v>45</v>
      </c>
    </row>
    <row r="701" spans="10:11" x14ac:dyDescent="0.3">
      <c r="J701" s="7" t="s">
        <v>687</v>
      </c>
      <c r="K701" s="17">
        <v>67</v>
      </c>
    </row>
    <row r="702" spans="10:11" x14ac:dyDescent="0.3">
      <c r="J702" s="7" t="s">
        <v>688</v>
      </c>
      <c r="K702" s="17">
        <v>65</v>
      </c>
    </row>
    <row r="703" spans="10:11" x14ac:dyDescent="0.3">
      <c r="J703" s="7" t="s">
        <v>689</v>
      </c>
      <c r="K703" s="17">
        <v>45</v>
      </c>
    </row>
    <row r="704" spans="10:11" x14ac:dyDescent="0.3">
      <c r="J704" s="7" t="s">
        <v>690</v>
      </c>
      <c r="K704" s="17">
        <v>34</v>
      </c>
    </row>
    <row r="705" spans="10:11" x14ac:dyDescent="0.3">
      <c r="J705" s="7" t="s">
        <v>691</v>
      </c>
      <c r="K705" s="17">
        <v>32</v>
      </c>
    </row>
    <row r="706" spans="10:11" x14ac:dyDescent="0.3">
      <c r="J706" s="7" t="s">
        <v>692</v>
      </c>
      <c r="K706" s="17">
        <v>31</v>
      </c>
    </row>
    <row r="707" spans="10:11" x14ac:dyDescent="0.3">
      <c r="J707" s="7" t="s">
        <v>693</v>
      </c>
      <c r="K707" s="17">
        <v>45</v>
      </c>
    </row>
    <row r="708" spans="10:11" x14ac:dyDescent="0.3">
      <c r="J708" s="7" t="s">
        <v>694</v>
      </c>
      <c r="K708" s="17">
        <v>43</v>
      </c>
    </row>
    <row r="709" spans="10:11" x14ac:dyDescent="0.3">
      <c r="J709" s="7" t="s">
        <v>695</v>
      </c>
      <c r="K709" s="17">
        <v>21</v>
      </c>
    </row>
    <row r="710" spans="10:11" x14ac:dyDescent="0.3">
      <c r="J710" s="7" t="s">
        <v>696</v>
      </c>
      <c r="K710" s="17">
        <v>45</v>
      </c>
    </row>
    <row r="711" spans="10:11" x14ac:dyDescent="0.3">
      <c r="J711" s="7" t="s">
        <v>697</v>
      </c>
      <c r="K711" s="17">
        <v>12</v>
      </c>
    </row>
    <row r="712" spans="10:11" x14ac:dyDescent="0.3">
      <c r="J712" s="7" t="s">
        <v>698</v>
      </c>
      <c r="K712" s="17">
        <v>13</v>
      </c>
    </row>
    <row r="713" spans="10:11" x14ac:dyDescent="0.3">
      <c r="J713" s="7" t="s">
        <v>699</v>
      </c>
      <c r="K713" s="17">
        <v>14</v>
      </c>
    </row>
    <row r="714" spans="10:11" x14ac:dyDescent="0.3">
      <c r="J714" s="7" t="s">
        <v>700</v>
      </c>
      <c r="K714" s="17">
        <v>15</v>
      </c>
    </row>
    <row r="715" spans="10:11" x14ac:dyDescent="0.3">
      <c r="J715" s="7" t="s">
        <v>701</v>
      </c>
      <c r="K715" s="17">
        <v>24</v>
      </c>
    </row>
    <row r="716" spans="10:11" x14ac:dyDescent="0.3">
      <c r="J716" s="7" t="s">
        <v>702</v>
      </c>
      <c r="K716" s="17">
        <v>35</v>
      </c>
    </row>
    <row r="717" spans="10:11" x14ac:dyDescent="0.3">
      <c r="J717" s="7" t="s">
        <v>703</v>
      </c>
      <c r="K717" s="17">
        <v>26</v>
      </c>
    </row>
    <row r="718" spans="10:11" x14ac:dyDescent="0.3">
      <c r="J718" s="7" t="s">
        <v>704</v>
      </c>
      <c r="K718" s="17">
        <v>27</v>
      </c>
    </row>
    <row r="719" spans="10:11" x14ac:dyDescent="0.3">
      <c r="J719" s="7" t="s">
        <v>705</v>
      </c>
      <c r="K719" s="17">
        <v>28</v>
      </c>
    </row>
    <row r="720" spans="10:11" x14ac:dyDescent="0.3">
      <c r="J720" s="7" t="s">
        <v>706</v>
      </c>
      <c r="K720" s="17">
        <v>29</v>
      </c>
    </row>
    <row r="721" spans="10:11" x14ac:dyDescent="0.3">
      <c r="J721" s="7" t="s">
        <v>707</v>
      </c>
      <c r="K721" s="17">
        <v>30</v>
      </c>
    </row>
    <row r="722" spans="10:11" x14ac:dyDescent="0.3">
      <c r="J722" s="7" t="s">
        <v>708</v>
      </c>
      <c r="K722" s="17">
        <v>20</v>
      </c>
    </row>
    <row r="723" spans="10:11" x14ac:dyDescent="0.3">
      <c r="J723" s="7" t="s">
        <v>709</v>
      </c>
      <c r="K723" s="17">
        <v>23</v>
      </c>
    </row>
    <row r="724" spans="10:11" x14ac:dyDescent="0.3">
      <c r="J724" s="7" t="s">
        <v>710</v>
      </c>
      <c r="K724" s="17">
        <v>87</v>
      </c>
    </row>
    <row r="725" spans="10:11" x14ac:dyDescent="0.3">
      <c r="J725" s="7" t="s">
        <v>711</v>
      </c>
      <c r="K725" s="17">
        <v>76</v>
      </c>
    </row>
    <row r="726" spans="10:11" x14ac:dyDescent="0.3">
      <c r="J726" s="7" t="s">
        <v>712</v>
      </c>
      <c r="K726" s="17">
        <v>65</v>
      </c>
    </row>
    <row r="727" spans="10:11" x14ac:dyDescent="0.3">
      <c r="J727" s="7" t="s">
        <v>713</v>
      </c>
      <c r="K727" s="17">
        <v>54</v>
      </c>
    </row>
    <row r="728" spans="10:11" x14ac:dyDescent="0.3">
      <c r="J728" s="7" t="s">
        <v>714</v>
      </c>
      <c r="K728" s="17">
        <v>53</v>
      </c>
    </row>
    <row r="729" spans="10:11" x14ac:dyDescent="0.3">
      <c r="J729" s="7" t="s">
        <v>715</v>
      </c>
      <c r="K729" s="17">
        <v>52</v>
      </c>
    </row>
    <row r="730" spans="10:11" x14ac:dyDescent="0.3">
      <c r="J730" s="7" t="s">
        <v>716</v>
      </c>
      <c r="K730" s="17">
        <v>51</v>
      </c>
    </row>
    <row r="731" spans="10:11" x14ac:dyDescent="0.3">
      <c r="J731" s="7" t="s">
        <v>717</v>
      </c>
      <c r="K731" s="17">
        <v>23</v>
      </c>
    </row>
    <row r="732" spans="10:11" x14ac:dyDescent="0.3">
      <c r="J732" s="7" t="s">
        <v>718</v>
      </c>
      <c r="K732" s="17">
        <v>45</v>
      </c>
    </row>
    <row r="733" spans="10:11" x14ac:dyDescent="0.3">
      <c r="J733" s="7" t="s">
        <v>719</v>
      </c>
      <c r="K733" s="17">
        <v>56</v>
      </c>
    </row>
    <row r="734" spans="10:11" x14ac:dyDescent="0.3">
      <c r="J734" s="7" t="s">
        <v>720</v>
      </c>
      <c r="K734" s="17">
        <v>54</v>
      </c>
    </row>
    <row r="735" spans="10:11" x14ac:dyDescent="0.3">
      <c r="J735" s="7" t="s">
        <v>721</v>
      </c>
      <c r="K735" s="17">
        <v>51</v>
      </c>
    </row>
    <row r="736" spans="10:11" x14ac:dyDescent="0.3">
      <c r="J736" s="7" t="s">
        <v>722</v>
      </c>
      <c r="K736" s="17">
        <v>54</v>
      </c>
    </row>
    <row r="737" spans="10:11" x14ac:dyDescent="0.3">
      <c r="J737" s="7" t="s">
        <v>723</v>
      </c>
      <c r="K737" s="17">
        <v>53</v>
      </c>
    </row>
    <row r="738" spans="10:11" x14ac:dyDescent="0.3">
      <c r="J738" s="7" t="s">
        <v>724</v>
      </c>
      <c r="K738" s="17">
        <v>52</v>
      </c>
    </row>
    <row r="739" spans="10:11" x14ac:dyDescent="0.3">
      <c r="J739" s="7" t="s">
        <v>725</v>
      </c>
      <c r="K739" s="17">
        <v>43</v>
      </c>
    </row>
    <row r="740" spans="10:11" x14ac:dyDescent="0.3">
      <c r="J740" s="7" t="s">
        <v>726</v>
      </c>
      <c r="K740" s="17">
        <v>42</v>
      </c>
    </row>
    <row r="741" spans="10:11" x14ac:dyDescent="0.3">
      <c r="J741" s="7" t="s">
        <v>727</v>
      </c>
      <c r="K741" s="17">
        <v>43</v>
      </c>
    </row>
    <row r="742" spans="10:11" x14ac:dyDescent="0.3">
      <c r="J742" s="7" t="s">
        <v>728</v>
      </c>
      <c r="K742" s="17">
        <v>45</v>
      </c>
    </row>
    <row r="743" spans="10:11" x14ac:dyDescent="0.3">
      <c r="J743" s="7" t="s">
        <v>729</v>
      </c>
      <c r="K743" s="17">
        <v>46</v>
      </c>
    </row>
    <row r="744" spans="10:11" x14ac:dyDescent="0.3">
      <c r="J744" s="7" t="s">
        <v>730</v>
      </c>
      <c r="K744" s="17">
        <v>54</v>
      </c>
    </row>
    <row r="745" spans="10:11" x14ac:dyDescent="0.3">
      <c r="J745" s="7" t="s">
        <v>731</v>
      </c>
      <c r="K745" s="17">
        <v>34</v>
      </c>
    </row>
    <row r="746" spans="10:11" x14ac:dyDescent="0.3">
      <c r="J746" s="7" t="s">
        <v>732</v>
      </c>
      <c r="K746" s="17">
        <v>23</v>
      </c>
    </row>
    <row r="747" spans="10:11" x14ac:dyDescent="0.3">
      <c r="J747" s="7" t="s">
        <v>733</v>
      </c>
      <c r="K747" s="17">
        <v>12</v>
      </c>
    </row>
    <row r="748" spans="10:11" x14ac:dyDescent="0.3">
      <c r="J748" s="7" t="s">
        <v>734</v>
      </c>
      <c r="K748" s="17">
        <v>23</v>
      </c>
    </row>
    <row r="749" spans="10:11" x14ac:dyDescent="0.3">
      <c r="J749" s="7" t="s">
        <v>735</v>
      </c>
      <c r="K749" s="17">
        <v>24</v>
      </c>
    </row>
    <row r="750" spans="10:11" x14ac:dyDescent="0.3">
      <c r="J750" s="7" t="s">
        <v>736</v>
      </c>
      <c r="K750" s="17">
        <v>25</v>
      </c>
    </row>
    <row r="751" spans="10:11" x14ac:dyDescent="0.3">
      <c r="J751" s="7" t="s">
        <v>737</v>
      </c>
      <c r="K751" s="17">
        <v>26</v>
      </c>
    </row>
    <row r="752" spans="10:11" x14ac:dyDescent="0.3">
      <c r="J752" s="7" t="s">
        <v>738</v>
      </c>
      <c r="K752" s="17">
        <v>27</v>
      </c>
    </row>
    <row r="753" spans="10:11" x14ac:dyDescent="0.3">
      <c r="J753" s="7" t="s">
        <v>739</v>
      </c>
      <c r="K753" s="17">
        <v>28</v>
      </c>
    </row>
    <row r="754" spans="10:11" x14ac:dyDescent="0.3">
      <c r="J754" s="7" t="s">
        <v>740</v>
      </c>
      <c r="K754" s="17">
        <v>47</v>
      </c>
    </row>
    <row r="755" spans="10:11" x14ac:dyDescent="0.3">
      <c r="J755" s="7" t="s">
        <v>741</v>
      </c>
      <c r="K755" s="17">
        <v>49</v>
      </c>
    </row>
    <row r="756" spans="10:11" x14ac:dyDescent="0.3">
      <c r="J756" s="7" t="s">
        <v>742</v>
      </c>
      <c r="K756" s="17">
        <v>40</v>
      </c>
    </row>
    <row r="757" spans="10:11" x14ac:dyDescent="0.3">
      <c r="J757" s="7" t="s">
        <v>743</v>
      </c>
      <c r="K757" s="17">
        <v>45</v>
      </c>
    </row>
    <row r="758" spans="10:11" x14ac:dyDescent="0.3">
      <c r="J758" s="7" t="s">
        <v>744</v>
      </c>
      <c r="K758" s="17">
        <v>46</v>
      </c>
    </row>
    <row r="759" spans="10:11" x14ac:dyDescent="0.3">
      <c r="J759" s="7" t="s">
        <v>745</v>
      </c>
      <c r="K759" s="17">
        <v>54</v>
      </c>
    </row>
    <row r="760" spans="10:11" x14ac:dyDescent="0.3">
      <c r="J760" s="7" t="s">
        <v>746</v>
      </c>
      <c r="K760" s="17">
        <v>43</v>
      </c>
    </row>
    <row r="761" spans="10:11" x14ac:dyDescent="0.3">
      <c r="J761" s="7" t="s">
        <v>747</v>
      </c>
      <c r="K761" s="17">
        <v>23</v>
      </c>
    </row>
    <row r="762" spans="10:11" x14ac:dyDescent="0.3">
      <c r="J762" s="7" t="s">
        <v>748</v>
      </c>
      <c r="K762" s="17">
        <v>21</v>
      </c>
    </row>
    <row r="763" spans="10:11" x14ac:dyDescent="0.3">
      <c r="J763" s="7" t="s">
        <v>749</v>
      </c>
      <c r="K763" s="17">
        <v>22</v>
      </c>
    </row>
    <row r="764" spans="10:11" x14ac:dyDescent="0.3">
      <c r="J764" s="7" t="s">
        <v>750</v>
      </c>
      <c r="K764" s="17">
        <v>33</v>
      </c>
    </row>
    <row r="765" spans="10:11" x14ac:dyDescent="0.3">
      <c r="J765" s="7" t="s">
        <v>751</v>
      </c>
      <c r="K765" s="17">
        <v>44</v>
      </c>
    </row>
    <row r="766" spans="10:11" x14ac:dyDescent="0.3">
      <c r="J766" s="7" t="s">
        <v>752</v>
      </c>
      <c r="K766" s="17">
        <v>22</v>
      </c>
    </row>
    <row r="767" spans="10:11" x14ac:dyDescent="0.3">
      <c r="J767" s="7" t="s">
        <v>753</v>
      </c>
      <c r="K767" s="17">
        <v>11</v>
      </c>
    </row>
    <row r="768" spans="10:11" x14ac:dyDescent="0.3">
      <c r="J768" s="7" t="s">
        <v>754</v>
      </c>
      <c r="K768" s="17">
        <v>22</v>
      </c>
    </row>
    <row r="769" spans="10:11" x14ac:dyDescent="0.3">
      <c r="J769" s="7" t="s">
        <v>755</v>
      </c>
      <c r="K769" s="17">
        <v>21</v>
      </c>
    </row>
    <row r="770" spans="10:11" x14ac:dyDescent="0.3">
      <c r="J770" s="7" t="s">
        <v>756</v>
      </c>
      <c r="K770" s="17">
        <v>11</v>
      </c>
    </row>
    <row r="771" spans="10:11" x14ac:dyDescent="0.3">
      <c r="J771" s="7" t="s">
        <v>757</v>
      </c>
      <c r="K771" s="17">
        <v>23</v>
      </c>
    </row>
    <row r="772" spans="10:11" x14ac:dyDescent="0.3">
      <c r="J772" s="7" t="s">
        <v>758</v>
      </c>
      <c r="K772" s="17">
        <v>24</v>
      </c>
    </row>
    <row r="773" spans="10:11" x14ac:dyDescent="0.3">
      <c r="J773" s="7" t="s">
        <v>759</v>
      </c>
      <c r="K773" s="17">
        <v>24</v>
      </c>
    </row>
    <row r="774" spans="10:11" x14ac:dyDescent="0.3">
      <c r="J774" s="7" t="s">
        <v>760</v>
      </c>
      <c r="K774" s="17">
        <v>25</v>
      </c>
    </row>
    <row r="775" spans="10:11" x14ac:dyDescent="0.3">
      <c r="J775" s="7" t="s">
        <v>761</v>
      </c>
      <c r="K775" s="17">
        <v>36</v>
      </c>
    </row>
    <row r="776" spans="10:11" x14ac:dyDescent="0.3">
      <c r="J776" s="7" t="s">
        <v>762</v>
      </c>
      <c r="K776" s="17">
        <v>34</v>
      </c>
    </row>
    <row r="777" spans="10:11" x14ac:dyDescent="0.3">
      <c r="J777" s="7" t="s">
        <v>763</v>
      </c>
      <c r="K777" s="17">
        <v>56</v>
      </c>
    </row>
    <row r="778" spans="10:11" x14ac:dyDescent="0.3">
      <c r="J778" s="7" t="s">
        <v>764</v>
      </c>
      <c r="K778" s="17">
        <v>55</v>
      </c>
    </row>
    <row r="779" spans="10:11" x14ac:dyDescent="0.3">
      <c r="J779" s="7" t="s">
        <v>765</v>
      </c>
      <c r="K779" s="17">
        <v>44</v>
      </c>
    </row>
    <row r="780" spans="10:11" x14ac:dyDescent="0.3">
      <c r="J780" s="7" t="s">
        <v>766</v>
      </c>
      <c r="K780" s="17">
        <v>66</v>
      </c>
    </row>
    <row r="781" spans="10:11" x14ac:dyDescent="0.3">
      <c r="J781" s="7" t="s">
        <v>767</v>
      </c>
      <c r="K781" s="17">
        <v>77</v>
      </c>
    </row>
    <row r="782" spans="10:11" x14ac:dyDescent="0.3">
      <c r="J782" s="7" t="s">
        <v>768</v>
      </c>
      <c r="K782" s="17">
        <v>88</v>
      </c>
    </row>
    <row r="783" spans="10:11" x14ac:dyDescent="0.3">
      <c r="J783" s="7" t="s">
        <v>769</v>
      </c>
      <c r="K783" s="17">
        <v>99</v>
      </c>
    </row>
    <row r="784" spans="10:11" x14ac:dyDescent="0.3">
      <c r="J784" s="7" t="s">
        <v>770</v>
      </c>
      <c r="K784" s="17">
        <v>88</v>
      </c>
    </row>
    <row r="785" spans="10:11" x14ac:dyDescent="0.3">
      <c r="J785" s="7" t="s">
        <v>771</v>
      </c>
      <c r="K785" s="17">
        <v>77</v>
      </c>
    </row>
    <row r="786" spans="10:11" x14ac:dyDescent="0.3">
      <c r="J786" s="7" t="s">
        <v>772</v>
      </c>
      <c r="K786" s="17">
        <v>66</v>
      </c>
    </row>
    <row r="787" spans="10:11" x14ac:dyDescent="0.3">
      <c r="J787" s="7" t="s">
        <v>773</v>
      </c>
      <c r="K787" s="17">
        <v>56</v>
      </c>
    </row>
    <row r="788" spans="10:11" x14ac:dyDescent="0.3">
      <c r="J788" s="7" t="s">
        <v>774</v>
      </c>
      <c r="K788" s="17">
        <v>57</v>
      </c>
    </row>
    <row r="789" spans="10:11" x14ac:dyDescent="0.3">
      <c r="J789" s="7" t="s">
        <v>775</v>
      </c>
      <c r="K789" s="17">
        <v>58</v>
      </c>
    </row>
    <row r="790" spans="10:11" x14ac:dyDescent="0.3">
      <c r="J790" s="7" t="s">
        <v>776</v>
      </c>
      <c r="K790" s="17">
        <v>59</v>
      </c>
    </row>
    <row r="791" spans="10:11" x14ac:dyDescent="0.3">
      <c r="J791" s="7" t="s">
        <v>777</v>
      </c>
      <c r="K791" s="17">
        <v>45</v>
      </c>
    </row>
    <row r="792" spans="10:11" x14ac:dyDescent="0.3">
      <c r="J792" s="7" t="s">
        <v>778</v>
      </c>
      <c r="K792" s="17">
        <v>34</v>
      </c>
    </row>
    <row r="793" spans="10:11" x14ac:dyDescent="0.3">
      <c r="J793" s="7" t="s">
        <v>779</v>
      </c>
      <c r="K793" s="17">
        <v>32</v>
      </c>
    </row>
    <row r="794" spans="10:11" x14ac:dyDescent="0.3">
      <c r="J794" s="7" t="s">
        <v>780</v>
      </c>
      <c r="K794" s="17">
        <v>12</v>
      </c>
    </row>
    <row r="795" spans="10:11" x14ac:dyDescent="0.3">
      <c r="J795" s="7" t="s">
        <v>781</v>
      </c>
      <c r="K795" s="17">
        <v>34</v>
      </c>
    </row>
    <row r="796" spans="10:11" x14ac:dyDescent="0.3">
      <c r="J796" s="7" t="s">
        <v>782</v>
      </c>
      <c r="K796" s="17">
        <v>12</v>
      </c>
    </row>
    <row r="797" spans="10:11" x14ac:dyDescent="0.3">
      <c r="J797" s="7" t="s">
        <v>783</v>
      </c>
      <c r="K797" s="17">
        <v>44</v>
      </c>
    </row>
    <row r="798" spans="10:11" x14ac:dyDescent="0.3">
      <c r="J798" s="7" t="s">
        <v>784</v>
      </c>
      <c r="K798" s="17">
        <v>34</v>
      </c>
    </row>
    <row r="799" spans="10:11" x14ac:dyDescent="0.3">
      <c r="J799" s="7" t="s">
        <v>785</v>
      </c>
      <c r="K799" s="17">
        <v>56</v>
      </c>
    </row>
    <row r="800" spans="10:11" x14ac:dyDescent="0.3">
      <c r="J800" s="7" t="s">
        <v>786</v>
      </c>
      <c r="K800" s="17">
        <v>32</v>
      </c>
    </row>
    <row r="801" spans="10:11" x14ac:dyDescent="0.3">
      <c r="J801" s="7" t="s">
        <v>787</v>
      </c>
      <c r="K801" s="17">
        <v>45</v>
      </c>
    </row>
    <row r="802" spans="10:11" x14ac:dyDescent="0.3">
      <c r="J802" s="7" t="s">
        <v>788</v>
      </c>
      <c r="K802" s="17">
        <v>34</v>
      </c>
    </row>
    <row r="803" spans="10:11" x14ac:dyDescent="0.3">
      <c r="J803" s="7" t="s">
        <v>789</v>
      </c>
      <c r="K803" s="17">
        <v>32</v>
      </c>
    </row>
    <row r="804" spans="10:11" x14ac:dyDescent="0.3">
      <c r="J804" s="7" t="s">
        <v>790</v>
      </c>
      <c r="K804" s="17">
        <v>21</v>
      </c>
    </row>
    <row r="805" spans="10:11" x14ac:dyDescent="0.3">
      <c r="J805" s="7" t="s">
        <v>791</v>
      </c>
      <c r="K805" s="17">
        <v>32</v>
      </c>
    </row>
    <row r="806" spans="10:11" x14ac:dyDescent="0.3">
      <c r="J806" s="7" t="s">
        <v>792</v>
      </c>
      <c r="K806" s="17">
        <v>44</v>
      </c>
    </row>
    <row r="807" spans="10:11" x14ac:dyDescent="0.3">
      <c r="J807" s="7" t="s">
        <v>793</v>
      </c>
      <c r="K807" s="17">
        <v>54</v>
      </c>
    </row>
    <row r="808" spans="10:11" x14ac:dyDescent="0.3">
      <c r="J808" s="7" t="s">
        <v>794</v>
      </c>
      <c r="K808" s="17">
        <v>53</v>
      </c>
    </row>
    <row r="809" spans="10:11" x14ac:dyDescent="0.3">
      <c r="J809" s="7" t="s">
        <v>795</v>
      </c>
      <c r="K809" s="17">
        <v>43</v>
      </c>
    </row>
    <row r="810" spans="10:11" x14ac:dyDescent="0.3">
      <c r="J810" s="7" t="s">
        <v>796</v>
      </c>
      <c r="K810" s="17">
        <v>42</v>
      </c>
    </row>
    <row r="811" spans="10:11" x14ac:dyDescent="0.3">
      <c r="J811" s="7" t="s">
        <v>797</v>
      </c>
      <c r="K811" s="17">
        <v>41</v>
      </c>
    </row>
    <row r="812" spans="10:11" x14ac:dyDescent="0.3">
      <c r="J812" s="7" t="s">
        <v>798</v>
      </c>
      <c r="K812" s="17">
        <v>32</v>
      </c>
    </row>
    <row r="813" spans="10:11" x14ac:dyDescent="0.3">
      <c r="J813" s="7" t="s">
        <v>799</v>
      </c>
      <c r="K813" s="17">
        <v>34</v>
      </c>
    </row>
    <row r="814" spans="10:11" x14ac:dyDescent="0.3">
      <c r="J814" s="7" t="s">
        <v>800</v>
      </c>
      <c r="K814" s="17">
        <v>35</v>
      </c>
    </row>
    <row r="815" spans="10:11" x14ac:dyDescent="0.3">
      <c r="J815" s="7" t="s">
        <v>801</v>
      </c>
      <c r="K815" s="17">
        <v>36</v>
      </c>
    </row>
    <row r="816" spans="10:11" x14ac:dyDescent="0.3">
      <c r="J816" s="7" t="s">
        <v>802</v>
      </c>
      <c r="K816" s="17">
        <v>37</v>
      </c>
    </row>
    <row r="817" spans="10:11" x14ac:dyDescent="0.3">
      <c r="J817" s="7" t="s">
        <v>803</v>
      </c>
      <c r="K817" s="17">
        <v>39</v>
      </c>
    </row>
    <row r="818" spans="10:11" x14ac:dyDescent="0.3">
      <c r="J818" s="7" t="s">
        <v>804</v>
      </c>
      <c r="K818" s="17">
        <v>30</v>
      </c>
    </row>
    <row r="819" spans="10:11" x14ac:dyDescent="0.3">
      <c r="J819" s="7" t="s">
        <v>805</v>
      </c>
      <c r="K819" s="17">
        <v>33</v>
      </c>
    </row>
    <row r="820" spans="10:11" x14ac:dyDescent="0.3">
      <c r="J820" s="7" t="s">
        <v>806</v>
      </c>
      <c r="K820" s="17">
        <v>22</v>
      </c>
    </row>
    <row r="821" spans="10:11" x14ac:dyDescent="0.3">
      <c r="J821" s="7" t="s">
        <v>807</v>
      </c>
      <c r="K821" s="17">
        <v>32</v>
      </c>
    </row>
    <row r="822" spans="10:11" x14ac:dyDescent="0.3">
      <c r="J822" s="7" t="s">
        <v>808</v>
      </c>
      <c r="K822" s="17">
        <v>21</v>
      </c>
    </row>
    <row r="823" spans="10:11" x14ac:dyDescent="0.3">
      <c r="J823" s="7" t="s">
        <v>809</v>
      </c>
      <c r="K823" s="17">
        <v>34</v>
      </c>
    </row>
    <row r="824" spans="10:11" x14ac:dyDescent="0.3">
      <c r="J824" s="7" t="s">
        <v>810</v>
      </c>
      <c r="K824" s="17">
        <v>32</v>
      </c>
    </row>
    <row r="825" spans="10:11" x14ac:dyDescent="0.3">
      <c r="J825" s="7" t="s">
        <v>811</v>
      </c>
      <c r="K825" s="17">
        <v>34</v>
      </c>
    </row>
    <row r="826" spans="10:11" x14ac:dyDescent="0.3">
      <c r="J826" s="7" t="s">
        <v>812</v>
      </c>
      <c r="K826" s="17">
        <v>60</v>
      </c>
    </row>
    <row r="827" spans="10:11" x14ac:dyDescent="0.3">
      <c r="J827" s="7" t="s">
        <v>813</v>
      </c>
      <c r="K827" s="17">
        <v>44</v>
      </c>
    </row>
    <row r="828" spans="10:11" x14ac:dyDescent="0.3">
      <c r="J828" s="7" t="s">
        <v>814</v>
      </c>
      <c r="K828" s="17">
        <v>65</v>
      </c>
    </row>
    <row r="829" spans="10:11" x14ac:dyDescent="0.3">
      <c r="J829" s="7" t="s">
        <v>815</v>
      </c>
      <c r="K829" s="17">
        <v>54</v>
      </c>
    </row>
    <row r="830" spans="10:11" x14ac:dyDescent="0.3">
      <c r="J830" s="7" t="s">
        <v>816</v>
      </c>
      <c r="K830" s="17">
        <v>76</v>
      </c>
    </row>
    <row r="831" spans="10:11" x14ac:dyDescent="0.3">
      <c r="J831" s="7" t="s">
        <v>817</v>
      </c>
      <c r="K831" s="17">
        <v>65</v>
      </c>
    </row>
    <row r="832" spans="10:11" x14ac:dyDescent="0.3">
      <c r="J832" s="7" t="s">
        <v>818</v>
      </c>
      <c r="K832" s="17">
        <v>54</v>
      </c>
    </row>
    <row r="833" spans="10:11" x14ac:dyDescent="0.3">
      <c r="J833" s="7" t="s">
        <v>819</v>
      </c>
      <c r="K833" s="17">
        <v>65</v>
      </c>
    </row>
    <row r="834" spans="10:11" x14ac:dyDescent="0.3">
      <c r="J834" s="7" t="s">
        <v>820</v>
      </c>
      <c r="K834" s="17">
        <v>76</v>
      </c>
    </row>
    <row r="835" spans="10:11" x14ac:dyDescent="0.3">
      <c r="J835" s="7" t="s">
        <v>821</v>
      </c>
      <c r="K835" s="17">
        <v>54</v>
      </c>
    </row>
    <row r="836" spans="10:11" x14ac:dyDescent="0.3">
      <c r="J836" s="7" t="s">
        <v>822</v>
      </c>
      <c r="K836" s="17">
        <v>65</v>
      </c>
    </row>
    <row r="837" spans="10:11" x14ac:dyDescent="0.3">
      <c r="J837" s="7" t="s">
        <v>823</v>
      </c>
      <c r="K837" s="17">
        <v>53</v>
      </c>
    </row>
    <row r="838" spans="10:11" x14ac:dyDescent="0.3">
      <c r="J838" s="7" t="s">
        <v>824</v>
      </c>
      <c r="K838" s="17">
        <v>52</v>
      </c>
    </row>
    <row r="839" spans="10:11" x14ac:dyDescent="0.3">
      <c r="J839" s="7" t="s">
        <v>825</v>
      </c>
      <c r="K839" s="17">
        <v>51</v>
      </c>
    </row>
    <row r="840" spans="10:11" x14ac:dyDescent="0.3">
      <c r="J840" s="7" t="s">
        <v>826</v>
      </c>
      <c r="K840" s="17">
        <v>54</v>
      </c>
    </row>
    <row r="841" spans="10:11" x14ac:dyDescent="0.3">
      <c r="J841" s="7" t="s">
        <v>827</v>
      </c>
      <c r="K841" s="17">
        <v>32</v>
      </c>
    </row>
    <row r="842" spans="10:11" x14ac:dyDescent="0.3">
      <c r="J842" s="7" t="s">
        <v>828</v>
      </c>
      <c r="K842" s="17">
        <v>34</v>
      </c>
    </row>
    <row r="843" spans="10:11" x14ac:dyDescent="0.3">
      <c r="J843" s="7" t="s">
        <v>829</v>
      </c>
      <c r="K843" s="17">
        <v>35</v>
      </c>
    </row>
    <row r="844" spans="10:11" x14ac:dyDescent="0.3">
      <c r="J844" s="7" t="s">
        <v>830</v>
      </c>
      <c r="K844" s="17">
        <v>36</v>
      </c>
    </row>
    <row r="845" spans="10:11" x14ac:dyDescent="0.3">
      <c r="J845" s="7" t="s">
        <v>831</v>
      </c>
      <c r="K845" s="17">
        <v>33</v>
      </c>
    </row>
    <row r="846" spans="10:11" x14ac:dyDescent="0.3">
      <c r="J846" s="7" t="s">
        <v>832</v>
      </c>
      <c r="K846" s="17">
        <v>56</v>
      </c>
    </row>
    <row r="847" spans="10:11" x14ac:dyDescent="0.3">
      <c r="J847" s="7" t="s">
        <v>833</v>
      </c>
      <c r="K847" s="17">
        <v>57</v>
      </c>
    </row>
    <row r="848" spans="10:11" x14ac:dyDescent="0.3">
      <c r="J848" s="7" t="s">
        <v>834</v>
      </c>
      <c r="K848" s="17">
        <v>58</v>
      </c>
    </row>
    <row r="849" spans="10:11" x14ac:dyDescent="0.3">
      <c r="J849" s="7" t="s">
        <v>835</v>
      </c>
      <c r="K849" s="17">
        <v>59</v>
      </c>
    </row>
    <row r="850" spans="10:11" x14ac:dyDescent="0.3">
      <c r="J850" s="7" t="s">
        <v>836</v>
      </c>
      <c r="K850" s="17">
        <v>50</v>
      </c>
    </row>
    <row r="851" spans="10:11" x14ac:dyDescent="0.3">
      <c r="J851" s="7" t="s">
        <v>837</v>
      </c>
      <c r="K851" s="17">
        <v>56</v>
      </c>
    </row>
    <row r="852" spans="10:11" x14ac:dyDescent="0.3">
      <c r="J852" s="7" t="s">
        <v>838</v>
      </c>
      <c r="K852" s="17">
        <v>51</v>
      </c>
    </row>
    <row r="853" spans="10:11" x14ac:dyDescent="0.3">
      <c r="J853" s="7" t="s">
        <v>839</v>
      </c>
      <c r="K853" s="17">
        <v>61</v>
      </c>
    </row>
    <row r="854" spans="10:11" x14ac:dyDescent="0.3">
      <c r="J854" s="7" t="s">
        <v>840</v>
      </c>
      <c r="K854" s="17">
        <v>62</v>
      </c>
    </row>
    <row r="855" spans="10:11" x14ac:dyDescent="0.3">
      <c r="J855" s="7" t="s">
        <v>841</v>
      </c>
      <c r="K855" s="17">
        <v>64</v>
      </c>
    </row>
    <row r="856" spans="10:11" x14ac:dyDescent="0.3">
      <c r="J856" s="7" t="s">
        <v>842</v>
      </c>
      <c r="K856" s="17">
        <v>67</v>
      </c>
    </row>
    <row r="857" spans="10:11" x14ac:dyDescent="0.3">
      <c r="J857" s="7" t="s">
        <v>843</v>
      </c>
      <c r="K857" s="17">
        <v>68</v>
      </c>
    </row>
    <row r="858" spans="10:11" x14ac:dyDescent="0.3">
      <c r="J858" s="7" t="s">
        <v>844</v>
      </c>
      <c r="K858" s="17">
        <v>69</v>
      </c>
    </row>
    <row r="859" spans="10:11" x14ac:dyDescent="0.3">
      <c r="J859" s="7" t="s">
        <v>845</v>
      </c>
      <c r="K859" s="17">
        <v>70</v>
      </c>
    </row>
    <row r="860" spans="10:11" x14ac:dyDescent="0.3">
      <c r="J860" s="7" t="s">
        <v>846</v>
      </c>
      <c r="K860" s="17">
        <v>65</v>
      </c>
    </row>
    <row r="861" spans="10:11" x14ac:dyDescent="0.3">
      <c r="J861" s="7" t="s">
        <v>847</v>
      </c>
      <c r="K861" s="17">
        <v>67</v>
      </c>
    </row>
    <row r="862" spans="10:11" x14ac:dyDescent="0.3">
      <c r="J862" s="7" t="s">
        <v>848</v>
      </c>
      <c r="K862" s="17">
        <v>54</v>
      </c>
    </row>
    <row r="863" spans="10:11" x14ac:dyDescent="0.3">
      <c r="J863" s="7" t="s">
        <v>849</v>
      </c>
      <c r="K863" s="17">
        <v>53</v>
      </c>
    </row>
    <row r="864" spans="10:11" x14ac:dyDescent="0.3">
      <c r="J864" s="7" t="s">
        <v>850</v>
      </c>
      <c r="K864" s="17">
        <v>57</v>
      </c>
    </row>
    <row r="865" spans="10:11" x14ac:dyDescent="0.3">
      <c r="J865" s="7" t="s">
        <v>851</v>
      </c>
      <c r="K865" s="17">
        <v>58</v>
      </c>
    </row>
    <row r="866" spans="10:11" x14ac:dyDescent="0.3">
      <c r="J866" s="7" t="s">
        <v>852</v>
      </c>
      <c r="K866" s="17">
        <v>59</v>
      </c>
    </row>
    <row r="867" spans="10:11" x14ac:dyDescent="0.3">
      <c r="J867" s="7" t="s">
        <v>853</v>
      </c>
      <c r="K867" s="17">
        <v>50</v>
      </c>
    </row>
    <row r="868" spans="10:11" x14ac:dyDescent="0.3">
      <c r="J868" s="7" t="s">
        <v>854</v>
      </c>
      <c r="K868" s="17">
        <v>43</v>
      </c>
    </row>
    <row r="869" spans="10:11" x14ac:dyDescent="0.3">
      <c r="J869" s="7" t="s">
        <v>855</v>
      </c>
      <c r="K869" s="17">
        <v>44</v>
      </c>
    </row>
    <row r="870" spans="10:11" x14ac:dyDescent="0.3">
      <c r="J870" s="7" t="s">
        <v>856</v>
      </c>
      <c r="K870" s="17">
        <v>45</v>
      </c>
    </row>
    <row r="871" spans="10:11" x14ac:dyDescent="0.3">
      <c r="J871" s="7" t="s">
        <v>857</v>
      </c>
      <c r="K871" s="17">
        <v>43</v>
      </c>
    </row>
    <row r="872" spans="10:11" x14ac:dyDescent="0.3">
      <c r="J872" s="7" t="s">
        <v>858</v>
      </c>
      <c r="K872" s="17">
        <v>42</v>
      </c>
    </row>
    <row r="873" spans="10:11" x14ac:dyDescent="0.3">
      <c r="J873" s="7" t="s">
        <v>859</v>
      </c>
      <c r="K873" s="17">
        <v>51</v>
      </c>
    </row>
    <row r="874" spans="10:11" x14ac:dyDescent="0.3">
      <c r="J874" s="7" t="s">
        <v>860</v>
      </c>
      <c r="K874" s="17">
        <v>32</v>
      </c>
    </row>
    <row r="875" spans="10:11" x14ac:dyDescent="0.3">
      <c r="J875" s="7" t="s">
        <v>861</v>
      </c>
      <c r="K875" s="17">
        <v>43</v>
      </c>
    </row>
    <row r="876" spans="10:11" x14ac:dyDescent="0.3">
      <c r="J876" s="7" t="s">
        <v>862</v>
      </c>
      <c r="K876" s="17">
        <v>54</v>
      </c>
    </row>
    <row r="877" spans="10:11" x14ac:dyDescent="0.3">
      <c r="J877" s="7" t="s">
        <v>863</v>
      </c>
      <c r="K877" s="17">
        <v>65</v>
      </c>
    </row>
    <row r="878" spans="10:11" x14ac:dyDescent="0.3">
      <c r="J878" s="7" t="s">
        <v>864</v>
      </c>
      <c r="K878" s="17">
        <v>76</v>
      </c>
    </row>
    <row r="879" spans="10:11" x14ac:dyDescent="0.3">
      <c r="J879" s="7" t="s">
        <v>865</v>
      </c>
      <c r="K879" s="17">
        <v>87</v>
      </c>
    </row>
    <row r="880" spans="10:11" x14ac:dyDescent="0.3">
      <c r="J880" s="7" t="s">
        <v>866</v>
      </c>
      <c r="K880" s="17">
        <v>98</v>
      </c>
    </row>
    <row r="881" spans="10:11" x14ac:dyDescent="0.3">
      <c r="J881" s="7" t="s">
        <v>867</v>
      </c>
      <c r="K881" s="17">
        <v>9</v>
      </c>
    </row>
    <row r="882" spans="10:11" x14ac:dyDescent="0.3">
      <c r="J882" s="7" t="s">
        <v>868</v>
      </c>
      <c r="K882" s="17">
        <v>12</v>
      </c>
    </row>
    <row r="883" spans="10:11" x14ac:dyDescent="0.3">
      <c r="J883" s="7" t="s">
        <v>869</v>
      </c>
      <c r="K883" s="17">
        <v>34</v>
      </c>
    </row>
    <row r="884" spans="10:11" x14ac:dyDescent="0.3">
      <c r="J884" s="7" t="s">
        <v>870</v>
      </c>
      <c r="K884" s="17">
        <v>32</v>
      </c>
    </row>
    <row r="885" spans="10:11" x14ac:dyDescent="0.3">
      <c r="J885" s="7" t="s">
        <v>871</v>
      </c>
      <c r="K885" s="17">
        <v>43</v>
      </c>
    </row>
    <row r="886" spans="10:11" x14ac:dyDescent="0.3">
      <c r="J886" s="7" t="s">
        <v>872</v>
      </c>
      <c r="K886" s="17">
        <v>32</v>
      </c>
    </row>
    <row r="887" spans="10:11" x14ac:dyDescent="0.3">
      <c r="J887" s="7" t="s">
        <v>873</v>
      </c>
      <c r="K887" s="17">
        <v>31</v>
      </c>
    </row>
    <row r="888" spans="10:11" x14ac:dyDescent="0.3">
      <c r="J888" s="7" t="s">
        <v>874</v>
      </c>
      <c r="K888" s="17">
        <v>25</v>
      </c>
    </row>
    <row r="889" spans="10:11" x14ac:dyDescent="0.3">
      <c r="J889" s="7" t="s">
        <v>875</v>
      </c>
      <c r="K889" s="17">
        <v>26</v>
      </c>
    </row>
    <row r="890" spans="10:11" x14ac:dyDescent="0.3">
      <c r="J890" s="7" t="s">
        <v>876</v>
      </c>
      <c r="K890" s="17">
        <v>27</v>
      </c>
    </row>
    <row r="891" spans="10:11" x14ac:dyDescent="0.3">
      <c r="J891" s="7" t="s">
        <v>877</v>
      </c>
      <c r="K891" s="17">
        <v>28</v>
      </c>
    </row>
    <row r="892" spans="10:11" x14ac:dyDescent="0.3">
      <c r="J892" s="7" t="s">
        <v>878</v>
      </c>
      <c r="K892" s="17">
        <v>29</v>
      </c>
    </row>
    <row r="893" spans="10:11" x14ac:dyDescent="0.3">
      <c r="J893" s="7" t="s">
        <v>879</v>
      </c>
      <c r="K893" s="17">
        <v>34</v>
      </c>
    </row>
    <row r="894" spans="10:11" x14ac:dyDescent="0.3">
      <c r="J894" s="7" t="s">
        <v>880</v>
      </c>
      <c r="K894" s="17">
        <v>35</v>
      </c>
    </row>
    <row r="895" spans="10:11" x14ac:dyDescent="0.3">
      <c r="J895" s="7" t="s">
        <v>881</v>
      </c>
      <c r="K895" s="17">
        <v>36</v>
      </c>
    </row>
    <row r="896" spans="10:11" x14ac:dyDescent="0.3">
      <c r="J896" s="7" t="s">
        <v>882</v>
      </c>
      <c r="K896" s="17">
        <v>31</v>
      </c>
    </row>
    <row r="897" spans="10:11" x14ac:dyDescent="0.3">
      <c r="J897" s="7" t="s">
        <v>883</v>
      </c>
      <c r="K897" s="17">
        <v>32</v>
      </c>
    </row>
    <row r="898" spans="10:11" x14ac:dyDescent="0.3">
      <c r="J898" s="7" t="s">
        <v>884</v>
      </c>
      <c r="K898" s="17">
        <v>36</v>
      </c>
    </row>
    <row r="899" spans="10:11" x14ac:dyDescent="0.3">
      <c r="J899" s="7" t="s">
        <v>885</v>
      </c>
      <c r="K899" s="17">
        <v>23</v>
      </c>
    </row>
    <row r="900" spans="10:11" x14ac:dyDescent="0.3">
      <c r="J900" s="7" t="s">
        <v>886</v>
      </c>
      <c r="K900" s="17">
        <v>34</v>
      </c>
    </row>
    <row r="901" spans="10:11" x14ac:dyDescent="0.3">
      <c r="J901" s="7" t="s">
        <v>887</v>
      </c>
      <c r="K901" s="17">
        <v>32</v>
      </c>
    </row>
    <row r="902" spans="10:11" x14ac:dyDescent="0.3">
      <c r="J902" s="7" t="s">
        <v>888</v>
      </c>
      <c r="K902" s="17">
        <v>55</v>
      </c>
    </row>
    <row r="903" spans="10:11" x14ac:dyDescent="0.3">
      <c r="J903" s="7" t="s">
        <v>889</v>
      </c>
      <c r="K903" s="17">
        <v>34</v>
      </c>
    </row>
    <row r="904" spans="10:11" x14ac:dyDescent="0.3">
      <c r="J904" s="7" t="s">
        <v>890</v>
      </c>
      <c r="K904" s="17">
        <v>34</v>
      </c>
    </row>
    <row r="905" spans="10:11" x14ac:dyDescent="0.3">
      <c r="J905" s="7" t="s">
        <v>891</v>
      </c>
      <c r="K905" s="17">
        <v>45</v>
      </c>
    </row>
    <row r="906" spans="10:11" x14ac:dyDescent="0.3">
      <c r="J906" s="7" t="s">
        <v>892</v>
      </c>
      <c r="K906" s="17">
        <v>56</v>
      </c>
    </row>
    <row r="907" spans="10:11" x14ac:dyDescent="0.3">
      <c r="J907" s="7" t="s">
        <v>893</v>
      </c>
      <c r="K907" s="17">
        <v>57</v>
      </c>
    </row>
    <row r="908" spans="10:11" x14ac:dyDescent="0.3">
      <c r="J908" s="7" t="s">
        <v>894</v>
      </c>
      <c r="K908" s="17">
        <v>58</v>
      </c>
    </row>
    <row r="909" spans="10:11" x14ac:dyDescent="0.3">
      <c r="J909" s="7" t="s">
        <v>895</v>
      </c>
      <c r="K909" s="17">
        <v>87</v>
      </c>
    </row>
    <row r="910" spans="10:11" x14ac:dyDescent="0.3">
      <c r="J910" s="7" t="s">
        <v>896</v>
      </c>
      <c r="K910" s="17">
        <v>86</v>
      </c>
    </row>
    <row r="911" spans="10:11" x14ac:dyDescent="0.3">
      <c r="J911" s="7" t="s">
        <v>897</v>
      </c>
      <c r="K911" s="17">
        <v>85</v>
      </c>
    </row>
    <row r="912" spans="10:11" x14ac:dyDescent="0.3">
      <c r="J912" s="7" t="s">
        <v>898</v>
      </c>
      <c r="K912" s="17">
        <v>84</v>
      </c>
    </row>
    <row r="913" spans="10:11" x14ac:dyDescent="0.3">
      <c r="J913" s="7" t="s">
        <v>899</v>
      </c>
      <c r="K913" s="17">
        <v>95</v>
      </c>
    </row>
    <row r="914" spans="10:11" x14ac:dyDescent="0.3">
      <c r="J914" s="7" t="s">
        <v>900</v>
      </c>
      <c r="K914" s="17">
        <v>87</v>
      </c>
    </row>
    <row r="915" spans="10:11" x14ac:dyDescent="0.3">
      <c r="J915" s="7" t="s">
        <v>901</v>
      </c>
      <c r="K915" s="17">
        <v>65</v>
      </c>
    </row>
    <row r="916" spans="10:11" x14ac:dyDescent="0.3">
      <c r="J916" s="7" t="s">
        <v>902</v>
      </c>
      <c r="K916" s="17">
        <v>65</v>
      </c>
    </row>
    <row r="917" spans="10:11" x14ac:dyDescent="0.3">
      <c r="J917" s="7" t="s">
        <v>903</v>
      </c>
      <c r="K917" s="17">
        <v>76</v>
      </c>
    </row>
    <row r="918" spans="10:11" x14ac:dyDescent="0.3">
      <c r="J918" s="7" t="s">
        <v>904</v>
      </c>
      <c r="K918" s="17">
        <v>67</v>
      </c>
    </row>
    <row r="919" spans="10:11" x14ac:dyDescent="0.3">
      <c r="J919" s="7" t="s">
        <v>905</v>
      </c>
      <c r="K919" s="17">
        <v>76</v>
      </c>
    </row>
    <row r="920" spans="10:11" x14ac:dyDescent="0.3">
      <c r="J920" s="7" t="s">
        <v>906</v>
      </c>
      <c r="K920" s="17">
        <v>56</v>
      </c>
    </row>
    <row r="921" spans="10:11" x14ac:dyDescent="0.3">
      <c r="J921" s="7" t="s">
        <v>907</v>
      </c>
      <c r="K921" s="17">
        <v>65</v>
      </c>
    </row>
    <row r="922" spans="10:11" x14ac:dyDescent="0.3">
      <c r="J922" s="7" t="s">
        <v>908</v>
      </c>
      <c r="K922" s="17">
        <v>87</v>
      </c>
    </row>
    <row r="923" spans="10:11" x14ac:dyDescent="0.3">
      <c r="J923" s="7" t="s">
        <v>909</v>
      </c>
      <c r="K923" s="17">
        <v>78</v>
      </c>
    </row>
    <row r="924" spans="10:11" x14ac:dyDescent="0.3">
      <c r="J924" s="7" t="s">
        <v>910</v>
      </c>
      <c r="K924" s="17">
        <v>76</v>
      </c>
    </row>
    <row r="925" spans="10:11" x14ac:dyDescent="0.3">
      <c r="J925" s="7" t="s">
        <v>911</v>
      </c>
      <c r="K925" s="17">
        <v>76</v>
      </c>
    </row>
    <row r="926" spans="10:11" x14ac:dyDescent="0.3">
      <c r="J926" s="7" t="s">
        <v>912</v>
      </c>
      <c r="K926" s="17">
        <v>56</v>
      </c>
    </row>
    <row r="927" spans="10:11" x14ac:dyDescent="0.3">
      <c r="J927" s="7" t="s">
        <v>913</v>
      </c>
      <c r="K927" s="17">
        <v>45</v>
      </c>
    </row>
    <row r="928" spans="10:11" x14ac:dyDescent="0.3">
      <c r="J928" s="7" t="s">
        <v>914</v>
      </c>
      <c r="K928" s="17">
        <v>54</v>
      </c>
    </row>
    <row r="929" spans="10:11" x14ac:dyDescent="0.3">
      <c r="J929" s="7" t="s">
        <v>915</v>
      </c>
      <c r="K929" s="17">
        <v>87</v>
      </c>
    </row>
    <row r="930" spans="10:11" x14ac:dyDescent="0.3">
      <c r="J930" s="7" t="s">
        <v>916</v>
      </c>
      <c r="K930" s="17">
        <v>76</v>
      </c>
    </row>
    <row r="931" spans="10:11" x14ac:dyDescent="0.3">
      <c r="J931" s="7" t="s">
        <v>917</v>
      </c>
      <c r="K931" s="17">
        <v>67</v>
      </c>
    </row>
    <row r="932" spans="10:11" x14ac:dyDescent="0.3">
      <c r="J932" s="7" t="s">
        <v>918</v>
      </c>
      <c r="K932" s="17">
        <v>76</v>
      </c>
    </row>
    <row r="933" spans="10:11" x14ac:dyDescent="0.3">
      <c r="J933" s="7" t="s">
        <v>919</v>
      </c>
      <c r="K933" s="17">
        <v>56</v>
      </c>
    </row>
    <row r="934" spans="10:11" x14ac:dyDescent="0.3">
      <c r="J934" s="7" t="s">
        <v>920</v>
      </c>
      <c r="K934" s="17">
        <v>54</v>
      </c>
    </row>
    <row r="935" spans="10:11" x14ac:dyDescent="0.3">
      <c r="J935" s="7" t="s">
        <v>921</v>
      </c>
      <c r="K935" s="17">
        <v>55</v>
      </c>
    </row>
    <row r="936" spans="10:11" x14ac:dyDescent="0.3">
      <c r="J936" s="7" t="s">
        <v>922</v>
      </c>
      <c r="K936" s="17">
        <v>55</v>
      </c>
    </row>
    <row r="937" spans="10:11" x14ac:dyDescent="0.3">
      <c r="J937" s="7" t="s">
        <v>923</v>
      </c>
      <c r="K937" s="17">
        <v>55</v>
      </c>
    </row>
    <row r="938" spans="10:11" x14ac:dyDescent="0.3">
      <c r="J938" s="7" t="s">
        <v>924</v>
      </c>
      <c r="K938" s="17">
        <v>55</v>
      </c>
    </row>
    <row r="939" spans="10:11" x14ac:dyDescent="0.3">
      <c r="J939" s="7" t="s">
        <v>925</v>
      </c>
      <c r="K939" s="17">
        <v>55</v>
      </c>
    </row>
    <row r="940" spans="10:11" x14ac:dyDescent="0.3">
      <c r="J940" s="7" t="s">
        <v>926</v>
      </c>
      <c r="K940" s="17">
        <v>55</v>
      </c>
    </row>
    <row r="941" spans="10:11" x14ac:dyDescent="0.3">
      <c r="J941" s="7" t="s">
        <v>927</v>
      </c>
      <c r="K941" s="17">
        <v>44</v>
      </c>
    </row>
    <row r="942" spans="10:11" x14ac:dyDescent="0.3">
      <c r="J942" s="7" t="s">
        <v>928</v>
      </c>
      <c r="K942" s="17">
        <v>33</v>
      </c>
    </row>
    <row r="943" spans="10:11" x14ac:dyDescent="0.3">
      <c r="J943" s="7" t="s">
        <v>929</v>
      </c>
      <c r="K943" s="17">
        <v>33</v>
      </c>
    </row>
    <row r="944" spans="10:11" x14ac:dyDescent="0.3">
      <c r="J944" s="7" t="s">
        <v>930</v>
      </c>
      <c r="K944" s="17">
        <v>44</v>
      </c>
    </row>
    <row r="945" spans="10:11" x14ac:dyDescent="0.3">
      <c r="J945" s="7" t="s">
        <v>931</v>
      </c>
      <c r="K945" s="17">
        <v>22</v>
      </c>
    </row>
    <row r="946" spans="10:11" x14ac:dyDescent="0.3">
      <c r="J946" s="7" t="s">
        <v>932</v>
      </c>
      <c r="K946" s="17">
        <v>33</v>
      </c>
    </row>
    <row r="947" spans="10:11" x14ac:dyDescent="0.3">
      <c r="J947" s="7" t="s">
        <v>933</v>
      </c>
      <c r="K947" s="17">
        <v>55</v>
      </c>
    </row>
    <row r="948" spans="10:11" x14ac:dyDescent="0.3">
      <c r="J948" s="7" t="s">
        <v>934</v>
      </c>
      <c r="K948" s="17">
        <v>66</v>
      </c>
    </row>
    <row r="949" spans="10:11" x14ac:dyDescent="0.3">
      <c r="J949" s="7" t="s">
        <v>935</v>
      </c>
      <c r="K949" s="17">
        <v>65</v>
      </c>
    </row>
    <row r="950" spans="10:11" x14ac:dyDescent="0.3">
      <c r="J950" s="7" t="s">
        <v>936</v>
      </c>
      <c r="K950" s="17">
        <v>67</v>
      </c>
    </row>
    <row r="951" spans="10:11" x14ac:dyDescent="0.3">
      <c r="J951" s="7" t="s">
        <v>937</v>
      </c>
      <c r="K951" s="17">
        <v>67</v>
      </c>
    </row>
    <row r="952" spans="10:11" x14ac:dyDescent="0.3">
      <c r="J952" s="7" t="s">
        <v>938</v>
      </c>
      <c r="K952" s="17">
        <v>76</v>
      </c>
    </row>
    <row r="953" spans="10:11" x14ac:dyDescent="0.3">
      <c r="J953" s="7" t="s">
        <v>939</v>
      </c>
      <c r="K953" s="17">
        <v>76</v>
      </c>
    </row>
    <row r="954" spans="10:11" x14ac:dyDescent="0.3">
      <c r="J954" s="7" t="s">
        <v>940</v>
      </c>
      <c r="K954" s="17">
        <v>78</v>
      </c>
    </row>
    <row r="955" spans="10:11" x14ac:dyDescent="0.3">
      <c r="J955" s="7" t="s">
        <v>941</v>
      </c>
      <c r="K955" s="17">
        <v>76</v>
      </c>
    </row>
    <row r="956" spans="10:11" x14ac:dyDescent="0.3">
      <c r="J956" s="7" t="s">
        <v>942</v>
      </c>
      <c r="K956" s="17">
        <v>79</v>
      </c>
    </row>
    <row r="957" spans="10:11" x14ac:dyDescent="0.3">
      <c r="J957" s="7" t="s">
        <v>943</v>
      </c>
      <c r="K957" s="17">
        <v>80</v>
      </c>
    </row>
    <row r="958" spans="10:11" x14ac:dyDescent="0.3">
      <c r="J958" s="7" t="s">
        <v>944</v>
      </c>
      <c r="K958" s="17">
        <v>87</v>
      </c>
    </row>
    <row r="959" spans="10:11" x14ac:dyDescent="0.3">
      <c r="J959" s="7" t="s">
        <v>945</v>
      </c>
      <c r="K959" s="17">
        <v>81</v>
      </c>
    </row>
    <row r="960" spans="10:11" x14ac:dyDescent="0.3">
      <c r="J960" s="7" t="s">
        <v>946</v>
      </c>
      <c r="K960" s="17">
        <v>82</v>
      </c>
    </row>
    <row r="961" spans="10:11" x14ac:dyDescent="0.3">
      <c r="J961" s="7" t="s">
        <v>947</v>
      </c>
      <c r="K961" s="17">
        <v>83</v>
      </c>
    </row>
    <row r="962" spans="10:11" x14ac:dyDescent="0.3">
      <c r="J962" s="7" t="s">
        <v>948</v>
      </c>
      <c r="K962" s="17">
        <v>84</v>
      </c>
    </row>
    <row r="963" spans="10:11" x14ac:dyDescent="0.3">
      <c r="J963" s="7" t="s">
        <v>949</v>
      </c>
      <c r="K963" s="17">
        <v>85</v>
      </c>
    </row>
    <row r="964" spans="10:11" x14ac:dyDescent="0.3">
      <c r="J964" s="7" t="s">
        <v>950</v>
      </c>
      <c r="K964" s="17">
        <v>98</v>
      </c>
    </row>
    <row r="965" spans="10:11" x14ac:dyDescent="0.3">
      <c r="J965" s="7" t="s">
        <v>951</v>
      </c>
      <c r="K965" s="17">
        <v>56</v>
      </c>
    </row>
    <row r="966" spans="10:11" x14ac:dyDescent="0.3">
      <c r="J966" s="7" t="s">
        <v>952</v>
      </c>
      <c r="K966" s="17">
        <v>67</v>
      </c>
    </row>
    <row r="967" spans="10:11" x14ac:dyDescent="0.3">
      <c r="J967" s="7" t="s">
        <v>953</v>
      </c>
      <c r="K967" s="17">
        <v>62</v>
      </c>
    </row>
    <row r="968" spans="10:11" x14ac:dyDescent="0.3">
      <c r="J968" s="7" t="s">
        <v>954</v>
      </c>
      <c r="K968" s="17">
        <v>63</v>
      </c>
    </row>
    <row r="969" spans="10:11" x14ac:dyDescent="0.3">
      <c r="J969" s="7" t="s">
        <v>955</v>
      </c>
      <c r="K969" s="17">
        <v>64</v>
      </c>
    </row>
    <row r="970" spans="10:11" x14ac:dyDescent="0.3">
      <c r="J970" s="7" t="s">
        <v>956</v>
      </c>
      <c r="K970" s="17">
        <v>65</v>
      </c>
    </row>
    <row r="971" spans="10:11" x14ac:dyDescent="0.3">
      <c r="J971" s="7" t="s">
        <v>957</v>
      </c>
      <c r="K971" s="17">
        <v>67</v>
      </c>
    </row>
    <row r="972" spans="10:11" x14ac:dyDescent="0.3">
      <c r="J972" s="7" t="s">
        <v>958</v>
      </c>
      <c r="K972" s="17">
        <v>68</v>
      </c>
    </row>
    <row r="973" spans="10:11" x14ac:dyDescent="0.3">
      <c r="J973" s="7" t="s">
        <v>959</v>
      </c>
      <c r="K973" s="17">
        <v>77</v>
      </c>
    </row>
    <row r="974" spans="10:11" x14ac:dyDescent="0.3">
      <c r="J974" s="7" t="s">
        <v>960</v>
      </c>
      <c r="K974" s="17">
        <v>66</v>
      </c>
    </row>
    <row r="975" spans="10:11" x14ac:dyDescent="0.3">
      <c r="J975" s="7" t="s">
        <v>961</v>
      </c>
      <c r="K975" s="17">
        <v>88</v>
      </c>
    </row>
    <row r="976" spans="10:11" x14ac:dyDescent="0.3">
      <c r="J976" s="7" t="s">
        <v>962</v>
      </c>
      <c r="K976" s="17">
        <v>77</v>
      </c>
    </row>
    <row r="977" spans="10:11" x14ac:dyDescent="0.3">
      <c r="J977" s="7" t="s">
        <v>963</v>
      </c>
      <c r="K977" s="17">
        <v>71</v>
      </c>
    </row>
    <row r="978" spans="10:11" x14ac:dyDescent="0.3">
      <c r="J978" s="7" t="s">
        <v>964</v>
      </c>
      <c r="K978" s="17">
        <v>72</v>
      </c>
    </row>
    <row r="979" spans="10:11" x14ac:dyDescent="0.3">
      <c r="J979" s="7" t="s">
        <v>965</v>
      </c>
      <c r="K979" s="17">
        <v>73</v>
      </c>
    </row>
    <row r="980" spans="10:11" x14ac:dyDescent="0.3">
      <c r="J980" s="7" t="s">
        <v>966</v>
      </c>
      <c r="K980" s="17">
        <v>74</v>
      </c>
    </row>
    <row r="981" spans="10:11" x14ac:dyDescent="0.3">
      <c r="J981" s="7" t="s">
        <v>967</v>
      </c>
      <c r="K981" s="17">
        <v>75</v>
      </c>
    </row>
    <row r="982" spans="10:11" x14ac:dyDescent="0.3">
      <c r="J982" s="7" t="s">
        <v>968</v>
      </c>
      <c r="K982" s="17">
        <v>76</v>
      </c>
    </row>
    <row r="983" spans="10:11" x14ac:dyDescent="0.3">
      <c r="J983" s="7" t="s">
        <v>969</v>
      </c>
      <c r="K983" s="17">
        <v>78</v>
      </c>
    </row>
    <row r="984" spans="10:11" x14ac:dyDescent="0.3">
      <c r="J984" s="7" t="s">
        <v>970</v>
      </c>
      <c r="K984" s="17">
        <v>78</v>
      </c>
    </row>
    <row r="985" spans="10:11" x14ac:dyDescent="0.3">
      <c r="J985" s="7" t="s">
        <v>971</v>
      </c>
      <c r="K985" s="17">
        <v>78</v>
      </c>
    </row>
    <row r="986" spans="10:11" x14ac:dyDescent="0.3">
      <c r="J986" s="7" t="s">
        <v>972</v>
      </c>
      <c r="K986" s="17">
        <v>76</v>
      </c>
    </row>
    <row r="987" spans="10:11" x14ac:dyDescent="0.3">
      <c r="J987" s="7" t="s">
        <v>973</v>
      </c>
      <c r="K987" s="17">
        <v>55</v>
      </c>
    </row>
    <row r="988" spans="10:11" x14ac:dyDescent="0.3">
      <c r="J988" s="7" t="s">
        <v>974</v>
      </c>
      <c r="K988" s="17">
        <v>66</v>
      </c>
    </row>
    <row r="989" spans="10:11" x14ac:dyDescent="0.3">
      <c r="J989" s="7" t="s">
        <v>975</v>
      </c>
      <c r="K989" s="17">
        <v>77</v>
      </c>
    </row>
    <row r="990" spans="10:11" x14ac:dyDescent="0.3">
      <c r="J990" s="7" t="s">
        <v>976</v>
      </c>
      <c r="K990" s="17">
        <v>55</v>
      </c>
    </row>
    <row r="991" spans="10:11" x14ac:dyDescent="0.3">
      <c r="J991" s="7" t="s">
        <v>977</v>
      </c>
      <c r="K991" s="17">
        <v>66</v>
      </c>
    </row>
    <row r="992" spans="10:11" x14ac:dyDescent="0.3">
      <c r="J992" s="7" t="s">
        <v>978</v>
      </c>
      <c r="K992" s="17">
        <v>44</v>
      </c>
    </row>
    <row r="993" spans="10:11" x14ac:dyDescent="0.3">
      <c r="J993" s="7" t="s">
        <v>979</v>
      </c>
      <c r="K993" s="17">
        <v>88</v>
      </c>
    </row>
    <row r="994" spans="10:11" x14ac:dyDescent="0.3">
      <c r="J994" s="7" t="s">
        <v>980</v>
      </c>
      <c r="K994" s="17">
        <v>56</v>
      </c>
    </row>
    <row r="995" spans="10:11" x14ac:dyDescent="0.3">
      <c r="J995" s="7" t="s">
        <v>981</v>
      </c>
      <c r="K995" s="17">
        <v>65</v>
      </c>
    </row>
    <row r="996" spans="10:11" x14ac:dyDescent="0.3">
      <c r="J996" s="7" t="s">
        <v>982</v>
      </c>
      <c r="K996" s="17">
        <v>67</v>
      </c>
    </row>
    <row r="997" spans="10:11" x14ac:dyDescent="0.3">
      <c r="J997" s="7" t="s">
        <v>983</v>
      </c>
      <c r="K997" s="17">
        <v>78</v>
      </c>
    </row>
    <row r="998" spans="10:11" x14ac:dyDescent="0.3">
      <c r="J998" s="7" t="s">
        <v>984</v>
      </c>
      <c r="K998" s="17">
        <v>76</v>
      </c>
    </row>
    <row r="999" spans="10:11" x14ac:dyDescent="0.3">
      <c r="J999" s="7" t="s">
        <v>985</v>
      </c>
      <c r="K999" s="17">
        <v>65</v>
      </c>
    </row>
    <row r="1000" spans="10:11" x14ac:dyDescent="0.3">
      <c r="J1000" s="7" t="s">
        <v>986</v>
      </c>
      <c r="K1000" s="17">
        <v>54</v>
      </c>
    </row>
    <row r="1001" spans="10:11" x14ac:dyDescent="0.3">
      <c r="J1001" s="7" t="s">
        <v>987</v>
      </c>
      <c r="K1001" s="17">
        <v>53</v>
      </c>
    </row>
    <row r="1002" spans="10:11" x14ac:dyDescent="0.3">
      <c r="J1002" s="7" t="s">
        <v>988</v>
      </c>
      <c r="K1002" s="17">
        <v>54</v>
      </c>
    </row>
    <row r="1003" spans="10:11" x14ac:dyDescent="0.3">
      <c r="J1003" s="7" t="s">
        <v>989</v>
      </c>
      <c r="K1003" s="17">
        <v>54</v>
      </c>
    </row>
    <row r="1004" spans="10:11" x14ac:dyDescent="0.3">
      <c r="J1004" s="7" t="s">
        <v>990</v>
      </c>
      <c r="K1004" s="17">
        <v>56</v>
      </c>
    </row>
    <row r="1005" spans="10:11" x14ac:dyDescent="0.3">
      <c r="J1005" s="7" t="s">
        <v>991</v>
      </c>
      <c r="K1005" s="17">
        <v>67</v>
      </c>
    </row>
    <row r="1006" spans="10:11" x14ac:dyDescent="0.3">
      <c r="J1006" s="7" t="s">
        <v>992</v>
      </c>
      <c r="K1006" s="17">
        <v>78</v>
      </c>
    </row>
    <row r="1007" spans="10:11" x14ac:dyDescent="0.3">
      <c r="J1007" s="7" t="s">
        <v>993</v>
      </c>
      <c r="K1007" s="17">
        <v>56</v>
      </c>
    </row>
    <row r="1008" spans="10:11" x14ac:dyDescent="0.3">
      <c r="J1008" s="7" t="s">
        <v>994</v>
      </c>
      <c r="K1008" s="17">
        <v>67</v>
      </c>
    </row>
    <row r="1009" spans="10:11" x14ac:dyDescent="0.3">
      <c r="J1009" s="7" t="s">
        <v>995</v>
      </c>
      <c r="K1009" s="17">
        <v>65</v>
      </c>
    </row>
    <row r="1010" spans="10:11" x14ac:dyDescent="0.3">
      <c r="J1010" s="7" t="s">
        <v>996</v>
      </c>
      <c r="K1010" s="17">
        <v>67</v>
      </c>
    </row>
    <row r="1011" spans="10:11" x14ac:dyDescent="0.3">
      <c r="J1011" s="7" t="s">
        <v>997</v>
      </c>
      <c r="K1011" s="17">
        <v>78</v>
      </c>
    </row>
    <row r="1012" spans="10:11" x14ac:dyDescent="0.3">
      <c r="J1012" s="7" t="s">
        <v>998</v>
      </c>
      <c r="K1012" s="17">
        <v>76</v>
      </c>
    </row>
    <row r="1013" spans="10:11" x14ac:dyDescent="0.3">
      <c r="J1013" s="7" t="s">
        <v>999</v>
      </c>
      <c r="K1013" s="17">
        <v>78</v>
      </c>
    </row>
    <row r="1014" spans="10:11" x14ac:dyDescent="0.3">
      <c r="J1014" s="7" t="s">
        <v>1000</v>
      </c>
      <c r="K1014" s="17">
        <v>78</v>
      </c>
    </row>
    <row r="1015" spans="10:11" x14ac:dyDescent="0.3">
      <c r="J1015" s="7" t="s">
        <v>1001</v>
      </c>
      <c r="K1015" s="17">
        <v>76</v>
      </c>
    </row>
    <row r="1016" spans="10:11" x14ac:dyDescent="0.3">
      <c r="J1016" s="7" t="s">
        <v>1002</v>
      </c>
      <c r="K1016" s="17">
        <v>78</v>
      </c>
    </row>
    <row r="1017" spans="10:11" x14ac:dyDescent="0.3">
      <c r="J1017" s="7" t="s">
        <v>1003</v>
      </c>
      <c r="K1017" s="17">
        <v>89</v>
      </c>
    </row>
    <row r="1018" spans="10:11" x14ac:dyDescent="0.3">
      <c r="J1018" s="7" t="s">
        <v>1004</v>
      </c>
      <c r="K1018" s="17">
        <v>87</v>
      </c>
    </row>
    <row r="1019" spans="10:11" x14ac:dyDescent="0.3">
      <c r="J1019" s="7" t="s">
        <v>1005</v>
      </c>
      <c r="K1019" s="17">
        <v>98</v>
      </c>
    </row>
    <row r="1020" spans="10:11" x14ac:dyDescent="0.3">
      <c r="J1020" s="7" t="s">
        <v>1006</v>
      </c>
      <c r="K1020" s="17">
        <v>87</v>
      </c>
    </row>
    <row r="1021" spans="10:11" x14ac:dyDescent="0.3">
      <c r="J1021" s="7" t="s">
        <v>1007</v>
      </c>
      <c r="K1021" s="17">
        <v>67</v>
      </c>
    </row>
    <row r="1022" spans="10:11" x14ac:dyDescent="0.3">
      <c r="J1022" s="7" t="s">
        <v>1008</v>
      </c>
      <c r="K1022" s="17">
        <v>23</v>
      </c>
    </row>
    <row r="1023" spans="10:11" x14ac:dyDescent="0.3">
      <c r="J1023" s="7" t="s">
        <v>1009</v>
      </c>
      <c r="K1023" s="17">
        <v>34</v>
      </c>
    </row>
    <row r="1024" spans="10:11" x14ac:dyDescent="0.3">
      <c r="J1024" s="7" t="s">
        <v>1010</v>
      </c>
      <c r="K1024" s="17">
        <v>45</v>
      </c>
    </row>
    <row r="1025" spans="10:11" x14ac:dyDescent="0.3">
      <c r="J1025" s="7" t="s">
        <v>1011</v>
      </c>
      <c r="K1025" s="17">
        <v>56</v>
      </c>
    </row>
    <row r="1026" spans="10:11" x14ac:dyDescent="0.3">
      <c r="J1026" s="7" t="s">
        <v>1012</v>
      </c>
      <c r="K1026" s="17">
        <v>54</v>
      </c>
    </row>
    <row r="1027" spans="10:11" x14ac:dyDescent="0.3">
      <c r="J1027" s="7" t="s">
        <v>1013</v>
      </c>
      <c r="K1027" s="17">
        <v>43</v>
      </c>
    </row>
    <row r="1028" spans="10:11" x14ac:dyDescent="0.3">
      <c r="J1028" s="7" t="s">
        <v>1200</v>
      </c>
      <c r="K1028" s="17">
        <v>44.716999999999999</v>
      </c>
    </row>
  </sheetData>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3245A-CB45-430C-B6F1-E9E559F0A5C2}">
  <dimension ref="A1:P112"/>
  <sheetViews>
    <sheetView tabSelected="1" topLeftCell="A35" zoomScale="70" zoomScaleNormal="70" workbookViewId="0">
      <selection activeCell="AA66" sqref="AA66"/>
    </sheetView>
  </sheetViews>
  <sheetFormatPr defaultRowHeight="14.4" x14ac:dyDescent="0.3"/>
  <cols>
    <col min="1" max="1" width="13.44140625" customWidth="1"/>
    <col min="5" max="5" width="9.77734375" customWidth="1"/>
    <col min="9" max="9" width="21.44140625" customWidth="1"/>
    <col min="11" max="12" width="14.6640625" customWidth="1"/>
  </cols>
  <sheetData>
    <row r="1" spans="1:8" x14ac:dyDescent="0.3">
      <c r="A1" s="5"/>
    </row>
    <row r="3" spans="1:8" x14ac:dyDescent="0.3">
      <c r="H3" s="5"/>
    </row>
    <row r="88" spans="9:16" ht="23.4" x14ac:dyDescent="0.45">
      <c r="I88" s="9" t="s">
        <v>1245</v>
      </c>
      <c r="J88" s="9"/>
      <c r="K88" s="9"/>
      <c r="L88" s="9"/>
      <c r="M88" s="9"/>
      <c r="N88" s="9"/>
      <c r="O88" s="9"/>
      <c r="P88" s="9"/>
    </row>
    <row r="90" spans="9:16" x14ac:dyDescent="0.3">
      <c r="K90" s="5" t="s">
        <v>1246</v>
      </c>
      <c r="L90" s="5" t="s">
        <v>1247</v>
      </c>
    </row>
    <row r="91" spans="9:16" x14ac:dyDescent="0.3">
      <c r="K91" s="8" t="s">
        <v>1192</v>
      </c>
      <c r="L91" s="8">
        <v>1000</v>
      </c>
      <c r="M91" s="8"/>
    </row>
    <row r="92" spans="9:16" x14ac:dyDescent="0.3">
      <c r="K92" s="8" t="s">
        <v>1193</v>
      </c>
      <c r="L92" s="8">
        <v>44.716999999999999</v>
      </c>
      <c r="M92" s="8"/>
    </row>
    <row r="93" spans="9:16" x14ac:dyDescent="0.3">
      <c r="K93" s="8" t="s">
        <v>1248</v>
      </c>
      <c r="L93" s="8" t="s">
        <v>1252</v>
      </c>
      <c r="M93" s="8"/>
    </row>
    <row r="94" spans="9:16" ht="28.8" x14ac:dyDescent="0.3">
      <c r="K94" s="8" t="s">
        <v>1249</v>
      </c>
      <c r="L94" s="8">
        <v>107317793</v>
      </c>
      <c r="M94" s="8"/>
    </row>
    <row r="95" spans="9:16" ht="43.2" x14ac:dyDescent="0.3">
      <c r="K95" s="8" t="s">
        <v>1250</v>
      </c>
      <c r="L95" s="8" t="s">
        <v>1021</v>
      </c>
      <c r="M95" s="8"/>
    </row>
    <row r="96" spans="9:16" ht="28.8" x14ac:dyDescent="0.3">
      <c r="K96" s="8" t="s">
        <v>1251</v>
      </c>
      <c r="L96" s="8" t="s">
        <v>1015</v>
      </c>
      <c r="M96" s="8"/>
    </row>
    <row r="97" spans="9:15" x14ac:dyDescent="0.3">
      <c r="K97" s="8"/>
      <c r="L97" s="8"/>
      <c r="M97" s="8"/>
    </row>
    <row r="98" spans="9:15" x14ac:dyDescent="0.3">
      <c r="K98" s="8"/>
      <c r="L98" s="8"/>
      <c r="M98" s="8"/>
    </row>
    <row r="99" spans="9:15" ht="23.4" x14ac:dyDescent="0.45">
      <c r="I99" s="13" t="s">
        <v>1253</v>
      </c>
    </row>
    <row r="101" spans="9:15" x14ac:dyDescent="0.3">
      <c r="I101" t="s">
        <v>1222</v>
      </c>
      <c r="J101" t="s">
        <v>1224</v>
      </c>
      <c r="K101" s="8"/>
    </row>
    <row r="102" spans="9:15" x14ac:dyDescent="0.3">
      <c r="I102" t="s">
        <v>1254</v>
      </c>
      <c r="J102" t="s">
        <v>1230</v>
      </c>
      <c r="K102" s="8"/>
    </row>
    <row r="103" spans="9:15" x14ac:dyDescent="0.3">
      <c r="I103" t="s">
        <v>1255</v>
      </c>
      <c r="J103" t="s">
        <v>1227</v>
      </c>
      <c r="K103" s="8"/>
    </row>
    <row r="104" spans="9:15" x14ac:dyDescent="0.3">
      <c r="I104" t="s">
        <v>1256</v>
      </c>
      <c r="J104" t="s">
        <v>1258</v>
      </c>
      <c r="K104" s="8"/>
    </row>
    <row r="105" spans="9:15" x14ac:dyDescent="0.3">
      <c r="I105" t="s">
        <v>1257</v>
      </c>
      <c r="J105" t="s">
        <v>1259</v>
      </c>
      <c r="K105" s="8"/>
    </row>
    <row r="108" spans="9:15" ht="23.4" x14ac:dyDescent="0.45">
      <c r="J108" s="15" t="s">
        <v>1260</v>
      </c>
      <c r="K108" s="16"/>
      <c r="L108" s="16"/>
      <c r="M108" s="16"/>
      <c r="N108" s="16"/>
      <c r="O108" s="16"/>
    </row>
    <row r="110" spans="9:15" x14ac:dyDescent="0.3">
      <c r="J110" t="s">
        <v>1261</v>
      </c>
    </row>
    <row r="111" spans="9:15" x14ac:dyDescent="0.3">
      <c r="J111" t="s">
        <v>1262</v>
      </c>
    </row>
    <row r="112" spans="9:15" x14ac:dyDescent="0.3">
      <c r="J112" t="s">
        <v>1263</v>
      </c>
    </row>
  </sheetData>
  <mergeCells count="1">
    <mergeCell ref="J108:O10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E146-0987-4B1B-B8EC-11C1F65CCE4F}">
  <dimension ref="A1:H8"/>
  <sheetViews>
    <sheetView topLeftCell="B1" zoomScale="107" workbookViewId="0">
      <selection activeCell="D8" sqref="D8"/>
    </sheetView>
  </sheetViews>
  <sheetFormatPr defaultRowHeight="14.4" x14ac:dyDescent="0.3"/>
  <cols>
    <col min="1" max="1" width="20.5546875" customWidth="1"/>
    <col min="2" max="2" width="32.44140625" customWidth="1"/>
    <col min="3" max="3" width="117.109375" customWidth="1"/>
    <col min="4" max="4" width="24.109375" customWidth="1"/>
  </cols>
  <sheetData>
    <row r="1" spans="1:8" ht="23.4" x14ac:dyDescent="0.45">
      <c r="A1" s="14" t="s">
        <v>1218</v>
      </c>
      <c r="B1" s="14"/>
      <c r="C1" s="14"/>
      <c r="D1" s="14"/>
      <c r="E1" s="14"/>
      <c r="F1" s="14"/>
      <c r="G1" s="14"/>
      <c r="H1" s="14"/>
    </row>
    <row r="2" spans="1:8" x14ac:dyDescent="0.3">
      <c r="A2" s="11"/>
      <c r="B2" s="11"/>
      <c r="C2" s="11"/>
      <c r="D2" s="11"/>
      <c r="E2" s="11"/>
      <c r="F2" s="11"/>
      <c r="G2" s="11"/>
      <c r="H2" s="11"/>
    </row>
    <row r="3" spans="1:8" x14ac:dyDescent="0.3">
      <c r="A3" s="10" t="s">
        <v>1219</v>
      </c>
      <c r="B3" s="10" t="s">
        <v>1220</v>
      </c>
      <c r="C3" s="10" t="s">
        <v>1221</v>
      </c>
      <c r="D3" s="10" t="s">
        <v>1239</v>
      </c>
      <c r="E3" s="12"/>
      <c r="F3" s="11"/>
      <c r="G3" s="11"/>
      <c r="H3" s="11"/>
    </row>
    <row r="4" spans="1:8" x14ac:dyDescent="0.3">
      <c r="A4" s="12" t="s">
        <v>1222</v>
      </c>
      <c r="B4" s="12" t="s">
        <v>1223</v>
      </c>
      <c r="C4" s="12" t="s">
        <v>1224</v>
      </c>
      <c r="D4" s="12" t="s">
        <v>1240</v>
      </c>
      <c r="E4" s="12"/>
      <c r="F4" s="11"/>
      <c r="G4" s="11"/>
      <c r="H4" s="11"/>
    </row>
    <row r="5" spans="1:8" x14ac:dyDescent="0.3">
      <c r="A5" s="12" t="s">
        <v>1225</v>
      </c>
      <c r="B5" s="12" t="s">
        <v>1226</v>
      </c>
      <c r="C5" s="12" t="s">
        <v>1227</v>
      </c>
      <c r="D5" s="12" t="s">
        <v>1241</v>
      </c>
      <c r="E5" s="12"/>
      <c r="F5" s="11"/>
      <c r="G5" s="11"/>
      <c r="H5" s="11"/>
    </row>
    <row r="6" spans="1:8" x14ac:dyDescent="0.3">
      <c r="A6" s="12" t="s">
        <v>1228</v>
      </c>
      <c r="B6" s="12" t="s">
        <v>1229</v>
      </c>
      <c r="C6" s="12" t="s">
        <v>1230</v>
      </c>
      <c r="D6" s="12" t="s">
        <v>1242</v>
      </c>
      <c r="E6" s="12"/>
      <c r="F6" s="11"/>
      <c r="G6" s="11"/>
      <c r="H6" s="11"/>
    </row>
    <row r="7" spans="1:8" x14ac:dyDescent="0.3">
      <c r="A7" s="12" t="s">
        <v>1231</v>
      </c>
      <c r="B7" s="12" t="s">
        <v>1234</v>
      </c>
      <c r="C7" s="12" t="s">
        <v>1235</v>
      </c>
      <c r="D7" s="12" t="s">
        <v>1243</v>
      </c>
      <c r="E7" s="12"/>
      <c r="F7" s="11"/>
      <c r="G7" s="11"/>
      <c r="H7" s="11"/>
    </row>
    <row r="8" spans="1:8" ht="28.8" x14ac:dyDescent="0.3">
      <c r="A8" s="12" t="s">
        <v>1236</v>
      </c>
      <c r="B8" s="12" t="s">
        <v>1237</v>
      </c>
      <c r="C8" s="12" t="s">
        <v>1238</v>
      </c>
      <c r="D8" s="12" t="s">
        <v>1244</v>
      </c>
      <c r="E8" s="12"/>
      <c r="F8" s="11"/>
      <c r="G8" s="11"/>
      <c r="H8" s="11"/>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60091-FF7D-436C-B377-50323FD940B6}">
  <dimension ref="A1:H73"/>
  <sheetViews>
    <sheetView zoomScale="27" workbookViewId="0">
      <selection activeCell="C73" sqref="C73"/>
    </sheetView>
  </sheetViews>
  <sheetFormatPr defaultRowHeight="14.4" x14ac:dyDescent="0.3"/>
  <cols>
    <col min="1" max="8" width="15.77734375" customWidth="1"/>
  </cols>
  <sheetData>
    <row r="1" spans="1:8" ht="31.95" customHeight="1" x14ac:dyDescent="0.45">
      <c r="A1" s="18" t="s">
        <v>1264</v>
      </c>
      <c r="B1" s="18"/>
      <c r="C1" s="18"/>
      <c r="D1" s="18"/>
      <c r="E1" s="18"/>
      <c r="F1" s="18"/>
      <c r="G1" s="18"/>
      <c r="H1" s="18"/>
    </row>
    <row r="3" spans="1:8" ht="21" x14ac:dyDescent="0.4">
      <c r="A3" s="20" t="s">
        <v>1265</v>
      </c>
      <c r="B3" s="19"/>
      <c r="C3" s="19"/>
      <c r="D3" s="19"/>
      <c r="E3" s="19"/>
      <c r="F3" s="19"/>
      <c r="G3" s="19"/>
      <c r="H3" s="19"/>
    </row>
    <row r="4" spans="1:8" ht="43.2" x14ac:dyDescent="0.3">
      <c r="A4" s="24" t="s">
        <v>1266</v>
      </c>
      <c r="B4" s="8" t="s">
        <v>1267</v>
      </c>
      <c r="C4" s="8"/>
      <c r="D4" s="8"/>
      <c r="E4" s="8"/>
      <c r="F4" s="8"/>
      <c r="G4" s="8"/>
      <c r="H4" s="8"/>
    </row>
    <row r="5" spans="1:8" ht="129.6" x14ac:dyDescent="0.3">
      <c r="A5" s="24" t="s">
        <v>1268</v>
      </c>
      <c r="B5" s="8" t="s">
        <v>1269</v>
      </c>
      <c r="C5" s="8"/>
      <c r="D5" s="8"/>
      <c r="E5" s="8"/>
      <c r="F5" s="8"/>
      <c r="G5" s="8"/>
      <c r="H5" s="8"/>
    </row>
    <row r="6" spans="1:8" ht="57.6" x14ac:dyDescent="0.3">
      <c r="A6" s="24" t="s">
        <v>1270</v>
      </c>
      <c r="B6" s="8" t="s">
        <v>1271</v>
      </c>
      <c r="C6" s="8"/>
      <c r="D6" s="8"/>
      <c r="E6" s="8"/>
      <c r="F6" s="8"/>
      <c r="G6" s="8"/>
      <c r="H6" s="8"/>
    </row>
    <row r="7" spans="1:8" x14ac:dyDescent="0.3">
      <c r="A7" s="8" t="s">
        <v>1272</v>
      </c>
      <c r="B7" s="8" t="s">
        <v>1273</v>
      </c>
      <c r="C7" s="8"/>
      <c r="D7" s="8"/>
      <c r="E7" s="8"/>
      <c r="F7" s="8"/>
      <c r="G7" s="8"/>
      <c r="H7" s="8"/>
    </row>
    <row r="8" spans="1:8" ht="28.8" x14ac:dyDescent="0.3">
      <c r="A8" s="24" t="s">
        <v>1274</v>
      </c>
      <c r="B8" s="8" t="s">
        <v>1275</v>
      </c>
      <c r="C8" s="8"/>
      <c r="D8" s="8"/>
      <c r="E8" s="8"/>
      <c r="F8" s="8"/>
      <c r="G8" s="8"/>
      <c r="H8" s="8"/>
    </row>
    <row r="10" spans="1:8" ht="23.4" x14ac:dyDescent="0.45">
      <c r="A10" s="21" t="s">
        <v>1276</v>
      </c>
      <c r="B10" s="22"/>
      <c r="C10" s="22"/>
      <c r="D10" s="22"/>
      <c r="E10" s="22"/>
      <c r="F10" s="22"/>
      <c r="G10" s="22"/>
      <c r="H10" s="22"/>
    </row>
    <row r="11" spans="1:8" ht="57.6" x14ac:dyDescent="0.3">
      <c r="A11" s="24" t="s">
        <v>1277</v>
      </c>
      <c r="B11" s="23" t="s">
        <v>1278</v>
      </c>
    </row>
    <row r="12" spans="1:8" ht="57.6" x14ac:dyDescent="0.3">
      <c r="A12" s="25" t="s">
        <v>1279</v>
      </c>
      <c r="B12" s="23" t="s">
        <v>1280</v>
      </c>
    </row>
    <row r="13" spans="1:8" ht="57.6" x14ac:dyDescent="0.3">
      <c r="A13" s="25" t="s">
        <v>1281</v>
      </c>
      <c r="B13" s="23" t="s">
        <v>1282</v>
      </c>
    </row>
    <row r="14" spans="1:8" x14ac:dyDescent="0.3">
      <c r="A14" t="s">
        <v>1283</v>
      </c>
      <c r="B14" s="23" t="s">
        <v>1284</v>
      </c>
    </row>
    <row r="16" spans="1:8" ht="23.4" x14ac:dyDescent="0.3">
      <c r="A16" s="26" t="s">
        <v>1285</v>
      </c>
      <c r="B16" s="27"/>
      <c r="C16" s="27"/>
      <c r="D16" s="27"/>
      <c r="E16" s="27"/>
      <c r="F16" s="27"/>
      <c r="G16" s="27"/>
      <c r="H16" s="27"/>
    </row>
    <row r="17" spans="1:8" ht="72" x14ac:dyDescent="0.3">
      <c r="A17" s="25" t="s">
        <v>1286</v>
      </c>
      <c r="B17" s="23" t="s">
        <v>1287</v>
      </c>
    </row>
    <row r="18" spans="1:8" x14ac:dyDescent="0.3">
      <c r="A18" s="25" t="s">
        <v>1288</v>
      </c>
      <c r="B18" s="23" t="s">
        <v>1192</v>
      </c>
    </row>
    <row r="19" spans="1:8" x14ac:dyDescent="0.3">
      <c r="A19" t="s">
        <v>1289</v>
      </c>
      <c r="B19" s="23" t="s">
        <v>1193</v>
      </c>
    </row>
    <row r="20" spans="1:8" ht="28.8" x14ac:dyDescent="0.3">
      <c r="A20" s="25" t="s">
        <v>1290</v>
      </c>
      <c r="B20" s="23" t="s">
        <v>1291</v>
      </c>
    </row>
    <row r="21" spans="1:8" ht="28.8" x14ac:dyDescent="0.3">
      <c r="A21" s="25" t="s">
        <v>1292</v>
      </c>
      <c r="B21" s="23" t="s">
        <v>1194</v>
      </c>
    </row>
    <row r="25" spans="1:8" ht="23.4" x14ac:dyDescent="0.45">
      <c r="A25" s="21" t="s">
        <v>1293</v>
      </c>
      <c r="B25" s="22"/>
      <c r="C25" s="22"/>
      <c r="D25" s="22"/>
      <c r="E25" s="22"/>
      <c r="F25" s="22"/>
      <c r="G25" s="22"/>
      <c r="H25" s="22"/>
    </row>
    <row r="26" spans="1:8" x14ac:dyDescent="0.3">
      <c r="A26" t="s">
        <v>1294</v>
      </c>
      <c r="B26" t="s">
        <v>1224</v>
      </c>
    </row>
    <row r="27" spans="1:8" x14ac:dyDescent="0.3">
      <c r="A27" t="s">
        <v>1295</v>
      </c>
      <c r="B27" t="s">
        <v>1227</v>
      </c>
    </row>
    <row r="28" spans="1:8" x14ac:dyDescent="0.3">
      <c r="A28" t="s">
        <v>1296</v>
      </c>
      <c r="B28" t="s">
        <v>1230</v>
      </c>
    </row>
    <row r="29" spans="1:8" x14ac:dyDescent="0.3">
      <c r="A29" t="s">
        <v>1297</v>
      </c>
      <c r="B29" t="s">
        <v>1235</v>
      </c>
    </row>
    <row r="30" spans="1:8" x14ac:dyDescent="0.3">
      <c r="A30" t="s">
        <v>1298</v>
      </c>
      <c r="B30" t="s">
        <v>1238</v>
      </c>
    </row>
    <row r="34" spans="1:8" ht="23.4" x14ac:dyDescent="0.45">
      <c r="A34" s="21" t="s">
        <v>1260</v>
      </c>
      <c r="B34" s="22"/>
      <c r="C34" s="22"/>
      <c r="D34" s="22"/>
      <c r="E34" s="22"/>
      <c r="F34" s="22"/>
      <c r="G34" s="22"/>
      <c r="H34" s="22"/>
    </row>
    <row r="35" spans="1:8" x14ac:dyDescent="0.3">
      <c r="A35" t="s">
        <v>1299</v>
      </c>
      <c r="B35" t="s">
        <v>1300</v>
      </c>
    </row>
    <row r="36" spans="1:8" x14ac:dyDescent="0.3">
      <c r="A36">
        <v>1</v>
      </c>
      <c r="B36" t="s">
        <v>1240</v>
      </c>
    </row>
    <row r="37" spans="1:8" x14ac:dyDescent="0.3">
      <c r="A37">
        <v>2</v>
      </c>
      <c r="B37" t="s">
        <v>1241</v>
      </c>
    </row>
    <row r="38" spans="1:8" x14ac:dyDescent="0.3">
      <c r="A38">
        <v>3</v>
      </c>
      <c r="B38" t="s">
        <v>1242</v>
      </c>
    </row>
    <row r="39" spans="1:8" x14ac:dyDescent="0.3">
      <c r="A39">
        <v>4</v>
      </c>
      <c r="B39" t="s">
        <v>1243</v>
      </c>
    </row>
    <row r="40" spans="1:8" x14ac:dyDescent="0.3">
      <c r="A40">
        <v>5</v>
      </c>
      <c r="B40" t="s">
        <v>1244</v>
      </c>
    </row>
    <row r="43" spans="1:8" ht="23.4" x14ac:dyDescent="0.45">
      <c r="A43" s="21" t="s">
        <v>1301</v>
      </c>
      <c r="B43" s="22"/>
      <c r="C43" s="22"/>
      <c r="D43" s="22"/>
      <c r="E43" s="22"/>
      <c r="F43" s="22"/>
      <c r="G43" s="22"/>
      <c r="H43" s="22"/>
    </row>
    <row r="44" spans="1:8" x14ac:dyDescent="0.3">
      <c r="A44" s="5" t="s">
        <v>1303</v>
      </c>
      <c r="B44" s="5" t="s">
        <v>1302</v>
      </c>
    </row>
    <row r="45" spans="1:8" x14ac:dyDescent="0.3">
      <c r="A45" t="s">
        <v>1304</v>
      </c>
      <c r="B45" t="s">
        <v>1305</v>
      </c>
    </row>
    <row r="46" spans="1:8" x14ac:dyDescent="0.3">
      <c r="A46" t="s">
        <v>1273</v>
      </c>
      <c r="B46" t="s">
        <v>1306</v>
      </c>
    </row>
    <row r="47" spans="1:8" x14ac:dyDescent="0.3">
      <c r="A47" t="s">
        <v>1307</v>
      </c>
      <c r="B47" t="s">
        <v>1308</v>
      </c>
    </row>
    <row r="48" spans="1:8" x14ac:dyDescent="0.3">
      <c r="A48" t="s">
        <v>1309</v>
      </c>
      <c r="B48" t="s">
        <v>1310</v>
      </c>
    </row>
    <row r="49" spans="1:8" x14ac:dyDescent="0.3">
      <c r="A49" t="s">
        <v>1311</v>
      </c>
      <c r="B49" t="s">
        <v>1312</v>
      </c>
    </row>
    <row r="50" spans="1:8" x14ac:dyDescent="0.3">
      <c r="A50" t="s">
        <v>1313</v>
      </c>
      <c r="B50" t="s">
        <v>1314</v>
      </c>
    </row>
    <row r="51" spans="1:8" x14ac:dyDescent="0.3">
      <c r="A51" t="s">
        <v>1315</v>
      </c>
      <c r="B51" t="s">
        <v>1316</v>
      </c>
    </row>
    <row r="54" spans="1:8" ht="23.4" x14ac:dyDescent="0.45">
      <c r="A54" s="21" t="s">
        <v>1317</v>
      </c>
      <c r="B54" s="22"/>
      <c r="C54" s="22"/>
      <c r="D54" s="22"/>
      <c r="E54" s="22"/>
      <c r="F54" s="22"/>
      <c r="G54" s="22"/>
      <c r="H54" s="22"/>
    </row>
    <row r="55" spans="1:8" x14ac:dyDescent="0.3">
      <c r="A55" s="5" t="s">
        <v>1303</v>
      </c>
      <c r="B55" s="5" t="s">
        <v>1302</v>
      </c>
    </row>
    <row r="56" spans="1:8" x14ac:dyDescent="0.3">
      <c r="A56" s="28">
        <v>1</v>
      </c>
      <c r="B56" t="s">
        <v>1318</v>
      </c>
    </row>
    <row r="57" spans="1:8" x14ac:dyDescent="0.3">
      <c r="A57" s="29">
        <v>2</v>
      </c>
      <c r="B57" t="s">
        <v>1319</v>
      </c>
    </row>
    <row r="58" spans="1:8" x14ac:dyDescent="0.3">
      <c r="A58" s="29">
        <v>3</v>
      </c>
      <c r="B58" t="s">
        <v>1320</v>
      </c>
    </row>
    <row r="59" spans="1:8" x14ac:dyDescent="0.3">
      <c r="A59" s="29">
        <v>4</v>
      </c>
      <c r="B59" t="s">
        <v>1321</v>
      </c>
    </row>
    <row r="60" spans="1:8" x14ac:dyDescent="0.3">
      <c r="A60" s="29">
        <v>5</v>
      </c>
      <c r="B60" t="s">
        <v>1322</v>
      </c>
    </row>
    <row r="61" spans="1:8" x14ac:dyDescent="0.3">
      <c r="A61" s="29">
        <v>6</v>
      </c>
      <c r="B61" t="s">
        <v>1323</v>
      </c>
    </row>
    <row r="62" spans="1:8" x14ac:dyDescent="0.3">
      <c r="A62" s="29">
        <v>7</v>
      </c>
      <c r="B62" t="s">
        <v>1324</v>
      </c>
    </row>
    <row r="63" spans="1:8" x14ac:dyDescent="0.3">
      <c r="A63" s="29">
        <v>8</v>
      </c>
      <c r="B63" t="s">
        <v>1325</v>
      </c>
    </row>
    <row r="64" spans="1:8" x14ac:dyDescent="0.3">
      <c r="A64" s="29">
        <v>9</v>
      </c>
      <c r="B64" t="s">
        <v>1326</v>
      </c>
    </row>
    <row r="67" spans="1:8" ht="23.4" x14ac:dyDescent="0.45">
      <c r="A67" s="21" t="s">
        <v>1327</v>
      </c>
      <c r="B67" s="22"/>
      <c r="C67" s="22"/>
      <c r="D67" s="22"/>
      <c r="E67" s="22"/>
      <c r="F67" s="22"/>
      <c r="G67" s="22"/>
      <c r="H67" s="22"/>
    </row>
    <row r="68" spans="1:8" x14ac:dyDescent="0.3">
      <c r="A68" t="s">
        <v>1328</v>
      </c>
    </row>
    <row r="71" spans="1:8" x14ac:dyDescent="0.3">
      <c r="B71" t="s">
        <v>1329</v>
      </c>
      <c r="C71" t="s">
        <v>1284</v>
      </c>
    </row>
    <row r="72" spans="1:8" x14ac:dyDescent="0.3">
      <c r="B72" t="s">
        <v>1330</v>
      </c>
      <c r="C72" t="s">
        <v>1331</v>
      </c>
    </row>
    <row r="73" spans="1:8" x14ac:dyDescent="0.3">
      <c r="B73" t="s">
        <v>1332</v>
      </c>
      <c r="C73" t="s">
        <v>1273</v>
      </c>
    </row>
  </sheetData>
  <mergeCells count="9">
    <mergeCell ref="A34:H34"/>
    <mergeCell ref="A43:H43"/>
    <mergeCell ref="A54:H54"/>
    <mergeCell ref="A67:H67"/>
    <mergeCell ref="A1:H1"/>
    <mergeCell ref="A3:H3"/>
    <mergeCell ref="A10:H10"/>
    <mergeCell ref="A16:H16"/>
    <mergeCell ref="A25:H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70F3898F-A779-44F8-8E26-BB856B526151}">
  <ds:schemaRefs/>
</ds:datastoreItem>
</file>

<file path=customXml/itemProps2.xml><?xml version="1.0" encoding="utf-8"?>
<ds:datastoreItem xmlns:ds="http://schemas.openxmlformats.org/officeDocument/2006/customXml" ds:itemID="{10A04CAF-6699-4D66-A39F-A9DEA7C621E3}">
  <ds:schemaRefs/>
</ds:datastoreItem>
</file>

<file path=customXml/itemProps3.xml><?xml version="1.0" encoding="utf-8"?>
<ds:datastoreItem xmlns:ds="http://schemas.openxmlformats.org/officeDocument/2006/customXml" ds:itemID="{C05C5884-87E4-464D-A28D-DB9CF7A1B390}">
  <ds:schemaRefs/>
</ds:datastoreItem>
</file>

<file path=customXml/itemProps4.xml><?xml version="1.0" encoding="utf-8"?>
<ds:datastoreItem xmlns:ds="http://schemas.openxmlformats.org/officeDocument/2006/customXml" ds:itemID="{87C72166-356B-4C64-86FB-5656725EF176}">
  <ds:schemaRefs/>
</ds:datastoreItem>
</file>

<file path=customXml/itemProps5.xml><?xml version="1.0" encoding="utf-8"?>
<ds:datastoreItem xmlns:ds="http://schemas.openxmlformats.org/officeDocument/2006/customXml" ds:itemID="{A4B993C4-C8A0-4460-ABC8-FB380614B120}">
  <ds:schemaRefs/>
</ds:datastoreItem>
</file>

<file path=customXml/itemProps6.xml><?xml version="1.0" encoding="utf-8"?>
<ds:datastoreItem xmlns:ds="http://schemas.openxmlformats.org/officeDocument/2006/customXml" ds:itemID="{35B6224F-D260-4991-81F6-66263F928531}">
  <ds:schemaRefs/>
</ds:datastoreItem>
</file>

<file path=customXml/itemProps7.xml><?xml version="1.0" encoding="utf-8"?>
<ds:datastoreItem xmlns:ds="http://schemas.openxmlformats.org/officeDocument/2006/customXml" ds:itemID="{8E6DCE72-6126-4181-A8A2-3E82CC6E38D5}">
  <ds:schemaRefs/>
</ds:datastoreItem>
</file>

<file path=customXml/itemProps8.xml><?xml version="1.0" encoding="utf-8"?>
<ds:datastoreItem xmlns:ds="http://schemas.openxmlformats.org/officeDocument/2006/customXml" ds:itemID="{D892E916-9C2B-461E-80AF-6CDA6FC0A221}">
  <ds:schemaRefs/>
</ds:datastoreItem>
</file>

<file path=customXml/itemProps9.xml><?xml version="1.0" encoding="utf-8"?>
<ds:datastoreItem xmlns:ds="http://schemas.openxmlformats.org/officeDocument/2006/customXml" ds:itemID="{4272BA10-4777-4C01-91C7-91A5E1DFF059}">
  <ds:schemaRefs/>
</ds:datastoreItem>
</file>

<file path=customXml/itemProps10.xml><?xml version="1.0" encoding="utf-8"?>
<ds:datastoreItem xmlns:ds="http://schemas.openxmlformats.org/officeDocument/2006/customXml" ds:itemID="{59586B75-D425-44BF-B3C1-6377175A61D7}">
  <ds:schemaRefs/>
</ds:datastoreItem>
</file>

<file path=customXml/itemProps11.xml><?xml version="1.0" encoding="utf-8"?>
<ds:datastoreItem xmlns:ds="http://schemas.openxmlformats.org/officeDocument/2006/customXml" ds:itemID="{94BCC283-9B43-41BA-8B3C-3D6B98700B22}">
  <ds:schemaRefs/>
</ds:datastoreItem>
</file>

<file path=customXml/itemProps12.xml><?xml version="1.0" encoding="utf-8"?>
<ds:datastoreItem xmlns:ds="http://schemas.openxmlformats.org/officeDocument/2006/customXml" ds:itemID="{05F76103-3429-464B-9764-0D53A393F14D}">
  <ds:schemaRefs/>
</ds:datastoreItem>
</file>

<file path=customXml/itemProps13.xml><?xml version="1.0" encoding="utf-8"?>
<ds:datastoreItem xmlns:ds="http://schemas.openxmlformats.org/officeDocument/2006/customXml" ds:itemID="{3CF4ABC5-D368-44B4-AA0A-9713C01FF830}">
  <ds:schemaRefs/>
</ds:datastoreItem>
</file>

<file path=customXml/itemProps14.xml><?xml version="1.0" encoding="utf-8"?>
<ds:datastoreItem xmlns:ds="http://schemas.openxmlformats.org/officeDocument/2006/customXml" ds:itemID="{15351DE9-493C-41C2-A1CF-C2999D7E989C}">
  <ds:schemaRefs/>
</ds:datastoreItem>
</file>

<file path=customXml/itemProps15.xml><?xml version="1.0" encoding="utf-8"?>
<ds:datastoreItem xmlns:ds="http://schemas.openxmlformats.org/officeDocument/2006/customXml" ds:itemID="{44C584FC-7AA5-40FE-829A-97ECB6F1D0B9}">
  <ds:schemaRefs/>
</ds:datastoreItem>
</file>

<file path=customXml/itemProps16.xml><?xml version="1.0" encoding="utf-8"?>
<ds:datastoreItem xmlns:ds="http://schemas.openxmlformats.org/officeDocument/2006/customXml" ds:itemID="{882E76C0-10FA-4D7B-9068-8F2BA61B1B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Cleaned_Data</vt:lpstr>
      <vt:lpstr>Data_Quality</vt:lpstr>
      <vt:lpstr>Analysis</vt:lpstr>
      <vt:lpstr>Pivot Tables</vt:lpstr>
      <vt:lpstr>Healthcare_Dashboard</vt:lpstr>
      <vt:lpstr>Insights</vt:lpstr>
      <vt:lpstr>Project 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reddy</dc:creator>
  <cp:lastModifiedBy>shiva reddy</cp:lastModifiedBy>
  <dcterms:created xsi:type="dcterms:W3CDTF">2026-09-04T07:17:33Z</dcterms:created>
  <dcterms:modified xsi:type="dcterms:W3CDTF">2026-09-09T11:03:29Z</dcterms:modified>
</cp:coreProperties>
</file>